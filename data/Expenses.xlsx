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K:\OAK_TPTO\097092005_Millbrae Parking Management Plan\Working\4. Concept and Design Plans\Millbrae Financial Model Dashboard\data\"/>
    </mc:Choice>
  </mc:AlternateContent>
  <xr:revisionPtr revIDLastSave="0" documentId="13_ncr:1_{51D14466-6F92-4A9C-B87C-F0FCA0115302}" xr6:coauthVersionLast="47" xr6:coauthVersionMax="47" xr10:uidLastSave="{00000000-0000-0000-0000-000000000000}"/>
  <bookViews>
    <workbookView xWindow="-120" yWindow="-120" windowWidth="29040" windowHeight="15720" xr2:uid="{00000000-000D-0000-FFFF-FFFF00000000}"/>
    <workbookView xWindow="-28920" yWindow="-120" windowWidth="29040" windowHeight="15720" activeTab="1" xr2:uid="{510B9E24-6065-4DC5-B380-F7A624946043}"/>
  </bookViews>
  <sheets>
    <sheet name="Sheet1" sheetId="1" r:id="rId1"/>
    <sheet name="Inhouse Costs Summary Sheet" sheetId="4" r:id="rId2"/>
    <sheet name="Expanded RPP - KH Inhouse" sheetId="5" r:id="rId3"/>
    <sheet name="Existing RPP - KH Inhouse" sheetId="6" r:id="rId4"/>
  </sheets>
  <externalReferences>
    <externalReference r:id="rId5"/>
    <externalReference r:id="rId6"/>
    <externalReference r:id="rId7"/>
  </externalReferences>
  <definedNames>
    <definedName name="_xlnm._FilterDatabase" localSheetId="1" hidden="1">'Inhouse Costs Summary Sheet'!$A$5:$N$34</definedName>
    <definedName name="Lastraw">IF('[1]Vehicle Amortization'!Values_Entered,'[1]Vehicle Amortization'!Header_Row+'[1]Vehicle Amortization'!Number_of_Payments,'[1]Vehicle Amortization'!Header_Row)</definedName>
    <definedName name="rtr">[2]CapEx_Amortization!$G$18:$G$497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6" i="4" l="1"/>
  <c r="G46" i="4"/>
  <c r="F46" i="4"/>
  <c r="E46" i="4"/>
  <c r="D46" i="4"/>
  <c r="C46" i="4"/>
  <c r="B45" i="4"/>
  <c r="L45" i="4" s="1"/>
  <c r="N44" i="4"/>
  <c r="M44" i="4"/>
  <c r="L44" i="4"/>
  <c r="K44" i="4"/>
  <c r="J44" i="4"/>
  <c r="B44" i="4"/>
  <c r="I44" i="4" s="1"/>
  <c r="B43" i="4"/>
  <c r="N43" i="4" s="1"/>
  <c r="B42" i="4"/>
  <c r="K42" i="4" s="1"/>
  <c r="N41" i="4"/>
  <c r="M41" i="4"/>
  <c r="L41" i="4"/>
  <c r="K41" i="4"/>
  <c r="J41" i="4"/>
  <c r="I41" i="4"/>
  <c r="B41" i="4"/>
  <c r="B40" i="4"/>
  <c r="L40" i="4" s="1"/>
  <c r="J39" i="4"/>
  <c r="I39" i="4"/>
  <c r="B39" i="4"/>
  <c r="K39" i="4" s="1"/>
  <c r="N38" i="4"/>
  <c r="M38" i="4"/>
  <c r="L38" i="4"/>
  <c r="K38" i="4"/>
  <c r="J38" i="4"/>
  <c r="B38" i="4"/>
  <c r="I38" i="4" s="1"/>
  <c r="J34" i="4"/>
  <c r="J33" i="4"/>
  <c r="J32" i="4"/>
  <c r="J31" i="4"/>
  <c r="G75" i="4"/>
  <c r="F75" i="4"/>
  <c r="E75" i="4"/>
  <c r="D75" i="4"/>
  <c r="C75" i="4"/>
  <c r="G74" i="4"/>
  <c r="F74" i="4"/>
  <c r="E74" i="4"/>
  <c r="D74" i="4"/>
  <c r="C74" i="4"/>
  <c r="G73" i="4"/>
  <c r="F73" i="4"/>
  <c r="E73" i="4"/>
  <c r="D73" i="4"/>
  <c r="C73" i="4"/>
  <c r="G72" i="4"/>
  <c r="F72" i="4"/>
  <c r="E72" i="4"/>
  <c r="D72" i="4"/>
  <c r="C72" i="4"/>
  <c r="G71" i="4"/>
  <c r="F71" i="4"/>
  <c r="E71" i="4"/>
  <c r="D71" i="4"/>
  <c r="C71" i="4"/>
  <c r="G70" i="4"/>
  <c r="F70" i="4"/>
  <c r="E70" i="4"/>
  <c r="D70" i="4"/>
  <c r="C70" i="4"/>
  <c r="G66" i="4"/>
  <c r="F66" i="4"/>
  <c r="H66" i="4" s="1"/>
  <c r="D66" i="4"/>
  <c r="C66" i="4"/>
  <c r="G65" i="4"/>
  <c r="F65" i="4"/>
  <c r="D65" i="4"/>
  <c r="C65" i="4"/>
  <c r="G64" i="4"/>
  <c r="F64" i="4"/>
  <c r="D64" i="4"/>
  <c r="C64" i="4"/>
  <c r="G63" i="4"/>
  <c r="F63" i="4"/>
  <c r="D63" i="4"/>
  <c r="C63" i="4"/>
  <c r="G62" i="4"/>
  <c r="F62" i="4"/>
  <c r="D62" i="4"/>
  <c r="C62" i="4"/>
  <c r="G61" i="4"/>
  <c r="F61" i="4"/>
  <c r="D61" i="4"/>
  <c r="C61" i="4"/>
  <c r="M57" i="4"/>
  <c r="L57" i="4"/>
  <c r="F57" i="4"/>
  <c r="H57" i="4" s="1"/>
  <c r="D57" i="4"/>
  <c r="C57" i="4"/>
  <c r="M56" i="4"/>
  <c r="L56" i="4"/>
  <c r="F56" i="4"/>
  <c r="H56" i="4" s="1"/>
  <c r="D56" i="4"/>
  <c r="C56" i="4"/>
  <c r="M55" i="4"/>
  <c r="L55" i="4"/>
  <c r="F55" i="4"/>
  <c r="H55" i="4" s="1"/>
  <c r="D55" i="4"/>
  <c r="C55" i="4"/>
  <c r="M54" i="4"/>
  <c r="L54" i="4"/>
  <c r="F54" i="4"/>
  <c r="G54" i="4" s="1"/>
  <c r="D54" i="4"/>
  <c r="C54" i="4"/>
  <c r="M53" i="4"/>
  <c r="L53" i="4"/>
  <c r="F53" i="4"/>
  <c r="G53" i="4" s="1"/>
  <c r="D53" i="4"/>
  <c r="C53" i="4"/>
  <c r="M52" i="4"/>
  <c r="L52" i="4"/>
  <c r="F52" i="4"/>
  <c r="H52" i="4" s="1"/>
  <c r="D52" i="4"/>
  <c r="C52" i="4"/>
  <c r="H32" i="4"/>
  <c r="G32" i="4"/>
  <c r="F32" i="4"/>
  <c r="E32" i="4"/>
  <c r="H34" i="4"/>
  <c r="G34" i="4"/>
  <c r="F34" i="4"/>
  <c r="E34" i="4"/>
  <c r="H31" i="4"/>
  <c r="G31" i="4"/>
  <c r="F31" i="4"/>
  <c r="E31" i="4"/>
  <c r="H33" i="4"/>
  <c r="G33" i="4"/>
  <c r="F33" i="4"/>
  <c r="E33" i="4"/>
  <c r="J28" i="4"/>
  <c r="H28" i="4"/>
  <c r="G28" i="4"/>
  <c r="F28" i="4"/>
  <c r="E28" i="4"/>
  <c r="C28" i="4"/>
  <c r="B28" i="4"/>
  <c r="J27" i="4"/>
  <c r="H27" i="4"/>
  <c r="G27" i="4"/>
  <c r="F27" i="4"/>
  <c r="E27" i="4"/>
  <c r="C27" i="4"/>
  <c r="B27" i="4"/>
  <c r="J30" i="4"/>
  <c r="H30" i="4"/>
  <c r="G30" i="4"/>
  <c r="F30" i="4"/>
  <c r="E30" i="4"/>
  <c r="C30" i="4"/>
  <c r="B30" i="4"/>
  <c r="J29" i="4"/>
  <c r="H29" i="4"/>
  <c r="G29" i="4"/>
  <c r="F29" i="4"/>
  <c r="E29" i="4"/>
  <c r="C29" i="4"/>
  <c r="B29" i="4"/>
  <c r="H26" i="4"/>
  <c r="G26" i="4"/>
  <c r="F26" i="4"/>
  <c r="E26" i="4"/>
  <c r="C26" i="4"/>
  <c r="B26" i="4"/>
  <c r="J24" i="4"/>
  <c r="H24" i="4"/>
  <c r="G24" i="4"/>
  <c r="F24" i="4"/>
  <c r="E24" i="4"/>
  <c r="C24" i="4"/>
  <c r="B24" i="4"/>
  <c r="J23" i="4"/>
  <c r="H23" i="4"/>
  <c r="G23" i="4"/>
  <c r="F23" i="4"/>
  <c r="E23" i="4"/>
  <c r="C23" i="4"/>
  <c r="B23" i="4"/>
  <c r="J22" i="4"/>
  <c r="H22" i="4"/>
  <c r="G22" i="4"/>
  <c r="F22" i="4"/>
  <c r="E22" i="4"/>
  <c r="C22" i="4"/>
  <c r="B22" i="4"/>
  <c r="H25" i="4"/>
  <c r="G25" i="4"/>
  <c r="F25" i="4"/>
  <c r="E25" i="4"/>
  <c r="C25" i="4"/>
  <c r="B25" i="4"/>
  <c r="J11" i="4"/>
  <c r="H11" i="4"/>
  <c r="G11" i="4"/>
  <c r="F11" i="4"/>
  <c r="E11" i="4"/>
  <c r="C11" i="4"/>
  <c r="B11" i="4"/>
  <c r="J10" i="4"/>
  <c r="H10" i="4"/>
  <c r="G10" i="4"/>
  <c r="F10" i="4"/>
  <c r="E10" i="4"/>
  <c r="C10" i="4"/>
  <c r="B10" i="4"/>
  <c r="J21" i="4"/>
  <c r="H21" i="4"/>
  <c r="G21" i="4"/>
  <c r="F21" i="4"/>
  <c r="E21" i="4"/>
  <c r="C21" i="4"/>
  <c r="B21" i="4"/>
  <c r="J20" i="4"/>
  <c r="H20" i="4"/>
  <c r="G20" i="4"/>
  <c r="F20" i="4"/>
  <c r="E20" i="4"/>
  <c r="C20" i="4"/>
  <c r="B20" i="4"/>
  <c r="J19" i="4"/>
  <c r="H19" i="4"/>
  <c r="G19" i="4"/>
  <c r="F19" i="4"/>
  <c r="E19" i="4"/>
  <c r="C19" i="4"/>
  <c r="B19" i="4"/>
  <c r="J9" i="4"/>
  <c r="H9" i="4"/>
  <c r="G9" i="4"/>
  <c r="F9" i="4"/>
  <c r="E9" i="4"/>
  <c r="C9" i="4"/>
  <c r="B9" i="4"/>
  <c r="J18" i="4"/>
  <c r="H18" i="4"/>
  <c r="G18" i="4"/>
  <c r="F18" i="4"/>
  <c r="E18" i="4"/>
  <c r="C18" i="4"/>
  <c r="B18" i="4"/>
  <c r="J17" i="4"/>
  <c r="H17" i="4"/>
  <c r="G17" i="4"/>
  <c r="F17" i="4"/>
  <c r="E17" i="4"/>
  <c r="C17" i="4"/>
  <c r="B17" i="4"/>
  <c r="J8" i="4"/>
  <c r="H8" i="4"/>
  <c r="G8" i="4"/>
  <c r="F8" i="4"/>
  <c r="E8" i="4"/>
  <c r="C8" i="4"/>
  <c r="B8" i="4"/>
  <c r="J7" i="4"/>
  <c r="H7" i="4"/>
  <c r="G7" i="4"/>
  <c r="F7" i="4"/>
  <c r="E7" i="4"/>
  <c r="C7" i="4"/>
  <c r="B7" i="4"/>
  <c r="H16" i="4"/>
  <c r="G16" i="4"/>
  <c r="F16" i="4"/>
  <c r="E16" i="4"/>
  <c r="C16" i="4"/>
  <c r="B16" i="4"/>
  <c r="J6" i="4"/>
  <c r="H6" i="4"/>
  <c r="G6" i="4"/>
  <c r="F6" i="4"/>
  <c r="E6" i="4"/>
  <c r="C6" i="4"/>
  <c r="B6" i="4"/>
  <c r="J15" i="4"/>
  <c r="H15" i="4"/>
  <c r="G15" i="4"/>
  <c r="F15" i="4"/>
  <c r="E15" i="4"/>
  <c r="C15" i="4"/>
  <c r="B15" i="4"/>
  <c r="J14" i="4"/>
  <c r="H14" i="4"/>
  <c r="G14" i="4"/>
  <c r="F14" i="4"/>
  <c r="E14" i="4"/>
  <c r="C14" i="4"/>
  <c r="B14" i="4"/>
  <c r="J13" i="4"/>
  <c r="H13" i="4"/>
  <c r="G13" i="4"/>
  <c r="F13" i="4"/>
  <c r="E13" i="4"/>
  <c r="C13" i="4"/>
  <c r="B13" i="4"/>
  <c r="J12" i="4"/>
  <c r="H12" i="4"/>
  <c r="G12" i="4"/>
  <c r="F12" i="4"/>
  <c r="E12" i="4"/>
  <c r="C12" i="4"/>
  <c r="B12" i="4"/>
  <c r="D18" i="1"/>
  <c r="G10" i="6"/>
  <c r="G11" i="6"/>
  <c r="G12" i="6"/>
  <c r="G13" i="6"/>
  <c r="G14" i="6"/>
  <c r="G15" i="6"/>
  <c r="G16" i="6"/>
  <c r="G17" i="6"/>
  <c r="G18" i="6"/>
  <c r="O18" i="6"/>
  <c r="M18" i="6" s="1"/>
  <c r="G19" i="6"/>
  <c r="G20" i="6"/>
  <c r="O20" i="6"/>
  <c r="M20" i="6" s="1"/>
  <c r="G21" i="6"/>
  <c r="M21" i="6"/>
  <c r="N21" i="6"/>
  <c r="O21" i="6"/>
  <c r="G22" i="6"/>
  <c r="L22" i="6" s="1"/>
  <c r="G23" i="6"/>
  <c r="G24" i="6"/>
  <c r="L24" i="6"/>
  <c r="G27" i="6"/>
  <c r="L27" i="6"/>
  <c r="G28" i="6"/>
  <c r="L28" i="6"/>
  <c r="G29" i="6"/>
  <c r="L29" i="6" s="1"/>
  <c r="G30" i="6"/>
  <c r="L30" i="6"/>
  <c r="L31" i="6"/>
  <c r="G32" i="6"/>
  <c r="M32" i="6"/>
  <c r="N32" i="6"/>
  <c r="O32" i="6"/>
  <c r="L33" i="6"/>
  <c r="L34" i="6"/>
  <c r="G35" i="6"/>
  <c r="M35" i="6" s="1"/>
  <c r="D15" i="1" s="1"/>
  <c r="G36" i="6"/>
  <c r="M36" i="6" s="1"/>
  <c r="G37" i="6"/>
  <c r="L37" i="6"/>
  <c r="G38" i="6"/>
  <c r="G42" i="6"/>
  <c r="G43" i="6"/>
  <c r="C44" i="6"/>
  <c r="C45" i="6"/>
  <c r="M48" i="6"/>
  <c r="N48" i="6"/>
  <c r="O48" i="6"/>
  <c r="L49" i="6"/>
  <c r="L53" i="6" s="1"/>
  <c r="M53" i="6" s="1"/>
  <c r="M50" i="6"/>
  <c r="N50" i="6"/>
  <c r="O50" i="6"/>
  <c r="L51" i="6"/>
  <c r="L52" i="6"/>
  <c r="C58" i="6"/>
  <c r="C60" i="6"/>
  <c r="N56" i="6" s="1"/>
  <c r="G10" i="5"/>
  <c r="G11" i="5"/>
  <c r="G12" i="5"/>
  <c r="G13" i="5"/>
  <c r="G14" i="5"/>
  <c r="G15" i="5"/>
  <c r="G16" i="5"/>
  <c r="G17" i="5"/>
  <c r="G18" i="5"/>
  <c r="O18" i="5"/>
  <c r="M18" i="5" s="1"/>
  <c r="G19" i="5"/>
  <c r="G20" i="5"/>
  <c r="O20" i="5"/>
  <c r="M20" i="5" s="1"/>
  <c r="G21" i="5"/>
  <c r="M21" i="5"/>
  <c r="N21" i="5"/>
  <c r="O21" i="5"/>
  <c r="G22" i="5"/>
  <c r="L22" i="5" s="1"/>
  <c r="G23" i="5"/>
  <c r="G24" i="5"/>
  <c r="L24" i="5"/>
  <c r="G27" i="5"/>
  <c r="L27" i="5"/>
  <c r="G28" i="5"/>
  <c r="L28" i="5"/>
  <c r="G29" i="5"/>
  <c r="L29" i="5" s="1"/>
  <c r="G30" i="5"/>
  <c r="L30" i="5"/>
  <c r="L31" i="5"/>
  <c r="G32" i="5"/>
  <c r="M32" i="5"/>
  <c r="N32" i="5"/>
  <c r="O32" i="5"/>
  <c r="L33" i="5"/>
  <c r="L34" i="5"/>
  <c r="G35" i="5"/>
  <c r="N35" i="5" s="1"/>
  <c r="D19" i="1" s="1"/>
  <c r="M35" i="5"/>
  <c r="G36" i="5"/>
  <c r="N36" i="5" s="1"/>
  <c r="M36" i="5"/>
  <c r="G37" i="5"/>
  <c r="L37" i="5"/>
  <c r="G38" i="5"/>
  <c r="G42" i="5"/>
  <c r="G43" i="5"/>
  <c r="C44" i="5"/>
  <c r="C45" i="5" s="1"/>
  <c r="M48" i="5"/>
  <c r="N48" i="5"/>
  <c r="O48" i="5"/>
  <c r="L49" i="5"/>
  <c r="L53" i="5" s="1"/>
  <c r="M50" i="5"/>
  <c r="N50" i="5"/>
  <c r="O50" i="5"/>
  <c r="L51" i="5"/>
  <c r="L52" i="5"/>
  <c r="M57" i="5"/>
  <c r="M59" i="5" s="1"/>
  <c r="C59" i="5"/>
  <c r="N57" i="5" s="1"/>
  <c r="C61" i="5"/>
  <c r="O19" i="5" s="1"/>
  <c r="M39" i="4" l="1"/>
  <c r="M47" i="4" s="1"/>
  <c r="L39" i="4"/>
  <c r="L47" i="4" s="1"/>
  <c r="N39" i="4"/>
  <c r="N45" i="4"/>
  <c r="J40" i="4"/>
  <c r="J47" i="4" s="1"/>
  <c r="I43" i="4"/>
  <c r="E53" i="4"/>
  <c r="K40" i="4"/>
  <c r="K47" i="4" s="1"/>
  <c r="J43" i="4"/>
  <c r="J42" i="4"/>
  <c r="L42" i="4"/>
  <c r="M42" i="4"/>
  <c r="M45" i="4"/>
  <c r="I40" i="4"/>
  <c r="I47" i="4" s="1"/>
  <c r="K43" i="4"/>
  <c r="M40" i="4"/>
  <c r="L43" i="4"/>
  <c r="N40" i="4"/>
  <c r="M43" i="4"/>
  <c r="I45" i="4"/>
  <c r="K45" i="4"/>
  <c r="J73" i="4"/>
  <c r="I42" i="4"/>
  <c r="J45" i="4"/>
  <c r="N42" i="4"/>
  <c r="E54" i="4"/>
  <c r="N54" i="4" s="1"/>
  <c r="E66" i="4"/>
  <c r="I66" i="4" s="1"/>
  <c r="J66" i="4" s="1"/>
  <c r="I73" i="4"/>
  <c r="H61" i="4"/>
  <c r="E61" i="4"/>
  <c r="I61" i="4" s="1"/>
  <c r="J61" i="4" s="1"/>
  <c r="H65" i="4"/>
  <c r="E62" i="4"/>
  <c r="E63" i="4"/>
  <c r="J75" i="4"/>
  <c r="E65" i="4"/>
  <c r="I65" i="4" s="1"/>
  <c r="J65" i="4" s="1"/>
  <c r="J71" i="4"/>
  <c r="E64" i="4"/>
  <c r="E52" i="4"/>
  <c r="N52" i="4" s="1"/>
  <c r="E56" i="4"/>
  <c r="J56" i="4" s="1"/>
  <c r="H63" i="4"/>
  <c r="I71" i="4"/>
  <c r="I75" i="4"/>
  <c r="H64" i="4"/>
  <c r="E57" i="4"/>
  <c r="J57" i="4" s="1"/>
  <c r="J70" i="4"/>
  <c r="J74" i="4"/>
  <c r="I70" i="4"/>
  <c r="I74" i="4"/>
  <c r="E55" i="4"/>
  <c r="J55" i="4" s="1"/>
  <c r="H62" i="4"/>
  <c r="I72" i="4"/>
  <c r="G52" i="4"/>
  <c r="H72" i="4"/>
  <c r="K72" i="4" s="1"/>
  <c r="N53" i="4"/>
  <c r="I53" i="4"/>
  <c r="H53" i="4"/>
  <c r="G55" i="4"/>
  <c r="H70" i="4"/>
  <c r="J72" i="4"/>
  <c r="H73" i="4"/>
  <c r="H54" i="4"/>
  <c r="J54" i="4" s="1"/>
  <c r="G56" i="4"/>
  <c r="H71" i="4"/>
  <c r="G57" i="4"/>
  <c r="H74" i="4"/>
  <c r="H75" i="4"/>
  <c r="O53" i="5"/>
  <c r="N53" i="5"/>
  <c r="M53" i="5"/>
  <c r="L43" i="6"/>
  <c r="E16" i="1"/>
  <c r="F15" i="1"/>
  <c r="G15" i="1"/>
  <c r="F6" i="1"/>
  <c r="G6" i="1"/>
  <c r="E17" i="1"/>
  <c r="E18" i="1"/>
  <c r="E19" i="1"/>
  <c r="G45" i="5"/>
  <c r="O36" i="6"/>
  <c r="O35" i="5"/>
  <c r="D17" i="1" s="1"/>
  <c r="N36" i="6"/>
  <c r="O25" i="6"/>
  <c r="E14" i="1" s="1"/>
  <c r="O35" i="6"/>
  <c r="D14" i="1" s="1"/>
  <c r="G45" i="6"/>
  <c r="N35" i="6"/>
  <c r="O36" i="5"/>
  <c r="N58" i="5"/>
  <c r="N19" i="5"/>
  <c r="N59" i="5"/>
  <c r="N37" i="5"/>
  <c r="N57" i="6"/>
  <c r="N58" i="6"/>
  <c r="N19" i="6"/>
  <c r="N25" i="5"/>
  <c r="M25" i="5"/>
  <c r="O25" i="5"/>
  <c r="L43" i="5"/>
  <c r="N18" i="6"/>
  <c r="N20" i="6"/>
  <c r="M37" i="5"/>
  <c r="N25" i="6"/>
  <c r="M25" i="6"/>
  <c r="E15" i="1" s="1"/>
  <c r="M56" i="6"/>
  <c r="M58" i="5"/>
  <c r="O53" i="6"/>
  <c r="O19" i="6"/>
  <c r="N20" i="5"/>
  <c r="M19" i="5"/>
  <c r="N18" i="5"/>
  <c r="O57" i="5"/>
  <c r="N53" i="6"/>
  <c r="O56" i="6"/>
  <c r="N37" i="6" s="1"/>
  <c r="N47" i="4" l="1"/>
  <c r="J53" i="4"/>
  <c r="I54" i="4"/>
  <c r="I62" i="4"/>
  <c r="J62" i="4" s="1"/>
  <c r="N56" i="4"/>
  <c r="J52" i="4"/>
  <c r="I63" i="4"/>
  <c r="J63" i="4" s="1"/>
  <c r="I55" i="4"/>
  <c r="I64" i="4"/>
  <c r="J64" i="4" s="1"/>
  <c r="I52" i="4"/>
  <c r="I56" i="4"/>
  <c r="L72" i="4"/>
  <c r="N55" i="4"/>
  <c r="I57" i="4"/>
  <c r="N57" i="4"/>
  <c r="L75" i="4"/>
  <c r="K75" i="4"/>
  <c r="L71" i="4"/>
  <c r="K71" i="4"/>
  <c r="L73" i="4"/>
  <c r="K73" i="4"/>
  <c r="L70" i="4"/>
  <c r="K70" i="4"/>
  <c r="K74" i="4"/>
  <c r="L74" i="4"/>
  <c r="N43" i="6"/>
  <c r="N45" i="6" s="1"/>
  <c r="O43" i="6"/>
  <c r="F16" i="1"/>
  <c r="G16" i="1"/>
  <c r="F7" i="1"/>
  <c r="G7" i="1"/>
  <c r="F14" i="1"/>
  <c r="G14" i="1"/>
  <c r="F5" i="1"/>
  <c r="G5" i="1"/>
  <c r="F12" i="1"/>
  <c r="G12" i="1"/>
  <c r="F18" i="1"/>
  <c r="G18" i="1"/>
  <c r="D16" i="1"/>
  <c r="F19" i="1"/>
  <c r="G19" i="1"/>
  <c r="F13" i="1"/>
  <c r="G13" i="1"/>
  <c r="F11" i="1"/>
  <c r="G11" i="1"/>
  <c r="F17" i="1"/>
  <c r="G17" i="1"/>
  <c r="O59" i="5"/>
  <c r="O58" i="5"/>
  <c r="O45" i="6"/>
  <c r="N43" i="5"/>
  <c r="N45" i="5" s="1"/>
  <c r="M43" i="5"/>
  <c r="M45" i="5" s="1"/>
  <c r="O43" i="5"/>
  <c r="O45" i="5" s="1"/>
  <c r="O57" i="6"/>
  <c r="O58" i="6"/>
  <c r="M58" i="6"/>
  <c r="M19" i="6"/>
  <c r="M57" i="6"/>
  <c r="M37" i="6"/>
  <c r="M43" i="6" l="1"/>
  <c r="M45" i="6" s="1"/>
  <c r="H14" i="1" l="1"/>
  <c r="H15" i="1"/>
  <c r="H16" i="1"/>
  <c r="H17" i="1"/>
  <c r="H18" i="1"/>
  <c r="H19" i="1"/>
  <c r="E10" i="1" l="1"/>
  <c r="E9" i="1"/>
  <c r="E8" i="1"/>
  <c r="E4" i="1"/>
  <c r="E3" i="1"/>
  <c r="E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tc={D195AF35-C502-485B-94DA-80D1BBA336E1}</author>
    <author>Nguyen, Jenn</author>
    <author>Callaway, Haley</author>
  </authors>
  <commentList>
    <comment ref="G17" authorId="0" shapeId="0" xr:uid="{D195AF35-C502-485B-94DA-80D1BBA336E1}">
      <text>
        <t>[Threaded comment]
Your version of Excel allows you to read this threaded comment; however, any edits to it will get removed if the file is opened in a newer version of Excel. Learn more: https://go.microsoft.com/fwlink/?linkid=870924
Comment:
    Do we need this number? Why doesn’t it add up to the costs above?</t>
      </text>
    </comment>
    <comment ref="G22" authorId="1" shapeId="0" xr:uid="{4671D8F9-E37F-4B6F-8367-4F594124735B}">
      <text>
        <r>
          <rPr>
            <b/>
            <sz val="9"/>
            <color indexed="81"/>
            <rFont val="Tahoma"/>
            <charset val="1"/>
          </rPr>
          <t>Nguyen, Jenn:</t>
        </r>
        <r>
          <rPr>
            <sz val="9"/>
            <color indexed="81"/>
            <rFont val="Tahoma"/>
            <charset val="1"/>
          </rPr>
          <t xml:space="preserve">
Passport digital permits software license</t>
        </r>
      </text>
    </comment>
    <comment ref="G38" authorId="1" shapeId="0" xr:uid="{D233D0DD-6622-4DB4-8853-6357B6EE8BFE}">
      <text>
        <r>
          <rPr>
            <b/>
            <sz val="9"/>
            <color indexed="81"/>
            <rFont val="Tahoma"/>
            <charset val="1"/>
          </rPr>
          <t>Nguyen, Jenn:</t>
        </r>
        <r>
          <rPr>
            <sz val="9"/>
            <color indexed="81"/>
            <rFont val="Tahoma"/>
            <charset val="1"/>
          </rPr>
          <t xml:space="preserve">
Includes MONTHLY sensor fees + Sensors Amortization 5 years + Passport implementation Amortization 5 years</t>
        </r>
      </text>
    </comment>
    <comment ref="C59" authorId="2" shapeId="0" xr:uid="{EBDB72C8-81A3-47E5-8CAB-9890C816BDB1}">
      <text>
        <r>
          <rPr>
            <b/>
            <sz val="9"/>
            <color indexed="81"/>
            <rFont val="Tahoma"/>
            <charset val="1"/>
          </rPr>
          <t>Callaway, Haley:</t>
        </r>
        <r>
          <rPr>
            <sz val="9"/>
            <color indexed="81"/>
            <rFont val="Tahoma"/>
            <charset val="1"/>
          </rPr>
          <t xml:space="preserve">
Per Brian's write up: 
- Candidate will have at least 5 years of experience overseeing enterprise systems. 
- Will need to dedicate up to 20 hours per week toward the IT needs of the department.</t>
        </r>
      </text>
    </comment>
    <comment ref="C60" authorId="1" shapeId="0" xr:uid="{21B47E1E-1986-432B-85F1-289595AC3EE5}">
      <text>
        <r>
          <rPr>
            <b/>
            <sz val="9"/>
            <color indexed="81"/>
            <rFont val="Tahoma"/>
            <charset val="1"/>
          </rPr>
          <t>Nguyen, Jenn:</t>
        </r>
        <r>
          <rPr>
            <sz val="9"/>
            <color indexed="81"/>
            <rFont val="Tahoma"/>
            <charset val="1"/>
          </rPr>
          <t xml:space="preserve">
=Parking Enforcement Officer Supervisor</t>
        </r>
      </text>
    </comment>
    <comment ref="C61" authorId="1" shapeId="0" xr:uid="{D65EDCC0-C573-49F9-A2DB-B014B748C0CD}">
      <text>
        <r>
          <rPr>
            <b/>
            <sz val="9"/>
            <color indexed="81"/>
            <rFont val="Tahoma"/>
            <charset val="1"/>
          </rPr>
          <t>Nguyen, Jenn:</t>
        </r>
        <r>
          <rPr>
            <sz val="9"/>
            <color indexed="81"/>
            <rFont val="Tahoma"/>
            <charset val="1"/>
          </rPr>
          <t xml:space="preserve">
=Parking Enforcement Officer 1</t>
        </r>
      </text>
    </comment>
    <comment ref="C62" authorId="1" shapeId="0" xr:uid="{7351DD8B-77F6-4516-935B-CE817EA271E8}">
      <text>
        <r>
          <rPr>
            <b/>
            <sz val="9"/>
            <color indexed="81"/>
            <rFont val="Tahoma"/>
            <charset val="1"/>
          </rPr>
          <t>Nguyen, Jenn:</t>
        </r>
        <r>
          <rPr>
            <sz val="9"/>
            <color indexed="81"/>
            <rFont val="Tahoma"/>
            <charset val="1"/>
          </rPr>
          <t xml:space="preserve">
Skilled Maintence Worker</t>
        </r>
      </text>
    </comment>
    <comment ref="C64" authorId="1" shapeId="0" xr:uid="{584926F3-3908-421F-BD98-EA7F7FF45459}">
      <text>
        <r>
          <rPr>
            <b/>
            <sz val="9"/>
            <color indexed="81"/>
            <rFont val="Tahoma"/>
            <charset val="1"/>
          </rPr>
          <t>Nguyen, Jenn:</t>
        </r>
        <r>
          <rPr>
            <sz val="9"/>
            <color indexed="81"/>
            <rFont val="Tahoma"/>
            <charset val="1"/>
          </rPr>
          <t xml:space="preserve">
Parking Operations Supervisr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tc={D8F616CA-A4CF-4D1D-B602-EABDAEE8EDB1}</author>
    <author>Nguyen, Jenn</author>
    <author>Callaway, Haley</author>
  </authors>
  <commentList>
    <comment ref="G17" authorId="0" shapeId="0" xr:uid="{D8F616CA-A4CF-4D1D-B602-EABDAEE8EDB1}">
      <text>
        <t>[Threaded comment]
Your version of Excel allows you to read this threaded comment; however, any edits to it will get removed if the file is opened in a newer version of Excel. Learn more: https://go.microsoft.com/fwlink/?linkid=870924
Comment:
    Do we need this number? Why doesn’t it add up to the costs above?</t>
      </text>
    </comment>
    <comment ref="G22" authorId="1" shapeId="0" xr:uid="{17A7C15F-95C4-48B9-8FF4-3CA350D605C4}">
      <text>
        <r>
          <rPr>
            <b/>
            <sz val="9"/>
            <color indexed="81"/>
            <rFont val="Tahoma"/>
            <charset val="1"/>
          </rPr>
          <t>Nguyen, Jenn:</t>
        </r>
        <r>
          <rPr>
            <sz val="9"/>
            <color indexed="81"/>
            <rFont val="Tahoma"/>
            <charset val="1"/>
          </rPr>
          <t xml:space="preserve">
Passport digital permits software license</t>
        </r>
      </text>
    </comment>
    <comment ref="G38" authorId="1" shapeId="0" xr:uid="{8649DD00-F0A6-4C60-BECD-CA135A5BB905}">
      <text>
        <r>
          <rPr>
            <b/>
            <sz val="9"/>
            <color indexed="81"/>
            <rFont val="Tahoma"/>
            <charset val="1"/>
          </rPr>
          <t>Nguyen, Jenn:</t>
        </r>
        <r>
          <rPr>
            <sz val="9"/>
            <color indexed="81"/>
            <rFont val="Tahoma"/>
            <charset val="1"/>
          </rPr>
          <t xml:space="preserve">
Includes MONTHLY sensor fees + Sensors Amortization 5 years + Passport implementation Amortization 5 years</t>
        </r>
      </text>
    </comment>
    <comment ref="C58" authorId="2" shapeId="0" xr:uid="{54EC48A1-44EA-4C7F-90AF-AEF5A92E18F1}">
      <text>
        <r>
          <rPr>
            <b/>
            <sz val="9"/>
            <color indexed="81"/>
            <rFont val="Tahoma"/>
            <charset val="1"/>
          </rPr>
          <t>Callaway, Haley:</t>
        </r>
        <r>
          <rPr>
            <sz val="9"/>
            <color indexed="81"/>
            <rFont val="Tahoma"/>
            <charset val="1"/>
          </rPr>
          <t xml:space="preserve">
Per Brian's write up: 
- Candidate will have at least 5 years of experience overseeing enterprise systems. 
- Will need to dedicate up to 20 hours per week toward the IT needs of the department.</t>
        </r>
      </text>
    </comment>
    <comment ref="C59" authorId="1" shapeId="0" xr:uid="{420764BA-1BC1-4366-BCE5-681F9108912D}">
      <text>
        <r>
          <rPr>
            <b/>
            <sz val="9"/>
            <color indexed="81"/>
            <rFont val="Tahoma"/>
            <charset val="1"/>
          </rPr>
          <t>Nguyen, Jenn:</t>
        </r>
        <r>
          <rPr>
            <sz val="9"/>
            <color indexed="81"/>
            <rFont val="Tahoma"/>
            <charset val="1"/>
          </rPr>
          <t xml:space="preserve">
=Parking Enforcement Officer Supervisor</t>
        </r>
      </text>
    </comment>
    <comment ref="C60" authorId="1" shapeId="0" xr:uid="{3C708949-FEB1-4639-9FAB-3DBD68DC06AF}">
      <text>
        <r>
          <rPr>
            <b/>
            <sz val="9"/>
            <color indexed="81"/>
            <rFont val="Tahoma"/>
            <charset val="1"/>
          </rPr>
          <t>Nguyen, Jenn:</t>
        </r>
        <r>
          <rPr>
            <sz val="9"/>
            <color indexed="81"/>
            <rFont val="Tahoma"/>
            <charset val="1"/>
          </rPr>
          <t xml:space="preserve">
=Parking Enforcement Officer 1</t>
        </r>
      </text>
    </comment>
    <comment ref="C61" authorId="1" shapeId="0" xr:uid="{90979C45-70CA-48C5-A5F8-BC91F49F7B7D}">
      <text>
        <r>
          <rPr>
            <b/>
            <sz val="9"/>
            <color indexed="81"/>
            <rFont val="Tahoma"/>
            <charset val="1"/>
          </rPr>
          <t>Nguyen, Jenn:</t>
        </r>
        <r>
          <rPr>
            <sz val="9"/>
            <color indexed="81"/>
            <rFont val="Tahoma"/>
            <charset val="1"/>
          </rPr>
          <t xml:space="preserve">
Skilled Maintence Worker</t>
        </r>
      </text>
    </comment>
    <comment ref="C63" authorId="1" shapeId="0" xr:uid="{7989A7F9-98B6-46DB-818B-40C3B11B609E}">
      <text>
        <r>
          <rPr>
            <b/>
            <sz val="9"/>
            <color indexed="81"/>
            <rFont val="Tahoma"/>
            <charset val="1"/>
          </rPr>
          <t>Nguyen, Jenn:</t>
        </r>
        <r>
          <rPr>
            <sz val="9"/>
            <color indexed="81"/>
            <rFont val="Tahoma"/>
            <charset val="1"/>
          </rPr>
          <t xml:space="preserve">
Parking Operations Supervisr</t>
        </r>
      </text>
    </comment>
  </commentList>
</comments>
</file>

<file path=xl/sharedStrings.xml><?xml version="1.0" encoding="utf-8"?>
<sst xmlns="http://schemas.openxmlformats.org/spreadsheetml/2006/main" count="616" uniqueCount="204">
  <si>
    <t>Parking Provider</t>
  </si>
  <si>
    <t>RPP Scenario</t>
  </si>
  <si>
    <t>Existing</t>
  </si>
  <si>
    <t>ACE</t>
  </si>
  <si>
    <t>LAZ</t>
  </si>
  <si>
    <t>Parking Meter Type</t>
  </si>
  <si>
    <t>Multi-Space</t>
  </si>
  <si>
    <t>Single-Space</t>
  </si>
  <si>
    <t>Dual-Head</t>
  </si>
  <si>
    <t>Enforcement Cost</t>
  </si>
  <si>
    <t>Parking Management Cost</t>
  </si>
  <si>
    <t>Cap Ex Amoritized, 10% over 5 yrs</t>
  </si>
  <si>
    <t>Cap Ex Amoritized, 10% over 3 yrs</t>
  </si>
  <si>
    <t>Expanded</t>
  </si>
  <si>
    <t>YOY Increase</t>
  </si>
  <si>
    <t>In House</t>
  </si>
  <si>
    <t>Current RPP - Year One Costs</t>
  </si>
  <si>
    <t>In-House</t>
  </si>
  <si>
    <t>Operating Expenses</t>
  </si>
  <si>
    <t>Universal Costs</t>
  </si>
  <si>
    <t>Single Space</t>
  </si>
  <si>
    <t>Dual Space</t>
  </si>
  <si>
    <t>Multi Space</t>
  </si>
  <si>
    <t>Included in Inhouse Operating Costs?</t>
  </si>
  <si>
    <t>Calculation Notes</t>
  </si>
  <si>
    <t>Area Manager Allocation</t>
  </si>
  <si>
    <t>No</t>
  </si>
  <si>
    <t>Project Manager Wages</t>
  </si>
  <si>
    <t>Administrator Wages</t>
  </si>
  <si>
    <t>Enforcement Officer Wages</t>
  </si>
  <si>
    <t>Meter Support Wages</t>
  </si>
  <si>
    <t>Vacation/Holiday/Sick</t>
  </si>
  <si>
    <t>Payroll Overhead</t>
  </si>
  <si>
    <t>Health and Welfare</t>
  </si>
  <si>
    <t>401k Company Match</t>
  </si>
  <si>
    <t>Safety / Audit Fees</t>
  </si>
  <si>
    <t>Business License / Parking Bond</t>
  </si>
  <si>
    <t>IT and Technology / Reporting</t>
  </si>
  <si>
    <t>Total Labor</t>
  </si>
  <si>
    <t>n/a</t>
  </si>
  <si>
    <t>Recruiting/Testing/Training</t>
  </si>
  <si>
    <t>Parking Management</t>
  </si>
  <si>
    <t>Base Year 1 startup allowance covers 11 hires. Single-space adds 3 hires and dual-space adds 2 hires under the scenario staffing rule; each increment uses $328 per hire plus 20% contingency, rounded to $500.</t>
  </si>
  <si>
    <t>Payroll Processing</t>
  </si>
  <si>
    <t>Base allowance is 1.0% of base payroll. Single- and dual-space add 1.0% of their incremental officer and maintenance payroll.</t>
  </si>
  <si>
    <t>Uniforms</t>
  </si>
  <si>
    <t>Base allowance covers 8 field staff. Single-space adds uniforms for 3 staff and dual-space for 2 staff at $320 each.</t>
  </si>
  <si>
    <t>Parking/Meter Supplies</t>
  </si>
  <si>
    <t>Uses ACE's scenario-specific supplies allowances because meter type drives parts and consumables.</t>
  </si>
  <si>
    <t>Software License Fees</t>
  </si>
  <si>
    <t>Shared Passport digital-permit license included once across all selected packages; direct annual vendor amount of $15,000.</t>
  </si>
  <si>
    <t>Vehicles Lease 5 years</t>
  </si>
  <si>
    <t>No - Purchase as Capital</t>
  </si>
  <si>
    <t>No recurring lease assumed. The City purchases the vehicles up front; purchase costs are included in capital expenses on row 50.</t>
  </si>
  <si>
    <t>LPR On-going Fees</t>
  </si>
  <si>
    <t>Enforcement</t>
  </si>
  <si>
    <t>Shared Route1/Genetec annual support and licenses for two ALPR-equipped vehicles, included once across all scenarios; direct annual vendor amount of $12,951. The total fleet may range from 3 to 5 vehicles, but only two are assumed to carry ALPR equipment unless operations determine additional units are needed.</t>
  </si>
  <si>
    <t>Meter Software / Data / Support</t>
  </si>
  <si>
    <t>Vendor-specific recurring component of the selected direct-purchase packages: MacKay mkBeacon single-space, MacKay mkBeacon dual-space, and Flowbird CWT S4+ multi-space. Each formula subtracts the shared Passport, eleven-x sensor, and Route1/Genetec costs already included in L22, L27, and L24 from the package annual total.</t>
  </si>
  <si>
    <t>Genetec Software/Support</t>
  </si>
  <si>
    <t>No - Duplicate</t>
  </si>
  <si>
    <t>Excluded to avoid double counting. Route1/Genetec annual support and licenses are already included once in L24 as a shared component of every selected technology package.</t>
  </si>
  <si>
    <t>Parking Sensor Software/Support</t>
  </si>
  <si>
    <t>Shared eleven-x managed network and dashboard subscriptions included once across all selected packages: $4,200 + $2,784 = $6,984 annually.</t>
  </si>
  <si>
    <t>Turbo Data Handheld Rental</t>
  </si>
  <si>
    <t>Uses LAZ's flat $7,200 annual Turbodata software-fee allowance for every scenario. No per-device rate is documented, so the cost is not scaled with handheld or officer count.</t>
  </si>
  <si>
    <t>Telephone</t>
  </si>
  <si>
    <t>Uses LAZ's flat $9,600 annual Telephone/Cellular allowance for every scenario. No per-user rate or documented user count is available, so the cost is not scaled with staffing.</t>
  </si>
  <si>
    <t>Computer Expense</t>
  </si>
  <si>
    <t>Six computer users × $500 annual device/support allowance: project manager, administrator, IT, enforcement supervisor, operations supervisor, and coordinator.</t>
  </si>
  <si>
    <t>Signs</t>
  </si>
  <si>
    <t>ACE annual sign-replacement allowance; common to all scenarios.</t>
  </si>
  <si>
    <t>Repair and Maintenance</t>
  </si>
  <si>
    <t>Uses ACE's scenario-specific repair and maintenance allowances because meter quantity/type drives service effort and parts.</t>
  </si>
  <si>
    <t>PCI Compliance</t>
  </si>
  <si>
    <t>ACE annual PCI-compliance allowance; common to all scenarios.</t>
  </si>
  <si>
    <t>Bank Fees</t>
  </si>
  <si>
    <t>ACE annual banking allowance; common to all scenarios. Transaction-based merchant fees remain excluded.</t>
  </si>
  <si>
    <t>Vehicle Fuel</t>
  </si>
  <si>
    <t>LAZ fuel benchmark for the 5-vehicle single-space fleet; scaled to 4 vehicles for dual-space and 3 for multi-space.</t>
  </si>
  <si>
    <t>Insurance - Vehicle</t>
  </si>
  <si>
    <t>LAZ vehicle-insurance benchmark for the 5-vehicle single-space fleet; scaled to 4 vehicles for dual-space and 3 for multi-space.</t>
  </si>
  <si>
    <t>Insurance - Liability</t>
  </si>
  <si>
    <t>Base planning proxy is 3% of base payroll. Single- and dual-space add 3% of incremental officer and maintenance payroll; replace with the City's actual risk-manager premium when available.</t>
  </si>
  <si>
    <t>Equipment Amortization</t>
  </si>
  <si>
    <t>Storage Space Rental</t>
  </si>
  <si>
    <t>Office Space Rental</t>
  </si>
  <si>
    <t>Clerical Fee</t>
  </si>
  <si>
    <t>Management Fee</t>
  </si>
  <si>
    <t>Recurring non-labor operating costs use complete direct-vendor technology packages: MacKay single-space, MacKay dual-space, and Flowbird multi-space (cheapest equipment options). Shared Passport, eleven-x, and Route1/Genetec charges are counted once; Turbodata and telephone remain flat LAZ allowances; vehicle leasing is excluded.</t>
  </si>
  <si>
    <t>Payment Bond (1.20%)</t>
  </si>
  <si>
    <t>No payment bond assumed for direct City operations.</t>
  </si>
  <si>
    <t>Total Expenses</t>
  </si>
  <si>
    <t>Total annual expanded in-house expense equals recurring non-labor operating costs plus expanded-program staffing, which adds one enforcement officer to every equipment scenario. Capital purchases remain separate.</t>
  </si>
  <si>
    <t>Capital Expenses</t>
  </si>
  <si>
    <t>Included in Inhouse Capital Costs?</t>
  </si>
  <si>
    <t>Meters</t>
  </si>
  <si>
    <t>Genetec Mobile LPR Units</t>
  </si>
  <si>
    <t>Shared LAZ/Route1 Genetec mobile LPR capital package for two ALPR-equipped vehicles used in all scenarios: engineering services, hardware/software, user interface and communications, and sales tax. Selected because its lower upfront cost produces the lower five-year total than ACE. The total fleet may range from 3 to 5 vehicles, but Genetec costs are not scaled because only two vehicles are assumed to carry ALPR equipment; obtain an updated Route1 quote if additional ALPR units are required. Annual support/licenses are included separately in L24.</t>
  </si>
  <si>
    <t>Toyota Corolla</t>
  </si>
  <si>
    <t>Purchase vehicles using ACE's scenario quantities and pricing: 5 vehicles for single-space, 4 for dual-space, and 3 for multi-space.</t>
  </si>
  <si>
    <t>Parking Sensors</t>
  </si>
  <si>
    <t>Shared eleven-x installed sensor system used in all scenarios: 48 SPS-X sensors ($9,552), 3 wireless gateways ($3,285), and installation/setup ($27,952), totaling $40,789. Selected over ACE/Fybr because its lower annual cost produces the lower five-year system cost and maintains consistency with the selected LAZ technology packages.</t>
  </si>
  <si>
    <t>Total In-House Capital Costs</t>
  </si>
  <si>
    <t>Approved items only</t>
  </si>
  <si>
    <t xml:space="preserve">Inhouse Staffing Plan </t>
  </si>
  <si>
    <t>Fully Burdened Costs</t>
  </si>
  <si>
    <t>Included in Inhouse Labor Costs?</t>
  </si>
  <si>
    <t>Project Manager</t>
  </si>
  <si>
    <t>Yes</t>
  </si>
  <si>
    <t>Total fully burdened labor for the expanded RPP, including one additional enforcement officer in every equipment scenario compared with the existing RPP. Fixed roles are the project manager, administrator, part-time IT specialist, enforcement supervisor, operations supervisor, and operations coordinator. Single-space includes 7 officers and 2 maintenance workers; dual-space includes 6 officers and 2 maintenance workers; multi-space includes 5 officers and 1 maintenance worker.</t>
  </si>
  <si>
    <t>Administrator</t>
  </si>
  <si>
    <t>IT Specialist II - PT</t>
  </si>
  <si>
    <t>Parking Enforcement Supervisor</t>
  </si>
  <si>
    <t>Parking Enforcement Officer x4</t>
  </si>
  <si>
    <t>Skilled Maintenance Worker</t>
  </si>
  <si>
    <t>Parking Operations Supervisor</t>
  </si>
  <si>
    <t>Parking Operations Coordinator</t>
  </si>
  <si>
    <t>Total annual in-house expense equals recurring non-labor operating costs plus scenario staffing. Capital purchases remain separate in row 54.</t>
  </si>
  <si>
    <t>Selected direct-purchase meter/pay-station capital packages: MacKay mkBeacon single-space (747 meters plus poles, tariffs, tax, shipping, and installation); MacKay mkBeacon dual-space (374 meters plus poles, tariffs, tax, shipping, and installation); and Flowbird CWT S4+ multi-space (62 pay stations plus spare-parts bundle, programming, prevailing-wage installation, freight, and sales tax). Recurring software and support are included separately in row 25.</t>
  </si>
  <si>
    <t>Passport Implementation</t>
  </si>
  <si>
    <t>One-time Passport digital-permit implementation charge shared across all scenarios. The annual $15,000 software license is included separately in row 22; usage-based permit and payment-processing fees are passed through to users and excluded from City costs.</t>
  </si>
  <si>
    <t>Total in-house capital includes the selected meter/pay-station package, shared Passport implementation, the two-vehicle LAZ/Route1 Genetec LPR package, the eleven-x sensor system, and purchased vehicles. Usage-based fees are excluded because they will be passed through to users; contingency and escalation will be added later.</t>
  </si>
  <si>
    <t>Total fully burdened labor by equipment plan. Fixed roles are the project manager, administrator, part-time IT specialist, enforcement supervisor, operations supervisor, and operations coordinator. Single-space includes 6 enforcement officers and 2 maintenance workers; dual-space includes 5 officers and 2 maintenance workers; multi-space includes 4 officers and 1 maintenance worker.</t>
  </si>
  <si>
    <t>Allocated from total labor using Budget-Existing_RPP!V4:W4.</t>
  </si>
  <si>
    <t>Labor Allocation - Enforcement</t>
  </si>
  <si>
    <t>Labor Allocation - Parking Management</t>
  </si>
  <si>
    <t>City In-House RPP Cost Summary</t>
  </si>
  <si>
    <t>Equipment Scenario</t>
  </si>
  <si>
    <t>Total Operating Cost</t>
  </si>
  <si>
    <t>Capital Purchase</t>
  </si>
  <si>
    <t>5-Year Annualized CapEx</t>
  </si>
  <si>
    <t>3-Year Annualized CapEx</t>
  </si>
  <si>
    <t>Year 1 + 5-Yr CapEx</t>
  </si>
  <si>
    <t>Year 1 + 3-Yr CapEx</t>
  </si>
  <si>
    <t>Labor — Enforcement</t>
  </si>
  <si>
    <t>Labor — Parking Mgmt</t>
  </si>
  <si>
    <t>Enforcement Labor</t>
  </si>
  <si>
    <t>Enforcement Operating</t>
  </si>
  <si>
    <t>Total Enforcement</t>
  </si>
  <si>
    <t>Parking Mgmt Labor</t>
  </si>
  <si>
    <t>Parking Mgmt Operating</t>
  </si>
  <si>
    <t>Total Parking Mgmt</t>
  </si>
  <si>
    <t>Total Operating</t>
  </si>
  <si>
    <t>Enforcement Share</t>
  </si>
  <si>
    <t>Meters / Pay Stations</t>
  </si>
  <si>
    <t>Mobile LPR Units</t>
  </si>
  <si>
    <t>Purchased Vehicles</t>
  </si>
  <si>
    <t>Total Capital</t>
  </si>
  <si>
    <t>Enforcement CapEx</t>
  </si>
  <si>
    <t>Parking Mgmt CapEx</t>
  </si>
  <si>
    <t>5-Year Annualized</t>
  </si>
  <si>
    <t>3-Year Annualized</t>
  </si>
  <si>
    <t>Labor allocation</t>
  </si>
  <si>
    <t>Capital ownership</t>
  </si>
  <si>
    <t>Escalation</t>
  </si>
  <si>
    <t>Source Row</t>
  </si>
  <si>
    <t>Cost Item</t>
  </si>
  <si>
    <t>Allocation / Treatment</t>
  </si>
  <si>
    <t>Calculation Note</t>
  </si>
  <si>
    <t>Reconciliation Difference</t>
  </si>
  <si>
    <t>Consolidated cost assumptions first, followed by the City scenario comparisons — live-linked to both RPP models</t>
  </si>
  <si>
    <t>1 | Consolidated Cost Inputs and Calculation Notes</t>
  </si>
  <si>
    <t>Category</t>
  </si>
  <si>
    <t>RPP Applicability</t>
  </si>
  <si>
    <t>Operating</t>
  </si>
  <si>
    <t>Capital</t>
  </si>
  <si>
    <t>Labor-driven operating</t>
  </si>
  <si>
    <t>Labor</t>
  </si>
  <si>
    <t>Total Fully Burdened Labor</t>
  </si>
  <si>
    <t>Parking Management Labor</t>
  </si>
  <si>
    <t>Calculation Conventions</t>
  </si>
  <si>
    <t>64.54% Enforcement / 35.46% Parking Management, following the LAZ benchmark.</t>
  </si>
  <si>
    <t>City purchases vehicles and equipment; no recurring vehicle lease is included.</t>
  </si>
  <si>
    <t>Annualization</t>
  </si>
  <si>
    <t>PMT at 10% over either 5 years or 3 years.</t>
  </si>
  <si>
    <t>3% year-over-year for all in-house scenarios.</t>
  </si>
  <si>
    <t>All Scenario Cost</t>
  </si>
  <si>
    <t>Both</t>
  </si>
  <si>
    <t>Vendor-specific recurring component of the selected direct-purchase packages. Current selection is the cheapest option, subject to change based on actual selection: MacKay mkBeacon single-space, MacKay mkBeacon dual-space, and Flowbird CWT S4+ multi-space. Each formula subtracts the shared Passport, eleven-x sensor, and Route1/Genetec costs already included in L22, L27, and L24 from the package annual total.</t>
  </si>
  <si>
    <t>Vendor-specific recurring component of the selected direct-purchase packages. Current selection is the cheapest option, subject to change based on actual selection: MacKay mkBeacon single-space, MacKay mkBeacon dual-space, and Flowbird CWT S4+ multi-space. Each formula subtracts the shared Passport, eleven-x sensor, and Route1/Genetec costs already included other rows.</t>
  </si>
  <si>
    <t>Selected direct-purchase meter/pay-station capital packages: MacKay mkBeacon single-space (747 meters plus poles, tariffs, tax, shipping, and installation); MacKay mkBeacon dual-space (374 meters plus poles, tariffs, tax, shipping, and installation); and Flowbird CWT S4+ multi-space (62 pay stations plus spare-parts bundle, programming, prevailing-wage installation, freight, and sales tax). Recurring software and support are included separately.</t>
  </si>
  <si>
    <t>One-time Passport digital-permit implementation charge shared across all scenarios. The annual $15,000 software license is included separately; usage-based permit and payment-processing fees are passed through to users and excluded from City costs.</t>
  </si>
  <si>
    <t>2 | Labor Positions and Staffing Costs</t>
  </si>
  <si>
    <t>Position</t>
  </si>
  <si>
    <t>Fully Burdened Unit Cost</t>
  </si>
  <si>
    <t>Existing Single FTE</t>
  </si>
  <si>
    <t>Existing Dual FTE</t>
  </si>
  <si>
    <t>Existing Multi FTE</t>
  </si>
  <si>
    <t>Expanded Single FTE</t>
  </si>
  <si>
    <t>Expanded Dual FTE</t>
  </si>
  <si>
    <t>Expanded Multi FTE</t>
  </si>
  <si>
    <t>Existing Single Cost</t>
  </si>
  <si>
    <t>Existing Dual Cost</t>
  </si>
  <si>
    <t>Existing Multi Cost</t>
  </si>
  <si>
    <t>Expanded Single Cost</t>
  </si>
  <si>
    <t>Expanded Dual Cost</t>
  </si>
  <si>
    <t>Expanded Multi Cost</t>
  </si>
  <si>
    <t>Parking Enforcement Officer</t>
  </si>
  <si>
    <t>Total FTE</t>
  </si>
  <si>
    <t>Expanded RPP staffing adds one Parking Enforcement Officer to each equipment scenario; all other position counts and unit costs remain unchanged.</t>
  </si>
  <si>
    <t>3 | Year-One Scenario Comparison</t>
  </si>
  <si>
    <t>4 | Enforcement vs. Parking Management Allocation</t>
  </si>
  <si>
    <t>5 | Equipment and Capital by RPP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</si>
</sst>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164" formatCode="_(&quot;$&quot;* #,##0_);_(&quot;$&quot;* \(#,##0\);_(&quot;$&quot;* &quot;-&quot;??_);_(@_)"/>
    <numFmt numFmtId="165" formatCode="&quot;$&quot;#,##0"/>
    <numFmt numFmtId="167" formatCode="0.0%"/>
    <numFmt numFmtId="168" formatCode="0.0"/>
  </numFmts>
  <fonts count="22">
    <font>
      <sz val="11"/>
      <color theme="1"/>
      <name val="Calibri"/>
      <family val="2"/>
      <scheme val="minor"/>
    </font>
    <font>
      <sz val="11"/>
      <color theme="1"/>
      <name val="Calibri"/>
      <family val="2"/>
      <scheme val="minor"/>
    </font>
    <font>
      <b/>
      <sz val="11"/>
      <color theme="1"/>
      <name val="Calibri"/>
      <family val="2"/>
      <scheme val="minor"/>
    </font>
    <font>
      <sz val="11"/>
      <name val="Carlito"/>
    </font>
    <font>
      <b/>
      <sz val="14"/>
      <color rgb="FF1F4E78"/>
      <name val="Carlito"/>
    </font>
    <font>
      <b/>
      <sz val="11"/>
      <name val="Carlito"/>
    </font>
    <font>
      <b/>
      <sz val="11"/>
      <color theme="0"/>
      <name val="Carlito"/>
    </font>
    <font>
      <sz val="11"/>
      <color theme="1"/>
      <name val="Carlito"/>
    </font>
    <font>
      <b/>
      <sz val="11"/>
      <color theme="1"/>
      <name val="Carlito"/>
    </font>
    <font>
      <b/>
      <sz val="9"/>
      <color indexed="81"/>
      <name val="Tahoma"/>
      <charset val="1"/>
    </font>
    <font>
      <sz val="9"/>
      <color indexed="81"/>
      <name val="Tahoma"/>
      <charset val="1"/>
    </font>
    <font>
      <sz val="11"/>
      <name val="Arial"/>
    </font>
    <font>
      <b/>
      <sz val="11"/>
      <name val="Arial"/>
    </font>
    <font>
      <sz val="10"/>
      <color theme="1"/>
      <name val="Aptos"/>
    </font>
    <font>
      <b/>
      <sz val="10"/>
      <color rgb="FFFFFFFF"/>
      <name val="Aptos"/>
    </font>
    <font>
      <b/>
      <sz val="20"/>
      <color rgb="FFFFFFFF"/>
      <name val="Aptos"/>
    </font>
    <font>
      <i/>
      <sz val="11"/>
      <color rgb="FF334E68"/>
      <name val="Aptos"/>
    </font>
    <font>
      <b/>
      <sz val="12"/>
      <color rgb="FFFFFFFF"/>
      <name val="Aptos"/>
    </font>
    <font>
      <b/>
      <sz val="10"/>
      <color theme="1"/>
      <name val="Aptos"/>
    </font>
    <font>
      <b/>
      <sz val="10"/>
      <color rgb="FF375623"/>
      <name val="Aptos"/>
    </font>
    <font>
      <i/>
      <sz val="11"/>
      <color theme="1"/>
      <name val="Calibri"/>
      <family val="2"/>
      <scheme val="minor"/>
    </font>
    <font>
      <b/>
      <sz val="12"/>
      <color rgb="FFFFFFFF"/>
      <name val="Aptos"/>
      <family val="2"/>
    </font>
  </fonts>
  <fills count="18">
    <fill>
      <patternFill patternType="none"/>
    </fill>
    <fill>
      <patternFill patternType="gray125"/>
    </fill>
    <fill>
      <patternFill patternType="solid">
        <fgColor rgb="FFFCE4D6"/>
        <bgColor indexed="64"/>
      </patternFill>
    </fill>
    <fill>
      <patternFill patternType="solid">
        <fgColor theme="4"/>
        <bgColor theme="4"/>
      </patternFill>
    </fill>
    <fill>
      <patternFill patternType="solid">
        <fgColor theme="0" tint="-0.14999847407452621"/>
        <bgColor indexed="64"/>
      </patternFill>
    </fill>
    <fill>
      <patternFill patternType="solid">
        <fgColor rgb="FFD9EAF7"/>
        <bgColor indexed="64"/>
      </patternFill>
    </fill>
    <fill>
      <patternFill patternType="solid">
        <fgColor rgb="FFFFFFFF"/>
        <bgColor indexed="64"/>
      </patternFill>
    </fill>
    <fill>
      <patternFill patternType="solid">
        <fgColor rgb="FF17365D"/>
        <bgColor indexed="64"/>
      </patternFill>
    </fill>
    <fill>
      <patternFill patternType="solid">
        <fgColor rgb="FFDCE6F1"/>
        <bgColor indexed="64"/>
      </patternFill>
    </fill>
    <fill>
      <patternFill patternType="solid">
        <fgColor rgb="FF1F4E78"/>
        <bgColor indexed="64"/>
      </patternFill>
    </fill>
    <fill>
      <patternFill patternType="solid">
        <fgColor rgb="FF5B9BD5"/>
        <bgColor indexed="64"/>
      </patternFill>
    </fill>
    <fill>
      <patternFill patternType="solid">
        <fgColor rgb="FFF2F2F2"/>
        <bgColor indexed="64"/>
      </patternFill>
    </fill>
    <fill>
      <patternFill patternType="solid">
        <fgColor rgb="FFEAF2F8"/>
        <bgColor indexed="64"/>
      </patternFill>
    </fill>
    <fill>
      <patternFill patternType="solid">
        <fgColor rgb="FFE2F0D9"/>
        <bgColor indexed="64"/>
      </patternFill>
    </fill>
    <fill>
      <patternFill patternType="solid">
        <fgColor rgb="FFF7F9FC"/>
        <bgColor indexed="64"/>
      </patternFill>
    </fill>
    <fill>
      <patternFill patternType="solid">
        <fgColor rgb="FFEEF4F8"/>
        <bgColor indexed="64"/>
      </patternFill>
    </fill>
    <fill>
      <patternFill patternType="solid">
        <fgColor rgb="FFFFF2CC"/>
        <bgColor indexed="64"/>
      </patternFill>
    </fill>
    <fill>
      <patternFill patternType="solid">
        <fgColor rgb="FFD9EAD3"/>
        <bgColor indexed="64"/>
      </patternFill>
    </fill>
  </fills>
  <borders count="11">
    <border>
      <left/>
      <right/>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right/>
      <top style="thin">
        <color rgb="FFA6A6A6"/>
      </top>
      <bottom/>
      <diagonal/>
    </border>
    <border>
      <left style="thin">
        <color indexed="64"/>
      </left>
      <right style="thin">
        <color indexed="64"/>
      </right>
      <top style="thin">
        <color indexed="64"/>
      </top>
      <bottom/>
      <diagonal/>
    </border>
    <border>
      <left/>
      <right/>
      <top/>
      <bottom style="hair">
        <color rgb="FFD9E2F3"/>
      </bottom>
      <diagonal/>
    </border>
    <border>
      <left/>
      <right/>
      <top style="hair">
        <color rgb="FFD9E2F3"/>
      </top>
      <bottom style="hair">
        <color rgb="FFD9E2F3"/>
      </bottom>
      <diagonal/>
    </border>
    <border>
      <left/>
      <right/>
      <top style="hair">
        <color rgb="FFD9E2F3"/>
      </top>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xf numFmtId="44" fontId="3" fillId="0" borderId="0" applyFont="0" applyFill="0" applyBorder="0" applyAlignment="0" applyProtection="0"/>
  </cellStyleXfs>
  <cellXfs count="98">
    <xf numFmtId="0" fontId="0" fillId="0" borderId="0" xfId="0"/>
    <xf numFmtId="8" fontId="0" fillId="0" borderId="0" xfId="0" applyNumberFormat="1"/>
    <xf numFmtId="0" fontId="2" fillId="0" borderId="0" xfId="0" applyFont="1"/>
    <xf numFmtId="9" fontId="0" fillId="0" borderId="0" xfId="2" applyFont="1"/>
    <xf numFmtId="164" fontId="3" fillId="0" borderId="0" xfId="3" applyNumberFormat="1"/>
    <xf numFmtId="164" fontId="0" fillId="0" borderId="0" xfId="4" applyNumberFormat="1" applyFont="1"/>
    <xf numFmtId="0" fontId="3" fillId="0" borderId="0" xfId="3"/>
    <xf numFmtId="0" fontId="6" fillId="3" borderId="2" xfId="3" applyFont="1" applyFill="1" applyBorder="1"/>
    <xf numFmtId="164" fontId="6" fillId="3" borderId="3" xfId="3" applyNumberFormat="1" applyFont="1" applyFill="1" applyBorder="1"/>
    <xf numFmtId="164" fontId="6" fillId="3" borderId="4" xfId="3" applyNumberFormat="1" applyFont="1" applyFill="1" applyBorder="1"/>
    <xf numFmtId="0" fontId="6" fillId="3" borderId="3" xfId="3" applyFont="1" applyFill="1" applyBorder="1"/>
    <xf numFmtId="0" fontId="6" fillId="3" borderId="4" xfId="3" applyFont="1" applyFill="1" applyBorder="1"/>
    <xf numFmtId="0" fontId="6" fillId="3" borderId="0" xfId="3" applyFont="1" applyFill="1"/>
    <xf numFmtId="0" fontId="7" fillId="0" borderId="0" xfId="3" applyFont="1"/>
    <xf numFmtId="164" fontId="7" fillId="4" borderId="0" xfId="4" applyNumberFormat="1" applyFont="1" applyFill="1"/>
    <xf numFmtId="164" fontId="0" fillId="4" borderId="0" xfId="4" applyNumberFormat="1" applyFont="1" applyFill="1"/>
    <xf numFmtId="0" fontId="8" fillId="0" borderId="0" xfId="3" applyFont="1"/>
    <xf numFmtId="164" fontId="8" fillId="0" borderId="0" xfId="4" applyNumberFormat="1" applyFont="1"/>
    <xf numFmtId="165" fontId="3" fillId="0" borderId="0" xfId="3" applyNumberFormat="1" applyAlignment="1">
      <alignment horizontal="right"/>
    </xf>
    <xf numFmtId="0" fontId="3" fillId="0" borderId="0" xfId="3" applyAlignment="1">
      <alignment horizontal="left" wrapText="1"/>
    </xf>
    <xf numFmtId="164" fontId="7" fillId="0" borderId="0" xfId="4" applyNumberFormat="1" applyFont="1"/>
    <xf numFmtId="165" fontId="5" fillId="5" borderId="0" xfId="3" applyNumberFormat="1" applyFont="1" applyFill="1" applyAlignment="1">
      <alignment horizontal="right"/>
    </xf>
    <xf numFmtId="0" fontId="5" fillId="5" borderId="0" xfId="3" applyFont="1" applyFill="1" applyAlignment="1">
      <alignment horizontal="left" wrapText="1"/>
    </xf>
    <xf numFmtId="0" fontId="6" fillId="3" borderId="0" xfId="3" applyFont="1" applyFill="1" applyAlignment="1">
      <alignment wrapText="1"/>
    </xf>
    <xf numFmtId="165" fontId="3" fillId="0" borderId="0" xfId="3" applyNumberFormat="1"/>
    <xf numFmtId="0" fontId="3" fillId="0" borderId="0" xfId="3" applyAlignment="1">
      <alignment wrapText="1"/>
    </xf>
    <xf numFmtId="164" fontId="0" fillId="0" borderId="0" xfId="4" applyNumberFormat="1" applyFont="1" applyFill="1"/>
    <xf numFmtId="0" fontId="5" fillId="5" borderId="0" xfId="3" applyFont="1" applyFill="1"/>
    <xf numFmtId="164" fontId="5" fillId="5" borderId="0" xfId="4" applyNumberFormat="1" applyFont="1" applyFill="1"/>
    <xf numFmtId="165" fontId="5" fillId="5" borderId="0" xfId="3" applyNumberFormat="1" applyFont="1" applyFill="1"/>
    <xf numFmtId="0" fontId="5" fillId="5" borderId="0" xfId="3" applyFont="1" applyFill="1" applyAlignment="1">
      <alignment wrapText="1"/>
    </xf>
    <xf numFmtId="0" fontId="3" fillId="0" borderId="5" xfId="3" applyBorder="1"/>
    <xf numFmtId="164" fontId="0" fillId="0" borderId="5" xfId="4" applyNumberFormat="1" applyFont="1" applyBorder="1"/>
    <xf numFmtId="9" fontId="0" fillId="0" borderId="0" xfId="0" applyNumberFormat="1"/>
    <xf numFmtId="164" fontId="0" fillId="0" borderId="0" xfId="1" applyNumberFormat="1" applyFont="1"/>
    <xf numFmtId="164" fontId="11" fillId="0" borderId="0" xfId="4" applyNumberFormat="1" applyFont="1" applyBorder="1"/>
    <xf numFmtId="0" fontId="12" fillId="0" borderId="0" xfId="3" applyFont="1"/>
    <xf numFmtId="164" fontId="11" fillId="0" borderId="6" xfId="4" applyNumberFormat="1" applyFont="1" applyBorder="1"/>
    <xf numFmtId="0" fontId="12" fillId="0" borderId="6" xfId="3" applyFont="1" applyBorder="1"/>
    <xf numFmtId="164" fontId="0" fillId="0" borderId="7" xfId="4" applyNumberFormat="1" applyFont="1" applyBorder="1"/>
    <xf numFmtId="0" fontId="3" fillId="0" borderId="7" xfId="3" applyBorder="1"/>
    <xf numFmtId="0" fontId="11" fillId="0" borderId="0" xfId="3" applyFont="1" applyAlignment="1">
      <alignment wrapText="1"/>
    </xf>
    <xf numFmtId="165" fontId="12" fillId="0" borderId="0" xfId="3" applyNumberFormat="1" applyFont="1"/>
    <xf numFmtId="0" fontId="11" fillId="0" borderId="0" xfId="3" applyFont="1"/>
    <xf numFmtId="0" fontId="11" fillId="0" borderId="6" xfId="3" applyFont="1" applyBorder="1" applyAlignment="1">
      <alignment wrapText="1"/>
    </xf>
    <xf numFmtId="165" fontId="12" fillId="0" borderId="6" xfId="3" applyNumberFormat="1" applyFont="1" applyBorder="1"/>
    <xf numFmtId="0" fontId="11" fillId="0" borderId="6" xfId="3" applyFont="1" applyBorder="1"/>
    <xf numFmtId="0" fontId="4" fillId="2" borderId="0" xfId="3" applyFont="1" applyFill="1" applyAlignment="1">
      <alignment horizontal="center" vertical="center"/>
    </xf>
    <xf numFmtId="164" fontId="5" fillId="0" borderId="0" xfId="3" applyNumberFormat="1" applyFont="1" applyAlignment="1">
      <alignment horizontal="center"/>
    </xf>
    <xf numFmtId="0" fontId="5" fillId="0" borderId="1" xfId="3" applyFont="1" applyBorder="1" applyAlignment="1">
      <alignment horizontal="center"/>
    </xf>
    <xf numFmtId="0" fontId="13" fillId="0" borderId="0" xfId="0" applyFont="1"/>
    <xf numFmtId="0" fontId="13" fillId="6" borderId="0" xfId="0" applyFont="1" applyFill="1" applyAlignment="1">
      <alignment vertical="center"/>
    </xf>
    <xf numFmtId="0" fontId="15" fillId="7" borderId="0" xfId="0" applyFont="1" applyFill="1" applyAlignment="1">
      <alignment vertical="center"/>
    </xf>
    <xf numFmtId="0" fontId="16" fillId="8" borderId="0" xfId="0" applyFont="1" applyFill="1" applyAlignment="1">
      <alignment vertical="center"/>
    </xf>
    <xf numFmtId="0" fontId="17" fillId="9" borderId="0" xfId="0" applyFont="1" applyFill="1" applyAlignment="1">
      <alignment vertical="center"/>
    </xf>
    <xf numFmtId="0" fontId="18" fillId="8" borderId="0" xfId="0" applyFont="1" applyFill="1" applyAlignment="1">
      <alignment vertical="center"/>
    </xf>
    <xf numFmtId="0" fontId="13" fillId="14" borderId="0" xfId="0" applyFont="1" applyFill="1" applyAlignment="1">
      <alignment vertical="center"/>
    </xf>
    <xf numFmtId="0" fontId="14" fillId="10" borderId="8" xfId="0" applyFont="1" applyFill="1" applyBorder="1" applyAlignment="1">
      <alignment horizontal="center" vertical="center" wrapText="1"/>
    </xf>
    <xf numFmtId="165" fontId="13" fillId="11" borderId="9" xfId="0" applyNumberFormat="1" applyFont="1" applyFill="1" applyBorder="1" applyAlignment="1">
      <alignment horizontal="right" vertical="center"/>
    </xf>
    <xf numFmtId="165" fontId="18" fillId="11" borderId="9" xfId="0" applyNumberFormat="1" applyFont="1" applyFill="1" applyBorder="1" applyAlignment="1">
      <alignment horizontal="right" vertical="center"/>
    </xf>
    <xf numFmtId="167" fontId="13" fillId="11" borderId="9" xfId="0" applyNumberFormat="1" applyFont="1" applyFill="1" applyBorder="1" applyAlignment="1">
      <alignment horizontal="right" vertical="center"/>
    </xf>
    <xf numFmtId="165" fontId="19" fillId="13" borderId="9" xfId="0" applyNumberFormat="1" applyFont="1" applyFill="1" applyBorder="1" applyAlignment="1">
      <alignment horizontal="right" vertical="center"/>
    </xf>
    <xf numFmtId="165" fontId="13" fillId="12" borderId="9" xfId="0" applyNumberFormat="1" applyFont="1" applyFill="1" applyBorder="1" applyAlignment="1">
      <alignment horizontal="right" vertical="center"/>
    </xf>
    <xf numFmtId="165" fontId="18" fillId="12" borderId="9" xfId="0" applyNumberFormat="1" applyFont="1" applyFill="1" applyBorder="1" applyAlignment="1">
      <alignment horizontal="right" vertical="center"/>
    </xf>
    <xf numFmtId="167" fontId="13" fillId="12" borderId="9" xfId="0" applyNumberFormat="1" applyFont="1" applyFill="1" applyBorder="1" applyAlignment="1">
      <alignment horizontal="right" vertical="center"/>
    </xf>
    <xf numFmtId="165" fontId="13" fillId="12" borderId="10" xfId="0" applyNumberFormat="1" applyFont="1" applyFill="1" applyBorder="1" applyAlignment="1">
      <alignment horizontal="right" vertical="center"/>
    </xf>
    <xf numFmtId="165" fontId="18" fillId="12" borderId="10" xfId="0" applyNumberFormat="1" applyFont="1" applyFill="1" applyBorder="1" applyAlignment="1">
      <alignment horizontal="right" vertical="center"/>
    </xf>
    <xf numFmtId="167" fontId="13" fillId="12" borderId="10" xfId="0" applyNumberFormat="1" applyFont="1" applyFill="1" applyBorder="1" applyAlignment="1">
      <alignment horizontal="right" vertical="center"/>
    </xf>
    <xf numFmtId="165" fontId="19" fillId="13" borderId="10" xfId="0" applyNumberFormat="1" applyFont="1" applyFill="1" applyBorder="1" applyAlignment="1">
      <alignment horizontal="right" vertical="center"/>
    </xf>
    <xf numFmtId="0" fontId="13" fillId="15" borderId="9" xfId="0" applyFont="1" applyFill="1" applyBorder="1" applyAlignment="1">
      <alignment horizontal="center" vertical="center"/>
    </xf>
    <xf numFmtId="0" fontId="13" fillId="15" borderId="9" xfId="0" applyFont="1" applyFill="1" applyBorder="1" applyAlignment="1">
      <alignment vertical="center" wrapText="1"/>
    </xf>
    <xf numFmtId="165" fontId="13" fillId="15" borderId="9" xfId="0" applyNumberFormat="1" applyFont="1" applyFill="1" applyBorder="1" applyAlignment="1">
      <alignment horizontal="right" vertical="center"/>
    </xf>
    <xf numFmtId="0" fontId="14" fillId="10" borderId="8" xfId="0" applyFont="1" applyFill="1" applyBorder="1" applyAlignment="1">
      <alignment horizontal="center" vertical="center" wrapText="1"/>
    </xf>
    <xf numFmtId="0" fontId="13" fillId="14" borderId="9" xfId="0" applyFont="1" applyFill="1" applyBorder="1" applyAlignment="1">
      <alignment vertical="center" wrapText="1"/>
    </xf>
    <xf numFmtId="165" fontId="13" fillId="14" borderId="9" xfId="0" applyNumberFormat="1" applyFont="1" applyFill="1" applyBorder="1" applyAlignment="1">
      <alignment horizontal="right" vertical="center"/>
    </xf>
    <xf numFmtId="0" fontId="13" fillId="14" borderId="9" xfId="0" applyFont="1" applyFill="1" applyBorder="1" applyAlignment="1">
      <alignment horizontal="center" vertical="center"/>
    </xf>
    <xf numFmtId="0" fontId="13" fillId="14" borderId="9" xfId="0" applyFont="1" applyFill="1" applyBorder="1" applyAlignment="1">
      <alignment vertical="center" wrapText="1"/>
    </xf>
    <xf numFmtId="0" fontId="18" fillId="15" borderId="9" xfId="0" applyFont="1" applyFill="1" applyBorder="1" applyAlignment="1">
      <alignment vertical="center" wrapText="1"/>
    </xf>
    <xf numFmtId="0" fontId="13" fillId="15" borderId="9" xfId="0" applyFont="1" applyFill="1" applyBorder="1" applyAlignment="1">
      <alignment vertical="center" wrapText="1"/>
    </xf>
    <xf numFmtId="0" fontId="18" fillId="16" borderId="9" xfId="0" applyFont="1" applyFill="1" applyBorder="1" applyAlignment="1">
      <alignment vertical="center" wrapText="1"/>
    </xf>
    <xf numFmtId="165" fontId="13" fillId="16" borderId="9" xfId="0" applyNumberFormat="1" applyFont="1" applyFill="1" applyBorder="1" applyAlignment="1">
      <alignment horizontal="right" vertical="center"/>
    </xf>
    <xf numFmtId="0" fontId="13" fillId="16" borderId="9" xfId="0" applyFont="1" applyFill="1" applyBorder="1" applyAlignment="1">
      <alignment horizontal="center" vertical="center"/>
    </xf>
    <xf numFmtId="0" fontId="13" fillId="16" borderId="9" xfId="0" applyFont="1" applyFill="1" applyBorder="1" applyAlignment="1">
      <alignment vertical="center" wrapText="1"/>
    </xf>
    <xf numFmtId="0" fontId="13" fillId="16" borderId="10" xfId="0" applyFont="1" applyFill="1" applyBorder="1" applyAlignment="1">
      <alignment vertical="center" wrapText="1"/>
    </xf>
    <xf numFmtId="0" fontId="13" fillId="11" borderId="9" xfId="0" applyFont="1" applyFill="1" applyBorder="1" applyAlignment="1">
      <alignment vertical="center"/>
    </xf>
    <xf numFmtId="0" fontId="13" fillId="12" borderId="9" xfId="0" applyFont="1" applyFill="1" applyBorder="1" applyAlignment="1">
      <alignment vertical="center"/>
    </xf>
    <xf numFmtId="0" fontId="13" fillId="12" borderId="10" xfId="0" applyFont="1" applyFill="1" applyBorder="1" applyAlignment="1">
      <alignment vertical="center"/>
    </xf>
    <xf numFmtId="0" fontId="20" fillId="16" borderId="0" xfId="0" applyFont="1" applyFill="1" applyAlignment="1">
      <alignment wrapText="1"/>
    </xf>
    <xf numFmtId="0" fontId="18" fillId="6" borderId="9" xfId="0" applyFont="1" applyFill="1" applyBorder="1" applyAlignment="1">
      <alignment vertical="center"/>
    </xf>
    <xf numFmtId="165" fontId="13" fillId="6" borderId="9" xfId="0" applyNumberFormat="1" applyFont="1" applyFill="1" applyBorder="1" applyAlignment="1">
      <alignment horizontal="right" vertical="center"/>
    </xf>
    <xf numFmtId="168" fontId="13" fillId="11" borderId="9" xfId="0" applyNumberFormat="1" applyFont="1" applyFill="1" applyBorder="1" applyAlignment="1">
      <alignment horizontal="center" vertical="center"/>
    </xf>
    <xf numFmtId="168" fontId="13" fillId="12" borderId="9" xfId="0" applyNumberFormat="1" applyFont="1" applyFill="1" applyBorder="1" applyAlignment="1">
      <alignment horizontal="center" vertical="center"/>
    </xf>
    <xf numFmtId="0" fontId="18" fillId="8" borderId="9" xfId="0" applyFont="1" applyFill="1" applyBorder="1" applyAlignment="1">
      <alignment vertical="center"/>
    </xf>
    <xf numFmtId="168" fontId="18" fillId="8" borderId="9" xfId="0" applyNumberFormat="1" applyFont="1" applyFill="1" applyBorder="1" applyAlignment="1">
      <alignment horizontal="center" vertical="center"/>
    </xf>
    <xf numFmtId="165" fontId="18" fillId="8" borderId="9" xfId="0" applyNumberFormat="1" applyFont="1" applyFill="1" applyBorder="1" applyAlignment="1">
      <alignment vertical="center"/>
    </xf>
    <xf numFmtId="0" fontId="18" fillId="17" borderId="10" xfId="0" applyFont="1" applyFill="1" applyBorder="1" applyAlignment="1">
      <alignment vertical="center"/>
    </xf>
    <xf numFmtId="165" fontId="18" fillId="17" borderId="10" xfId="0" applyNumberFormat="1" applyFont="1" applyFill="1" applyBorder="1" applyAlignment="1">
      <alignment horizontal="right" vertical="center"/>
    </xf>
    <xf numFmtId="0" fontId="21" fillId="9" borderId="0" xfId="0" applyFont="1" applyFill="1"/>
  </cellXfs>
  <cellStyles count="5">
    <cellStyle name="Currency" xfId="1" builtinId="4"/>
    <cellStyle name="Currency 2" xfId="4" xr:uid="{FB4473A6-6F38-4471-A1C1-CFF1E20AEC44}"/>
    <cellStyle name="Normal" xfId="0" builtinId="0"/>
    <cellStyle name="Normal 2" xfId="3" xr:uid="{26739A16-10AE-423E-B203-228B7182CF6A}"/>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17/10/relationships/person" Target="persons/perso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450474</xdr:colOff>
      <xdr:row>64</xdr:row>
      <xdr:rowOff>141637</xdr:rowOff>
    </xdr:from>
    <xdr:ext cx="8632284" cy="4543416"/>
    <xdr:pic>
      <xdr:nvPicPr>
        <xdr:cNvPr id="2" name="Picture 1">
          <a:extLst>
            <a:ext uri="{FF2B5EF4-FFF2-40B4-BE49-F238E27FC236}">
              <a16:creationId xmlns:a16="http://schemas.microsoft.com/office/drawing/2014/main" id="{59121C9C-87CB-4909-9926-DAB6C176A532}"/>
            </a:ext>
          </a:extLst>
        </xdr:cNvPr>
        <xdr:cNvPicPr>
          <a:picLocks noChangeAspect="1"/>
        </xdr:cNvPicPr>
      </xdr:nvPicPr>
      <xdr:blipFill>
        <a:blip xmlns:r="http://schemas.openxmlformats.org/officeDocument/2006/relationships" r:embed="rId1"/>
        <a:stretch>
          <a:fillRect/>
        </a:stretch>
      </xdr:blipFill>
      <xdr:spPr>
        <a:xfrm>
          <a:off x="453649" y="11930412"/>
          <a:ext cx="8632284" cy="454341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450474</xdr:colOff>
      <xdr:row>63</xdr:row>
      <xdr:rowOff>141637</xdr:rowOff>
    </xdr:from>
    <xdr:ext cx="8609172" cy="4560926"/>
    <xdr:pic>
      <xdr:nvPicPr>
        <xdr:cNvPr id="2" name="Picture 1">
          <a:extLst>
            <a:ext uri="{FF2B5EF4-FFF2-40B4-BE49-F238E27FC236}">
              <a16:creationId xmlns:a16="http://schemas.microsoft.com/office/drawing/2014/main" id="{5BF983D0-0877-433C-9843-0D3AA00A3B31}"/>
            </a:ext>
          </a:extLst>
        </xdr:cNvPr>
        <xdr:cNvPicPr>
          <a:picLocks noChangeAspect="1"/>
        </xdr:cNvPicPr>
      </xdr:nvPicPr>
      <xdr:blipFill>
        <a:blip xmlns:r="http://schemas.openxmlformats.org/officeDocument/2006/relationships" r:embed="rId1"/>
        <a:stretch>
          <a:fillRect/>
        </a:stretch>
      </xdr:blipFill>
      <xdr:spPr>
        <a:xfrm>
          <a:off x="453649" y="11746262"/>
          <a:ext cx="8609172" cy="456092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azparking0-my.sharepoint.com/Users/freddym/Desktop/Lazparking/Amortization.xlsx" TargetMode="External"/><Relationship Id="rId1" Type="http://schemas.openxmlformats.org/officeDocument/2006/relationships/externalLinkPath" Target="https://lazparking0-my.sharepoint.com/Users/freddym/Desktop/Lazparking/Amortizatio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lazparking0-my.sharepoint.com/personal/fmallak_lazparking_com/Documents/LAZ_Millbrae_Cost_Proposal.xlsx" TargetMode="External"/><Relationship Id="rId1" Type="http://schemas.openxmlformats.org/officeDocument/2006/relationships/externalLinkPath" Target="https://lazparking0-my.sharepoint.com/personal/fmallak_lazparking_com/Documents/LAZ_Millbrae_Cost_Proposa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kimleyhorn.sharepoint.com/sites/MillbraeParkingImplementationProjectCommunications/Shared%20Documents/Communication%20Files/RFP/2.%20Vendor%20Proposals/Vendor%20Cost%20Comparison.xlsx" TargetMode="External"/><Relationship Id="rId1" Type="http://schemas.openxmlformats.org/officeDocument/2006/relationships/externalLinkPath" Target="https://kimleyhorn.sharepoint.com/sites/MillbraeParkingImplementationProjectCommunications/Shared%20Documents/Communication%20Files/RFP/2.%20Vendor%20Proposals/Vendor%20Cost%20Comparis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 Lists (DO NOT DELETE)"/>
      <sheetName val="ForLists(DONOTDelete)"/>
      <sheetName val="Selfpark"/>
      <sheetName val="Vehicle Amortization"/>
      <sheetName val="Amortization"/>
    </sheetNames>
    <definedNames>
      <definedName name="Header_Row" refersTo="#REF!" sheetId="3"/>
      <definedName name="Number_of_Payments" refersTo="#REF!" sheetId="3"/>
      <definedName name="Values_Entered" refersTo="#REF!" sheetId="3"/>
    </defined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yroll"/>
      <sheetName val="Eq&amp;Ops"/>
      <sheetName val="Arrive"/>
      <sheetName val="MacKay"/>
      <sheetName val="Technology Scenarios"/>
      <sheetName val="Budget_Expanded_RPP "/>
      <sheetName val="Budget-Expanded_RPP"/>
      <sheetName val="Budget-Existing_RPP"/>
      <sheetName val="DLOP"/>
      <sheetName val="CapEx_Amortization"/>
      <sheetName val="CapEx_Amortization (Cost)"/>
      <sheetName val="Vehicles_Amortization"/>
      <sheetName val="Vehicles_Amortization (Cost)"/>
      <sheetName val="Bond Calcula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dget-Existing_RPP"/>
      <sheetName val="Budget-Expanded_RPP"/>
      <sheetName val="Technology Scenarios Total"/>
      <sheetName val="Flowbird"/>
      <sheetName val="ParkMobile"/>
      <sheetName val="eleven-x"/>
      <sheetName val="MacKay"/>
      <sheetName val="IPS"/>
      <sheetName val="Passport"/>
      <sheetName val="Route1 - Genetec"/>
    </sheetNames>
    <sheetDataSet>
      <sheetData sheetId="0">
        <row r="4">
          <cell r="V4">
            <v>198141.57738000003</v>
          </cell>
          <cell r="W4">
            <v>360591.11658000003</v>
          </cell>
        </row>
        <row r="5">
          <cell r="P5">
            <v>386316</v>
          </cell>
        </row>
        <row r="6">
          <cell r="P6">
            <v>23178.960000000006</v>
          </cell>
        </row>
        <row r="8">
          <cell r="P8">
            <v>50572.627559999986</v>
          </cell>
        </row>
        <row r="9">
          <cell r="P9">
            <v>36854.546399999999</v>
          </cell>
        </row>
        <row r="10">
          <cell r="P10">
            <v>3863.1599999999994</v>
          </cell>
        </row>
        <row r="11">
          <cell r="P11">
            <v>57947.399999999987</v>
          </cell>
        </row>
        <row r="13">
          <cell r="P13">
            <v>5320</v>
          </cell>
        </row>
        <row r="14">
          <cell r="P14">
            <v>2500</v>
          </cell>
        </row>
        <row r="15">
          <cell r="P15">
            <v>3280.0000000000005</v>
          </cell>
        </row>
        <row r="16">
          <cell r="P16">
            <v>42000</v>
          </cell>
        </row>
        <row r="17">
          <cell r="P17">
            <v>3863.1599999999994</v>
          </cell>
        </row>
        <row r="19">
          <cell r="P19">
            <v>21968.977306059343</v>
          </cell>
        </row>
        <row r="20">
          <cell r="P20">
            <v>15223.999999999998</v>
          </cell>
        </row>
        <row r="22">
          <cell r="P22">
            <v>30340.779847691098</v>
          </cell>
        </row>
        <row r="23">
          <cell r="P23">
            <v>12951</v>
          </cell>
        </row>
        <row r="24">
          <cell r="P24">
            <v>20779.609727620369</v>
          </cell>
        </row>
        <row r="26">
          <cell r="P26">
            <v>2550</v>
          </cell>
        </row>
        <row r="27">
          <cell r="P27">
            <v>15000</v>
          </cell>
        </row>
        <row r="29">
          <cell r="P29">
            <v>10399.799999999997</v>
          </cell>
        </row>
        <row r="30">
          <cell r="P30">
            <v>6984</v>
          </cell>
        </row>
        <row r="32">
          <cell r="P32">
            <v>9600</v>
          </cell>
        </row>
        <row r="33">
          <cell r="P33">
            <v>2400</v>
          </cell>
        </row>
        <row r="34">
          <cell r="P34">
            <v>2400</v>
          </cell>
        </row>
        <row r="35">
          <cell r="P35">
            <v>14400</v>
          </cell>
        </row>
        <row r="36">
          <cell r="P36">
            <v>2400</v>
          </cell>
        </row>
        <row r="37">
          <cell r="P37">
            <v>3600</v>
          </cell>
        </row>
        <row r="38">
          <cell r="P38">
            <v>3840</v>
          </cell>
        </row>
        <row r="40">
          <cell r="P40">
            <v>9000</v>
          </cell>
        </row>
        <row r="41">
          <cell r="P41">
            <v>7200</v>
          </cell>
        </row>
        <row r="42">
          <cell r="P42">
            <v>9600</v>
          </cell>
        </row>
        <row r="43">
          <cell r="P43">
            <v>2500</v>
          </cell>
        </row>
        <row r="53">
          <cell r="P53">
            <v>848926.0208413708</v>
          </cell>
        </row>
      </sheetData>
      <sheetData sheetId="1"/>
      <sheetData sheetId="2">
        <row r="6">
          <cell r="F6">
            <v>401760</v>
          </cell>
        </row>
        <row r="7">
          <cell r="F7">
            <v>4500</v>
          </cell>
        </row>
        <row r="8">
          <cell r="F8">
            <v>500</v>
          </cell>
        </row>
        <row r="9">
          <cell r="F9">
            <v>52700</v>
          </cell>
        </row>
        <row r="10">
          <cell r="F10">
            <v>12400</v>
          </cell>
        </row>
        <row r="11">
          <cell r="F11">
            <v>38086.879999999997</v>
          </cell>
        </row>
        <row r="23">
          <cell r="F23">
            <v>9552</v>
          </cell>
        </row>
        <row r="24">
          <cell r="F24">
            <v>3285</v>
          </cell>
        </row>
        <row r="25">
          <cell r="F25">
            <v>27952</v>
          </cell>
        </row>
        <row r="29">
          <cell r="F29">
            <v>10000</v>
          </cell>
        </row>
        <row r="32">
          <cell r="F32">
            <v>11650</v>
          </cell>
        </row>
        <row r="33">
          <cell r="F33">
            <v>30934.959999999999</v>
          </cell>
        </row>
        <row r="34">
          <cell r="F34">
            <v>15000</v>
          </cell>
        </row>
        <row r="35">
          <cell r="F35">
            <v>4889.49</v>
          </cell>
        </row>
        <row r="45">
          <cell r="G45">
            <v>107847</v>
          </cell>
        </row>
        <row r="124">
          <cell r="F124">
            <v>578925</v>
          </cell>
        </row>
        <row r="125">
          <cell r="F125">
            <v>54274.22</v>
          </cell>
        </row>
        <row r="126">
          <cell r="F126">
            <v>5000</v>
          </cell>
        </row>
        <row r="127">
          <cell r="F127">
            <v>130725</v>
          </cell>
        </row>
        <row r="128">
          <cell r="F128">
            <v>65362.5</v>
          </cell>
        </row>
        <row r="129">
          <cell r="F129">
            <v>12255.47</v>
          </cell>
        </row>
        <row r="130">
          <cell r="F130">
            <v>130725</v>
          </cell>
        </row>
        <row r="131">
          <cell r="F131">
            <v>5625</v>
          </cell>
        </row>
        <row r="157">
          <cell r="G157">
            <v>124575</v>
          </cell>
        </row>
        <row r="203">
          <cell r="F203">
            <v>413270</v>
          </cell>
        </row>
        <row r="204">
          <cell r="F204">
            <v>38744.06</v>
          </cell>
        </row>
        <row r="205">
          <cell r="F205">
            <v>2800</v>
          </cell>
        </row>
        <row r="206">
          <cell r="F206">
            <v>65450</v>
          </cell>
        </row>
        <row r="207">
          <cell r="F207">
            <v>32725</v>
          </cell>
        </row>
        <row r="208">
          <cell r="F208">
            <v>6135.94</v>
          </cell>
        </row>
        <row r="209">
          <cell r="F209">
            <v>80.11</v>
          </cell>
        </row>
        <row r="210">
          <cell r="F210">
            <v>1125</v>
          </cell>
        </row>
        <row r="236">
          <cell r="G236">
            <v>111231</v>
          </cell>
        </row>
      </sheetData>
      <sheetData sheetId="3"/>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Callaway, Haley" id="{4614211D-2CE9-49A2-B3B2-12717A628E2C}" userId="S::Haley.Callaway@kimley-horn.com::88872fa7-daec-4f4b-b640-0922012e58d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7" dT="2026-10-20T16:19:33.27" personId="{4614211D-2CE9-49A2-B3B2-12717A628E2C}" id="{D195AF35-C502-485B-94DA-80D1BBA336E1}">
    <text>Do we need this number? Why doesn’t it add up to the costs above?</text>
  </threadedComment>
</ThreadedComments>
</file>

<file path=xl/threadedComments/threadedComment2.xml><?xml version="1.0" encoding="utf-8"?>
<ThreadedComments xmlns="http://schemas.microsoft.com/office/spreadsheetml/2018/threadedcomments" xmlns:x="http://schemas.openxmlformats.org/spreadsheetml/2006/main">
  <threadedComment ref="G17" dT="2026-10-20T16:19:33.27" personId="{4614211D-2CE9-49A2-B3B2-12717A628E2C}" id="{D8F616CA-A4CF-4D1D-B602-EABDAEE8EDB1}">
    <text>Do we need this number? Why doesn’t it add up to the costs above?</text>
  </threadedComment>
</ThreadedComment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D14" sqref="D14:E14"/>
    </sheetView>
    <sheetView workbookViewId="1">
      <selection activeCell="H17" sqref="H17"/>
    </sheetView>
  </sheetViews>
  <sheetFormatPr defaultRowHeight="15"/>
  <cols>
    <col min="1" max="2" width="16.42578125" customWidth="1"/>
    <col min="3" max="3" width="18.5703125" customWidth="1"/>
    <col min="4" max="4" width="17.42578125" customWidth="1"/>
    <col min="5" max="5" width="26.42578125" customWidth="1"/>
    <col min="6" max="6" width="32.85546875" customWidth="1"/>
    <col min="7" max="7" width="33.85546875" customWidth="1"/>
    <col min="10" max="10" width="12.5703125" bestFit="1" customWidth="1"/>
  </cols>
  <sheetData>
    <row r="1" spans="1:10">
      <c r="A1" s="2" t="s">
        <v>1</v>
      </c>
      <c r="B1" s="2" t="s">
        <v>0</v>
      </c>
      <c r="C1" s="2" t="s">
        <v>5</v>
      </c>
      <c r="D1" s="2" t="s">
        <v>9</v>
      </c>
      <c r="E1" s="2" t="s">
        <v>10</v>
      </c>
      <c r="F1" s="2" t="s">
        <v>11</v>
      </c>
      <c r="G1" s="2" t="s">
        <v>12</v>
      </c>
      <c r="H1" s="2" t="s">
        <v>14</v>
      </c>
    </row>
    <row r="2" spans="1:10">
      <c r="A2" t="s">
        <v>2</v>
      </c>
      <c r="B2" t="s">
        <v>3</v>
      </c>
      <c r="C2" t="s">
        <v>6</v>
      </c>
      <c r="D2" s="34">
        <v>401723</v>
      </c>
      <c r="E2" s="34">
        <f>400319+36600+173765</f>
        <v>610684</v>
      </c>
      <c r="F2" s="34">
        <v>193205.27493407155</v>
      </c>
      <c r="G2" s="34">
        <v>294508.88</v>
      </c>
      <c r="H2" s="3">
        <v>0.04</v>
      </c>
      <c r="J2" s="1"/>
    </row>
    <row r="3" spans="1:10">
      <c r="A3" t="s">
        <v>2</v>
      </c>
      <c r="B3" t="s">
        <v>3</v>
      </c>
      <c r="C3" t="s">
        <v>7</v>
      </c>
      <c r="D3" s="34">
        <v>415076</v>
      </c>
      <c r="E3" s="34">
        <f>685168+36600+276025</f>
        <v>997793</v>
      </c>
      <c r="F3" s="34">
        <v>279428.00912679563</v>
      </c>
      <c r="G3" s="34">
        <v>425940.91</v>
      </c>
      <c r="H3" s="3">
        <v>0.04</v>
      </c>
    </row>
    <row r="4" spans="1:10">
      <c r="A4" t="s">
        <v>2</v>
      </c>
      <c r="B4" t="s">
        <v>3</v>
      </c>
      <c r="C4" t="s">
        <v>8</v>
      </c>
      <c r="D4" s="34">
        <v>408476</v>
      </c>
      <c r="E4" s="34">
        <f>533248+36600+210996</f>
        <v>780844</v>
      </c>
      <c r="F4" s="34">
        <v>188681.41193592246</v>
      </c>
      <c r="G4" s="34">
        <v>287613.02</v>
      </c>
      <c r="H4" s="3">
        <v>0.04</v>
      </c>
    </row>
    <row r="5" spans="1:10">
      <c r="A5" t="s">
        <v>2</v>
      </c>
      <c r="B5" t="s">
        <v>4</v>
      </c>
      <c r="C5" t="s">
        <v>6</v>
      </c>
      <c r="D5" s="34">
        <v>527863.88</v>
      </c>
      <c r="E5" s="34">
        <v>321062.14326434652</v>
      </c>
      <c r="F5" s="34">
        <f>-PMT(10%,5,'Existing RPP - KH Inhouse'!$O$53-'Existing RPP - KH Inhouse'!$O$50)</f>
        <v>164401.31505926195</v>
      </c>
      <c r="G5" s="34">
        <f>-PMT(10%,3,'Existing RPP - KH Inhouse'!$O$53-'Existing RPP - KH Inhouse'!$O$50)</f>
        <v>250602.09946525685</v>
      </c>
      <c r="H5" s="3">
        <v>0.03</v>
      </c>
    </row>
    <row r="6" spans="1:10">
      <c r="A6" t="s">
        <v>2</v>
      </c>
      <c r="B6" t="s">
        <v>4</v>
      </c>
      <c r="C6" t="s">
        <v>7</v>
      </c>
      <c r="D6" s="34">
        <v>527863.88</v>
      </c>
      <c r="E6" s="34">
        <v>321062.14326434652</v>
      </c>
      <c r="F6" s="34">
        <f>-PMT(10%,5,'Existing RPP - KH Inhouse'!$M$53-'Existing RPP - KH Inhouse'!$M$50)</f>
        <v>289163.09639095183</v>
      </c>
      <c r="G6" s="34">
        <f>-PMT(10%,3,'Existing RPP - KH Inhouse'!$M$53-'Existing RPP - KH Inhouse'!$M$50)</f>
        <v>440780.40992145019</v>
      </c>
      <c r="H6" s="3">
        <v>0.03</v>
      </c>
    </row>
    <row r="7" spans="1:10">
      <c r="A7" t="s">
        <v>2</v>
      </c>
      <c r="B7" t="s">
        <v>4</v>
      </c>
      <c r="C7" t="s">
        <v>8</v>
      </c>
      <c r="D7" s="34">
        <v>527863.88</v>
      </c>
      <c r="E7" s="34">
        <v>321062.14326434652</v>
      </c>
      <c r="F7" s="34">
        <f>-PMT(10%,5,'Existing RPP - KH Inhouse'!$N$53-'Existing RPP - KH Inhouse'!$N$50)</f>
        <v>177692.2842075642</v>
      </c>
      <c r="G7" s="34">
        <f>-PMT(10%,3,'Existing RPP - KH Inhouse'!$N$53-'Existing RPP - KH Inhouse'!$N$50)</f>
        <v>270861.94210271904</v>
      </c>
      <c r="H7" s="3">
        <v>0.03</v>
      </c>
    </row>
    <row r="8" spans="1:10">
      <c r="A8" t="s">
        <v>13</v>
      </c>
      <c r="B8" t="s">
        <v>3</v>
      </c>
      <c r="C8" t="s">
        <v>6</v>
      </c>
      <c r="D8" s="34">
        <v>481578</v>
      </c>
      <c r="E8" s="34">
        <f>400319+36600+173765</f>
        <v>610684</v>
      </c>
      <c r="F8" s="34">
        <v>193205.27493407155</v>
      </c>
      <c r="G8" s="34">
        <v>294508.88</v>
      </c>
      <c r="H8" s="3">
        <v>0.04</v>
      </c>
    </row>
    <row r="9" spans="1:10">
      <c r="A9" t="s">
        <v>13</v>
      </c>
      <c r="B9" t="s">
        <v>3</v>
      </c>
      <c r="C9" t="s">
        <v>7</v>
      </c>
      <c r="D9" s="34">
        <v>493218</v>
      </c>
      <c r="E9" s="34">
        <f>685168+36600+276025</f>
        <v>997793</v>
      </c>
      <c r="F9" s="34">
        <v>279428.00912679563</v>
      </c>
      <c r="G9" s="34">
        <v>425940.91</v>
      </c>
      <c r="H9" s="3">
        <v>0.04</v>
      </c>
    </row>
    <row r="10" spans="1:10">
      <c r="A10" t="s">
        <v>13</v>
      </c>
      <c r="B10" t="s">
        <v>3</v>
      </c>
      <c r="C10" t="s">
        <v>8</v>
      </c>
      <c r="D10" s="34">
        <v>487994</v>
      </c>
      <c r="E10" s="34">
        <f>400319+36600+173765</f>
        <v>610684</v>
      </c>
      <c r="F10" s="34">
        <v>188681.41193592246</v>
      </c>
      <c r="G10" s="34">
        <v>287613.02</v>
      </c>
      <c r="H10" s="3">
        <v>0.04</v>
      </c>
    </row>
    <row r="11" spans="1:10">
      <c r="A11" t="s">
        <v>13</v>
      </c>
      <c r="B11" t="s">
        <v>4</v>
      </c>
      <c r="C11" t="s">
        <v>6</v>
      </c>
      <c r="D11" s="34">
        <v>611122.40182982432</v>
      </c>
      <c r="E11" s="34">
        <v>322043.57969954656</v>
      </c>
      <c r="F11" s="34">
        <f>-PMT(10%,5,'Expanded RPP - KH Inhouse'!$O$53-'Expanded RPP - KH Inhouse'!$O$50)</f>
        <v>164401.31505926195</v>
      </c>
      <c r="G11" s="34">
        <f>-PMT(10%,3,'Expanded RPP - KH Inhouse'!$O$53-'Expanded RPP - KH Inhouse'!$O$50)</f>
        <v>250602.09946525685</v>
      </c>
      <c r="H11" s="3">
        <v>0.03</v>
      </c>
    </row>
    <row r="12" spans="1:10">
      <c r="A12" t="s">
        <v>13</v>
      </c>
      <c r="B12" t="s">
        <v>4</v>
      </c>
      <c r="C12" t="s">
        <v>7</v>
      </c>
      <c r="D12" s="34">
        <v>611122.40182982432</v>
      </c>
      <c r="E12" s="34">
        <v>322043.57969954656</v>
      </c>
      <c r="F12" s="34">
        <f>-PMT(10%,5,'Expanded RPP - KH Inhouse'!$M$53-'Expanded RPP - KH Inhouse'!$M$50)</f>
        <v>289163.09639095183</v>
      </c>
      <c r="G12" s="34">
        <f>-PMT(10%,3,'Expanded RPP - KH Inhouse'!$M$53-'Expanded RPP - KH Inhouse'!$M$50)</f>
        <v>440780.40992145019</v>
      </c>
      <c r="H12" s="3">
        <v>0.03</v>
      </c>
    </row>
    <row r="13" spans="1:10">
      <c r="A13" t="s">
        <v>13</v>
      </c>
      <c r="B13" t="s">
        <v>4</v>
      </c>
      <c r="C13" t="s">
        <v>8</v>
      </c>
      <c r="D13" s="34">
        <v>611122.40182982432</v>
      </c>
      <c r="E13" s="34">
        <v>322043.57969954656</v>
      </c>
      <c r="F13" s="34">
        <f>-PMT(10%,5,'Expanded RPP - KH Inhouse'!$N$53-'Expanded RPP - KH Inhouse'!$N$50)</f>
        <v>177692.2842075642</v>
      </c>
      <c r="G13" s="34">
        <f>-PMT(10%,3,'Expanded RPP - KH Inhouse'!$N$53-'Expanded RPP - KH Inhouse'!$N$50)</f>
        <v>270861.94210271904</v>
      </c>
      <c r="H13" s="3">
        <v>0.03</v>
      </c>
    </row>
    <row r="14" spans="1:10">
      <c r="A14" t="s">
        <v>2</v>
      </c>
      <c r="B14" t="s">
        <v>15</v>
      </c>
      <c r="C14" t="s">
        <v>6</v>
      </c>
      <c r="D14" s="34">
        <f>SUMIF('Existing RPP - KH Inhouse'!$K$18:$K$37,"Enforcement",'Existing RPP - KH Inhouse'!$L$18:$L$37)+SUMIF('Existing RPP - KH Inhouse'!$K$18:$K$37,"Enforcement",'Existing RPP - KH Inhouse'!$O$18:$O$37)+'Existing RPP - KH Inhouse'!$O$56*(360591.12/558732.7)</f>
        <v>1089207.7983902297</v>
      </c>
      <c r="E14" s="34">
        <f>SUMIF('Existing RPP - KH Inhouse'!$K$18:$K$37,"Parking Management",'Existing RPP - KH Inhouse'!$L$18:$L$37)+SUMIF('Existing RPP - KH Inhouse'!$K$18:$K$37,"Parking Management",'Existing RPP - KH Inhouse'!$O$18:$O$37)+'Existing RPP - KH Inhouse'!$O$56*(198141.58/558732.7)</f>
        <v>682369.74560977053</v>
      </c>
      <c r="F14" s="34">
        <f>-PMT(10%,5,'Existing RPP - KH Inhouse'!$O$53)</f>
        <v>187206.87107144846</v>
      </c>
      <c r="G14" s="34">
        <f>-PMT(10%,3,'Existing RPP - KH Inhouse'!$O$53)</f>
        <v>285365.3263534744</v>
      </c>
      <c r="H14" s="33">
        <f>3%</f>
        <v>0.03</v>
      </c>
    </row>
    <row r="15" spans="1:10">
      <c r="A15" t="s">
        <v>2</v>
      </c>
      <c r="B15" t="s">
        <v>15</v>
      </c>
      <c r="C15" t="s">
        <v>7</v>
      </c>
      <c r="D15" s="34">
        <f>SUMIF('Existing RPP - KH Inhouse'!$K$18:$K$37,"Enforcement",'Existing RPP - KH Inhouse'!$L$18:$L$37)+SUMIF('Existing RPP - KH Inhouse'!$K$18:$K$37,"Enforcement",'Existing RPP - KH Inhouse'!$M$18:$M$37)+'Existing RPP - KH Inhouse'!$M$56*(360591.12/558732.7)</f>
        <v>1347420.7158332234</v>
      </c>
      <c r="E15" s="34">
        <f>SUMIF('Existing RPP - KH Inhouse'!$K$18:$K$37,"Parking Management",'Existing RPP - KH Inhouse'!$L$18:$L$37)+SUMIF('Existing RPP - KH Inhouse'!$K$18:$K$37,"Parking Management",'Existing RPP - KH Inhouse'!$M$18:$M$37)+'Existing RPP - KH Inhouse'!$M$56*(198141.58/558732.7)</f>
        <v>872366.66816677665</v>
      </c>
      <c r="F15" s="34">
        <f>-PMT(10%,5,'Existing RPP - KH Inhouse'!$M$53)</f>
        <v>327281.83236579254</v>
      </c>
      <c r="G15" s="34">
        <f>-PMT(10%,3,'Existing RPP - KH Inhouse'!$M$53)</f>
        <v>498885.99904531729</v>
      </c>
      <c r="H15" s="33">
        <f>3%</f>
        <v>0.03</v>
      </c>
    </row>
    <row r="16" spans="1:10">
      <c r="A16" t="s">
        <v>2</v>
      </c>
      <c r="B16" t="s">
        <v>15</v>
      </c>
      <c r="C16" t="s">
        <v>8</v>
      </c>
      <c r="D16" s="34">
        <f>SUMIF('Existing RPP - KH Inhouse'!$K$18:$K$37,"Enforcement",'Existing RPP - KH Inhouse'!$L$18:$L$37)+SUMIF('Existing RPP - KH Inhouse'!$K$18:$K$37,"Enforcement",'Existing RPP - KH Inhouse'!$N$18:$N$37)+'Existing RPP - KH Inhouse'!$N$56*(360591.12/558732.7)</f>
        <v>1258549.9541966217</v>
      </c>
      <c r="E16" s="34">
        <f>SUMIF('Existing RPP - KH Inhouse'!$K$18:$K$37,"Parking Management",'Existing RPP - KH Inhouse'!$L$18:$L$37)+SUMIF('Existing RPP - KH Inhouse'!$K$18:$K$37,"Parking Management",'Existing RPP - KH Inhouse'!$N$18:$N$37)+'Existing RPP - KH Inhouse'!$N$56*(198141.58/558732.7)</f>
        <v>787021.02980337862</v>
      </c>
      <c r="F16" s="34">
        <f>-PMT(10%,5,'Existing RPP - KH Inhouse'!$N$53)</f>
        <v>208187.27298743674</v>
      </c>
      <c r="G16" s="34">
        <f>-PMT(10%,3,'Existing RPP - KH Inhouse'!$N$53)</f>
        <v>317346.41340181278</v>
      </c>
      <c r="H16" s="33">
        <f>3%</f>
        <v>0.03</v>
      </c>
    </row>
    <row r="17" spans="1:8">
      <c r="A17" t="s">
        <v>13</v>
      </c>
      <c r="B17" t="s">
        <v>15</v>
      </c>
      <c r="C17" t="s">
        <v>6</v>
      </c>
      <c r="D17" s="34">
        <f>SUMIF('Expanded RPP - KH Inhouse'!$K$18:$K$37,"Enforcement",'Expanded RPP - KH Inhouse'!$L$18:$L$37)+SUMIF('Expanded RPP - KH Inhouse'!$K$18:$K$37,"Enforcement",'Expanded RPP - KH Inhouse'!$O$18:$O$37)+'Expanded RPP - KH Inhouse'!$O$57*(360591.12/558732.7)</f>
        <v>1168469.3100268317</v>
      </c>
      <c r="E17" s="34">
        <f>SUMIF('Expanded RPP - KH Inhouse'!$K$18:$K$37,"Parking Management",'Expanded RPP - KH Inhouse'!$L$18:$L$37)+SUMIF('Expanded RPP - KH Inhouse'!$K$18:$K$37,"Parking Management",'Expanded RPP - KH Inhouse'!$O$18:$O$37)+'Expanded RPP - KH Inhouse'!$O$57*(198141.58/558732.7)</f>
        <v>725923.23397316854</v>
      </c>
      <c r="F17" s="34">
        <f>-PMT(10%,5,'Expanded RPP - KH Inhouse'!$O$53)</f>
        <v>187206.87107144846</v>
      </c>
      <c r="G17" s="34">
        <f>-PMT(10%,3,'Expanded RPP - KH Inhouse'!$O$53)</f>
        <v>285365.3263534744</v>
      </c>
      <c r="H17" s="33">
        <f>3%</f>
        <v>0.03</v>
      </c>
    </row>
    <row r="18" spans="1:8">
      <c r="A18" t="s">
        <v>13</v>
      </c>
      <c r="B18" t="s">
        <v>15</v>
      </c>
      <c r="C18" t="s">
        <v>7</v>
      </c>
      <c r="D18" s="34">
        <f>SUMIF('Expanded RPP - KH Inhouse'!$K$18:$K$37,"Enforcement",'Expanded RPP - KH Inhouse'!$L$18:$L$37)+SUMIF('Expanded RPP - KH Inhouse'!$K$18:$K$37,"Enforcement",'Expanded RPP - KH Inhouse'!$M$18:$M$37)+'Expanded RPP - KH Inhouse'!$M$57*(360591.12/558732.7)</f>
        <v>1476674.3354698254</v>
      </c>
      <c r="E18" s="34">
        <f>SUMIF('Expanded RPP - KH Inhouse'!$K$18:$K$37,"Parking Management",'Expanded RPP - KH Inhouse'!$L$18:$L$37)+SUMIF('Expanded RPP - KH Inhouse'!$K$18:$K$37,"Parking Management",'Expanded RPP - KH Inhouse'!$M$18:$M$37)+'Expanded RPP - KH Inhouse'!$M$57*(198141.58/558732.7)</f>
        <v>932584.19253017474</v>
      </c>
      <c r="F18" s="34">
        <f>-PMT(10%,5,'Expanded RPP - KH Inhouse'!$M$53)</f>
        <v>327281.83236579254</v>
      </c>
      <c r="G18" s="34">
        <f>-PMT(10%,3,'Expanded RPP - KH Inhouse'!$M$53)</f>
        <v>498885.99904531729</v>
      </c>
      <c r="H18" s="33">
        <f>3%</f>
        <v>0.03</v>
      </c>
    </row>
    <row r="19" spans="1:8">
      <c r="A19" t="s">
        <v>13</v>
      </c>
      <c r="B19" t="s">
        <v>15</v>
      </c>
      <c r="C19" t="s">
        <v>8</v>
      </c>
      <c r="D19" s="34">
        <f>SUMIF('Expanded RPP - KH Inhouse'!$K$18:$K$37,"Enforcement",'Expanded RPP - KH Inhouse'!$L$18:$L$37)+SUMIF('Expanded RPP - KH Inhouse'!$K$18:$K$37,"Enforcement",'Expanded RPP - KH Inhouse'!$N$18:$N$37)+'Expanded RPP - KH Inhouse'!$N$57*(360591.12/558732.7)</f>
        <v>1387803.5738332234</v>
      </c>
      <c r="E19" s="34">
        <f>SUMIF('Expanded RPP - KH Inhouse'!$K$18:$K$37,"Parking Management",'Expanded RPP - KH Inhouse'!$L$18:$L$37)+SUMIF('Expanded RPP - KH Inhouse'!$K$18:$K$37,"Parking Management",'Expanded RPP - KH Inhouse'!$N$18:$N$37)+'Expanded RPP - KH Inhouse'!$N$57*(198141.58/558732.7)</f>
        <v>847238.55416677659</v>
      </c>
      <c r="F19" s="34">
        <f>-PMT(10%,5,'Expanded RPP - KH Inhouse'!$N$53)</f>
        <v>208187.27298743674</v>
      </c>
      <c r="G19" s="34">
        <f>-PMT(10%,3,'Expanded RPP - KH Inhouse'!$N$53)</f>
        <v>317346.41340181278</v>
      </c>
      <c r="H19" s="33">
        <f>3%</f>
        <v>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A525A-9434-4391-96A1-6B8E1AA2574D}">
  <sheetPr>
    <tabColor theme="4" tint="0.79998168889431442"/>
  </sheetPr>
  <dimension ref="A1:N124"/>
  <sheetViews>
    <sheetView workbookViewId="0"/>
    <sheetView tabSelected="1" zoomScale="80" zoomScaleNormal="80" workbookViewId="1">
      <pane ySplit="5" topLeftCell="A6" activePane="bottomLeft" state="frozen"/>
      <selection pane="bottomLeft" activeCell="A36" sqref="A36:N36"/>
    </sheetView>
  </sheetViews>
  <sheetFormatPr defaultRowHeight="15"/>
  <cols>
    <col min="1" max="1" width="33.28515625" customWidth="1"/>
    <col min="2" max="2" width="23.85546875" customWidth="1"/>
    <col min="3" max="8" width="15.5703125" customWidth="1"/>
    <col min="9" max="14" width="17.5703125" customWidth="1"/>
  </cols>
  <sheetData>
    <row r="1" spans="1:14" ht="26.25">
      <c r="A1" s="52" t="s">
        <v>127</v>
      </c>
      <c r="B1" s="52"/>
      <c r="C1" s="52"/>
      <c r="D1" s="52"/>
      <c r="E1" s="52"/>
      <c r="F1" s="52"/>
      <c r="G1" s="52"/>
      <c r="H1" s="52"/>
      <c r="I1" s="52"/>
      <c r="J1" s="52"/>
      <c r="K1" s="52"/>
      <c r="L1" s="52"/>
      <c r="M1" s="52"/>
      <c r="N1" s="52"/>
    </row>
    <row r="2" spans="1:14">
      <c r="A2" s="53" t="s">
        <v>161</v>
      </c>
      <c r="B2" s="53"/>
      <c r="C2" s="53"/>
      <c r="D2" s="53"/>
      <c r="E2" s="53"/>
      <c r="F2" s="53"/>
      <c r="G2" s="53"/>
      <c r="H2" s="53"/>
      <c r="I2" s="53"/>
      <c r="J2" s="53"/>
      <c r="K2" s="53"/>
      <c r="L2" s="53"/>
      <c r="M2" s="53"/>
      <c r="N2" s="53"/>
    </row>
    <row r="3" spans="1:14">
      <c r="A3" s="51"/>
      <c r="B3" s="51"/>
      <c r="C3" s="51"/>
      <c r="D3" s="51"/>
      <c r="E3" s="51"/>
      <c r="F3" s="51"/>
      <c r="G3" s="51"/>
      <c r="H3" s="51"/>
      <c r="I3" s="51"/>
      <c r="J3" s="51"/>
      <c r="K3" s="51"/>
      <c r="L3" s="51"/>
      <c r="M3" s="51"/>
      <c r="N3" s="51"/>
    </row>
    <row r="4" spans="1:14" ht="15.75">
      <c r="A4" s="54" t="s">
        <v>162</v>
      </c>
      <c r="B4" s="54"/>
      <c r="C4" s="54"/>
      <c r="D4" s="54"/>
      <c r="E4" s="54"/>
      <c r="F4" s="54"/>
      <c r="G4" s="54"/>
      <c r="H4" s="54"/>
      <c r="I4" s="54"/>
      <c r="J4" s="54"/>
      <c r="K4" s="54"/>
      <c r="L4" s="54"/>
      <c r="M4" s="54"/>
      <c r="N4" s="54"/>
    </row>
    <row r="5" spans="1:14">
      <c r="A5" s="57" t="s">
        <v>163</v>
      </c>
      <c r="B5" s="57" t="s">
        <v>157</v>
      </c>
      <c r="C5" s="57" t="s">
        <v>158</v>
      </c>
      <c r="D5" s="57" t="s">
        <v>164</v>
      </c>
      <c r="E5" s="57" t="s">
        <v>177</v>
      </c>
      <c r="F5" s="57" t="s">
        <v>7</v>
      </c>
      <c r="G5" s="57" t="s">
        <v>8</v>
      </c>
      <c r="H5" s="57" t="s">
        <v>6</v>
      </c>
      <c r="I5" s="57" t="s">
        <v>156</v>
      </c>
      <c r="J5" s="72" t="s">
        <v>159</v>
      </c>
      <c r="K5" s="72"/>
      <c r="L5" s="72"/>
      <c r="M5" s="72"/>
      <c r="N5" s="72"/>
    </row>
    <row r="6" spans="1:14" ht="54.75" customHeight="1">
      <c r="A6" s="73" t="s">
        <v>165</v>
      </c>
      <c r="B6" s="73" t="str">
        <f>'Existing RPP - KH Inhouse'!B24</f>
        <v>LPR On-going Fees</v>
      </c>
      <c r="C6" s="73" t="str">
        <f>'Existing RPP - KH Inhouse'!K24</f>
        <v>Enforcement</v>
      </c>
      <c r="D6" s="73" t="s">
        <v>178</v>
      </c>
      <c r="E6" s="74">
        <f>'Existing RPP - KH Inhouse'!L24</f>
        <v>12951</v>
      </c>
      <c r="F6" s="74">
        <f>'Existing RPP - KH Inhouse'!M24</f>
        <v>0</v>
      </c>
      <c r="G6" s="74">
        <f>'Existing RPP - KH Inhouse'!N24</f>
        <v>0</v>
      </c>
      <c r="H6" s="74">
        <f>'Existing RPP - KH Inhouse'!O24</f>
        <v>0</v>
      </c>
      <c r="I6" s="75">
        <v>24</v>
      </c>
      <c r="J6" s="76" t="str">
        <f>'Existing RPP - KH Inhouse'!P24</f>
        <v>Shared Route1/Genetec annual support and licenses for two ALPR-equipped vehicles, included once across all scenarios; direct annual vendor amount of $12,951. The total fleet may range from 3 to 5 vehicles, but only two are assumed to carry ALPR equipment unless operations determine additional units are needed.</v>
      </c>
      <c r="K6" s="76"/>
      <c r="L6" s="76"/>
      <c r="M6" s="76"/>
      <c r="N6" s="76"/>
    </row>
    <row r="7" spans="1:14" ht="30" customHeight="1">
      <c r="A7" s="73" t="s">
        <v>165</v>
      </c>
      <c r="B7" s="73" t="str">
        <f>'Existing RPP - KH Inhouse'!B27</f>
        <v>Parking Sensor Software/Support</v>
      </c>
      <c r="C7" s="73" t="str">
        <f>'Existing RPP - KH Inhouse'!K27</f>
        <v>Enforcement</v>
      </c>
      <c r="D7" s="73" t="s">
        <v>178</v>
      </c>
      <c r="E7" s="74">
        <f>'Existing RPP - KH Inhouse'!L27</f>
        <v>6984</v>
      </c>
      <c r="F7" s="74">
        <f>'Existing RPP - KH Inhouse'!M27</f>
        <v>0</v>
      </c>
      <c r="G7" s="74">
        <f>'Existing RPP - KH Inhouse'!N27</f>
        <v>0</v>
      </c>
      <c r="H7" s="74">
        <f>'Existing RPP - KH Inhouse'!O27</f>
        <v>0</v>
      </c>
      <c r="I7" s="75">
        <v>27</v>
      </c>
      <c r="J7" s="76" t="str">
        <f>'Existing RPP - KH Inhouse'!P27</f>
        <v>Shared eleven-x managed network and dashboard subscriptions included once across all selected packages: $4,200 + $2,784 = $6,984 annually.</v>
      </c>
      <c r="K7" s="76"/>
      <c r="L7" s="76"/>
      <c r="M7" s="76"/>
      <c r="N7" s="76"/>
    </row>
    <row r="8" spans="1:14" ht="36" customHeight="1">
      <c r="A8" s="73" t="s">
        <v>165</v>
      </c>
      <c r="B8" s="73" t="str">
        <f>'Existing RPP - KH Inhouse'!B28</f>
        <v>Turbo Data Handheld Rental</v>
      </c>
      <c r="C8" s="73" t="str">
        <f>'Existing RPP - KH Inhouse'!K28</f>
        <v>Enforcement</v>
      </c>
      <c r="D8" s="73" t="s">
        <v>178</v>
      </c>
      <c r="E8" s="74">
        <f>'Existing RPP - KH Inhouse'!L28</f>
        <v>7200</v>
      </c>
      <c r="F8" s="74">
        <f>'Existing RPP - KH Inhouse'!M28</f>
        <v>0</v>
      </c>
      <c r="G8" s="74">
        <f>'Existing RPP - KH Inhouse'!N28</f>
        <v>0</v>
      </c>
      <c r="H8" s="74">
        <f>'Existing RPP - KH Inhouse'!O28</f>
        <v>0</v>
      </c>
      <c r="I8" s="75">
        <v>28</v>
      </c>
      <c r="J8" s="76" t="str">
        <f>'Existing RPP - KH Inhouse'!P28</f>
        <v>Uses LAZ's flat $7,200 annual Turbodata software-fee allowance for every scenario. No per-device rate is documented, so the cost is not scaled with handheld or officer count.</v>
      </c>
      <c r="K8" s="76"/>
      <c r="L8" s="76"/>
      <c r="M8" s="76"/>
      <c r="N8" s="76"/>
    </row>
    <row r="9" spans="1:14" ht="30" customHeight="1">
      <c r="A9" s="73" t="s">
        <v>165</v>
      </c>
      <c r="B9" s="73" t="str">
        <f>'Existing RPP - KH Inhouse'!B31</f>
        <v>Signs</v>
      </c>
      <c r="C9" s="73" t="str">
        <f>'Existing RPP - KH Inhouse'!K31</f>
        <v>Enforcement</v>
      </c>
      <c r="D9" s="73" t="s">
        <v>178</v>
      </c>
      <c r="E9" s="74">
        <f>'Existing RPP - KH Inhouse'!L31</f>
        <v>1800</v>
      </c>
      <c r="F9" s="74">
        <f>'Existing RPP - KH Inhouse'!M31</f>
        <v>0</v>
      </c>
      <c r="G9" s="74">
        <f>'Existing RPP - KH Inhouse'!N31</f>
        <v>0</v>
      </c>
      <c r="H9" s="74">
        <f>'Existing RPP - KH Inhouse'!O31</f>
        <v>0</v>
      </c>
      <c r="I9" s="75">
        <v>31</v>
      </c>
      <c r="J9" s="76" t="str">
        <f>'Existing RPP - KH Inhouse'!P31</f>
        <v>ACE annual sign-replacement allowance; common to all scenarios.</v>
      </c>
      <c r="K9" s="76"/>
      <c r="L9" s="76"/>
      <c r="M9" s="76"/>
      <c r="N9" s="76"/>
    </row>
    <row r="10" spans="1:14" ht="25.5" customHeight="1">
      <c r="A10" s="73" t="s">
        <v>165</v>
      </c>
      <c r="B10" s="73" t="str">
        <f>'Existing RPP - KH Inhouse'!B35</f>
        <v>Vehicle Fuel</v>
      </c>
      <c r="C10" s="73" t="str">
        <f>'Existing RPP - KH Inhouse'!K35</f>
        <v>Enforcement</v>
      </c>
      <c r="D10" s="73" t="s">
        <v>178</v>
      </c>
      <c r="E10" s="74">
        <f>'Existing RPP - KH Inhouse'!L35</f>
        <v>0</v>
      </c>
      <c r="F10" s="74">
        <f>'Existing RPP - KH Inhouse'!M35</f>
        <v>14400</v>
      </c>
      <c r="G10" s="74">
        <f>'Existing RPP - KH Inhouse'!N35</f>
        <v>11520</v>
      </c>
      <c r="H10" s="74">
        <f>'Existing RPP - KH Inhouse'!O35</f>
        <v>8640</v>
      </c>
      <c r="I10" s="75">
        <v>35</v>
      </c>
      <c r="J10" s="76" t="str">
        <f>'Existing RPP - KH Inhouse'!P35</f>
        <v>LAZ fuel benchmark for the 5-vehicle single-space fleet; scaled to 4 vehicles for dual-space and 3 for multi-space.</v>
      </c>
      <c r="K10" s="76"/>
      <c r="L10" s="76"/>
      <c r="M10" s="76"/>
      <c r="N10" s="76"/>
    </row>
    <row r="11" spans="1:14" ht="35.25" customHeight="1">
      <c r="A11" s="73" t="s">
        <v>165</v>
      </c>
      <c r="B11" s="73" t="str">
        <f>'Existing RPP - KH Inhouse'!B36</f>
        <v>Insurance - Vehicle</v>
      </c>
      <c r="C11" s="73" t="str">
        <f>'Existing RPP - KH Inhouse'!K36</f>
        <v>Enforcement</v>
      </c>
      <c r="D11" s="73" t="s">
        <v>178</v>
      </c>
      <c r="E11" s="74">
        <f>'Existing RPP - KH Inhouse'!L36</f>
        <v>0</v>
      </c>
      <c r="F11" s="74">
        <f>'Existing RPP - KH Inhouse'!M36</f>
        <v>15223.999999999998</v>
      </c>
      <c r="G11" s="74">
        <f>'Existing RPP - KH Inhouse'!N36</f>
        <v>12179.199999999999</v>
      </c>
      <c r="H11" s="74">
        <f>'Existing RPP - KH Inhouse'!O36</f>
        <v>9134.3999999999978</v>
      </c>
      <c r="I11" s="75">
        <v>36</v>
      </c>
      <c r="J11" s="76" t="str">
        <f>'Existing RPP - KH Inhouse'!P36</f>
        <v>LAZ vehicle-insurance benchmark for the 5-vehicle single-space fleet; scaled to 4 vehicles for dual-space and 3 for multi-space.</v>
      </c>
      <c r="K11" s="76"/>
      <c r="L11" s="76"/>
      <c r="M11" s="76"/>
      <c r="N11" s="76"/>
    </row>
    <row r="12" spans="1:14" ht="39.75" customHeight="1">
      <c r="A12" s="73" t="s">
        <v>165</v>
      </c>
      <c r="B12" s="73" t="str">
        <f>'Existing RPP - KH Inhouse'!B18</f>
        <v>Recruiting/Testing/Training</v>
      </c>
      <c r="C12" s="73" t="str">
        <f>'Existing RPP - KH Inhouse'!K18</f>
        <v>Parking Management</v>
      </c>
      <c r="D12" s="73" t="s">
        <v>178</v>
      </c>
      <c r="E12" s="74">
        <f>'Existing RPP - KH Inhouse'!L18</f>
        <v>0</v>
      </c>
      <c r="F12" s="74">
        <f>'Existing RPP - KH Inhouse'!M18</f>
        <v>6000</v>
      </c>
      <c r="G12" s="74">
        <f>'Existing RPP - KH Inhouse'!N18</f>
        <v>5500</v>
      </c>
      <c r="H12" s="74">
        <f>'Existing RPP - KH Inhouse'!O18</f>
        <v>4500</v>
      </c>
      <c r="I12" s="75">
        <v>18</v>
      </c>
      <c r="J12" s="76" t="str">
        <f>'Existing RPP - KH Inhouse'!P18</f>
        <v>Base Year 1 startup allowance covers 11 hires. Single-space adds 3 hires and dual-space adds 2 hires under the scenario staffing rule; each increment uses $328 per hire plus 20% contingency, rounded to $500.</v>
      </c>
      <c r="K12" s="76"/>
      <c r="L12" s="76"/>
      <c r="M12" s="76"/>
      <c r="N12" s="76"/>
    </row>
    <row r="13" spans="1:14" ht="34.5" customHeight="1">
      <c r="A13" s="73" t="s">
        <v>165</v>
      </c>
      <c r="B13" s="73" t="str">
        <f>'Existing RPP - KH Inhouse'!B20</f>
        <v>Uniforms</v>
      </c>
      <c r="C13" s="73" t="str">
        <f>'Existing RPP - KH Inhouse'!K20</f>
        <v>Parking Management</v>
      </c>
      <c r="D13" s="73" t="s">
        <v>178</v>
      </c>
      <c r="E13" s="74">
        <f>'Existing RPP - KH Inhouse'!L20</f>
        <v>0</v>
      </c>
      <c r="F13" s="74">
        <f>'Existing RPP - KH Inhouse'!M20</f>
        <v>3520</v>
      </c>
      <c r="G13" s="74">
        <f>'Existing RPP - KH Inhouse'!N20</f>
        <v>3200</v>
      </c>
      <c r="H13" s="74">
        <f>'Existing RPP - KH Inhouse'!O20</f>
        <v>2560</v>
      </c>
      <c r="I13" s="75">
        <v>20</v>
      </c>
      <c r="J13" s="76" t="str">
        <f>'Existing RPP - KH Inhouse'!P20</f>
        <v>Base allowance covers 8 field staff. Single-space adds uniforms for 3 staff and dual-space for 2 staff at $320 each.</v>
      </c>
      <c r="K13" s="76"/>
      <c r="L13" s="76"/>
      <c r="M13" s="76"/>
      <c r="N13" s="76"/>
    </row>
    <row r="14" spans="1:14" ht="30" customHeight="1">
      <c r="A14" s="73" t="s">
        <v>165</v>
      </c>
      <c r="B14" s="73" t="str">
        <f>'Existing RPP - KH Inhouse'!B21</f>
        <v>Parking/Meter Supplies</v>
      </c>
      <c r="C14" s="73" t="str">
        <f>'Existing RPP - KH Inhouse'!K21</f>
        <v>Parking Management</v>
      </c>
      <c r="D14" s="73" t="s">
        <v>178</v>
      </c>
      <c r="E14" s="74">
        <f>'Existing RPP - KH Inhouse'!L21</f>
        <v>0</v>
      </c>
      <c r="F14" s="74">
        <f>'Existing RPP - KH Inhouse'!M21</f>
        <v>24000</v>
      </c>
      <c r="G14" s="74">
        <f>'Existing RPP - KH Inhouse'!N21</f>
        <v>14400</v>
      </c>
      <c r="H14" s="74">
        <f>'Existing RPP - KH Inhouse'!O21</f>
        <v>9000</v>
      </c>
      <c r="I14" s="75">
        <v>21</v>
      </c>
      <c r="J14" s="76" t="str">
        <f>'Existing RPP - KH Inhouse'!P21</f>
        <v>Uses ACE's scenario-specific supplies allowances because meter type drives parts and consumables.</v>
      </c>
      <c r="K14" s="76"/>
      <c r="L14" s="76"/>
      <c r="M14" s="76"/>
      <c r="N14" s="76"/>
    </row>
    <row r="15" spans="1:14" ht="30" customHeight="1">
      <c r="A15" s="73" t="s">
        <v>165</v>
      </c>
      <c r="B15" s="73" t="str">
        <f>'Existing RPP - KH Inhouse'!B22</f>
        <v>Software License Fees</v>
      </c>
      <c r="C15" s="73" t="str">
        <f>'Existing RPP - KH Inhouse'!K22</f>
        <v>Parking Management</v>
      </c>
      <c r="D15" s="73" t="s">
        <v>178</v>
      </c>
      <c r="E15" s="74">
        <f>'Existing RPP - KH Inhouse'!L22</f>
        <v>15000</v>
      </c>
      <c r="F15" s="74">
        <f>'Existing RPP - KH Inhouse'!M22</f>
        <v>0</v>
      </c>
      <c r="G15" s="74">
        <f>'Existing RPP - KH Inhouse'!N22</f>
        <v>0</v>
      </c>
      <c r="H15" s="74">
        <f>'Existing RPP - KH Inhouse'!O22</f>
        <v>0</v>
      </c>
      <c r="I15" s="75">
        <v>22</v>
      </c>
      <c r="J15" s="76" t="str">
        <f>'Existing RPP - KH Inhouse'!P22</f>
        <v>Shared Passport digital-permit license included once across all selected packages; direct annual vendor amount of $15,000.</v>
      </c>
      <c r="K15" s="76"/>
      <c r="L15" s="76"/>
      <c r="M15" s="76"/>
      <c r="N15" s="76"/>
    </row>
    <row r="16" spans="1:14" ht="80.25" customHeight="1">
      <c r="A16" s="73" t="s">
        <v>165</v>
      </c>
      <c r="B16" s="73" t="str">
        <f>'Existing RPP - KH Inhouse'!B25</f>
        <v>Meter Software / Data / Support</v>
      </c>
      <c r="C16" s="73" t="str">
        <f>'Existing RPP - KH Inhouse'!K25</f>
        <v>Parking Management</v>
      </c>
      <c r="D16" s="73" t="s">
        <v>178</v>
      </c>
      <c r="E16" s="74">
        <f>'Existing RPP - KH Inhouse'!L25</f>
        <v>0</v>
      </c>
      <c r="F16" s="74">
        <f>'Existing RPP - KH Inhouse'!M25</f>
        <v>89640</v>
      </c>
      <c r="G16" s="74">
        <f>'Existing RPP - KH Inhouse'!N25</f>
        <v>76296</v>
      </c>
      <c r="H16" s="74">
        <f>'Existing RPP - KH Inhouse'!O25</f>
        <v>72912</v>
      </c>
      <c r="I16" s="75">
        <v>25</v>
      </c>
      <c r="J16" s="76" t="s">
        <v>180</v>
      </c>
      <c r="K16" s="76"/>
      <c r="L16" s="76"/>
      <c r="M16" s="76"/>
      <c r="N16" s="76"/>
    </row>
    <row r="17" spans="1:14" ht="30" customHeight="1">
      <c r="A17" s="73" t="s">
        <v>165</v>
      </c>
      <c r="B17" s="73" t="str">
        <f>'Existing RPP - KH Inhouse'!B29</f>
        <v>Telephone</v>
      </c>
      <c r="C17" s="73" t="str">
        <f>'Existing RPP - KH Inhouse'!K29</f>
        <v>Parking Management</v>
      </c>
      <c r="D17" s="73" t="s">
        <v>178</v>
      </c>
      <c r="E17" s="74">
        <f>'Existing RPP - KH Inhouse'!L29</f>
        <v>9600</v>
      </c>
      <c r="F17" s="74">
        <f>'Existing RPP - KH Inhouse'!M29</f>
        <v>0</v>
      </c>
      <c r="G17" s="74">
        <f>'Existing RPP - KH Inhouse'!N29</f>
        <v>0</v>
      </c>
      <c r="H17" s="74">
        <f>'Existing RPP - KH Inhouse'!O29</f>
        <v>0</v>
      </c>
      <c r="I17" s="75">
        <v>29</v>
      </c>
      <c r="J17" s="76" t="str">
        <f>'Existing RPP - KH Inhouse'!P29</f>
        <v>Uses LAZ's flat $9,600 annual Telephone/Cellular allowance for every scenario. No per-user rate or documented user count is available, so the cost is not scaled with staffing.</v>
      </c>
      <c r="K17" s="76"/>
      <c r="L17" s="76"/>
      <c r="M17" s="76"/>
      <c r="N17" s="76"/>
    </row>
    <row r="18" spans="1:14" ht="30" customHeight="1">
      <c r="A18" s="73" t="s">
        <v>165</v>
      </c>
      <c r="B18" s="73" t="str">
        <f>'Existing RPP - KH Inhouse'!B30</f>
        <v>Computer Expense</v>
      </c>
      <c r="C18" s="73" t="str">
        <f>'Existing RPP - KH Inhouse'!K30</f>
        <v>Parking Management</v>
      </c>
      <c r="D18" s="73" t="s">
        <v>178</v>
      </c>
      <c r="E18" s="74">
        <f>'Existing RPP - KH Inhouse'!L30</f>
        <v>3000</v>
      </c>
      <c r="F18" s="74">
        <f>'Existing RPP - KH Inhouse'!M30</f>
        <v>0</v>
      </c>
      <c r="G18" s="74">
        <f>'Existing RPP - KH Inhouse'!N30</f>
        <v>0</v>
      </c>
      <c r="H18" s="74">
        <f>'Existing RPP - KH Inhouse'!O30</f>
        <v>0</v>
      </c>
      <c r="I18" s="75">
        <v>30</v>
      </c>
      <c r="J18" s="76" t="str">
        <f>'Existing RPP - KH Inhouse'!P30</f>
        <v>Six computer users × $500 annual device/support allowance: project manager, administrator, IT, enforcement supervisor, operations supervisor, and coordinator.</v>
      </c>
      <c r="K18" s="76"/>
      <c r="L18" s="76"/>
      <c r="M18" s="76"/>
      <c r="N18" s="76"/>
    </row>
    <row r="19" spans="1:14" ht="30" customHeight="1">
      <c r="A19" s="73" t="s">
        <v>165</v>
      </c>
      <c r="B19" s="73" t="str">
        <f>'Existing RPP - KH Inhouse'!B32</f>
        <v>Repair and Maintenance</v>
      </c>
      <c r="C19" s="73" t="str">
        <f>'Existing RPP - KH Inhouse'!K32</f>
        <v>Parking Management</v>
      </c>
      <c r="D19" s="73" t="s">
        <v>178</v>
      </c>
      <c r="E19" s="74">
        <f>'Existing RPP - KH Inhouse'!L32</f>
        <v>0</v>
      </c>
      <c r="F19" s="74">
        <f>'Existing RPP - KH Inhouse'!M32</f>
        <v>25200</v>
      </c>
      <c r="G19" s="74">
        <f>'Existing RPP - KH Inhouse'!N32</f>
        <v>8400</v>
      </c>
      <c r="H19" s="74">
        <f>'Existing RPP - KH Inhouse'!O32</f>
        <v>2400</v>
      </c>
      <c r="I19" s="75">
        <v>32</v>
      </c>
      <c r="J19" s="76" t="str">
        <f>'Existing RPP - KH Inhouse'!P32</f>
        <v>Uses ACE's scenario-specific repair and maintenance allowances because meter quantity/type drives service effort and parts.</v>
      </c>
      <c r="K19" s="76"/>
      <c r="L19" s="76"/>
      <c r="M19" s="76"/>
      <c r="N19" s="76"/>
    </row>
    <row r="20" spans="1:14" ht="30" customHeight="1">
      <c r="A20" s="73" t="s">
        <v>165</v>
      </c>
      <c r="B20" s="73" t="str">
        <f>'Existing RPP - KH Inhouse'!B33</f>
        <v>PCI Compliance</v>
      </c>
      <c r="C20" s="73" t="str">
        <f>'Existing RPP - KH Inhouse'!K33</f>
        <v>Parking Management</v>
      </c>
      <c r="D20" s="73" t="s">
        <v>178</v>
      </c>
      <c r="E20" s="74">
        <f>'Existing RPP - KH Inhouse'!L33</f>
        <v>300</v>
      </c>
      <c r="F20" s="74">
        <f>'Existing RPP - KH Inhouse'!M33</f>
        <v>0</v>
      </c>
      <c r="G20" s="74">
        <f>'Existing RPP - KH Inhouse'!N33</f>
        <v>0</v>
      </c>
      <c r="H20" s="74">
        <f>'Existing RPP - KH Inhouse'!O33</f>
        <v>0</v>
      </c>
      <c r="I20" s="75">
        <v>33</v>
      </c>
      <c r="J20" s="76" t="str">
        <f>'Existing RPP - KH Inhouse'!P33</f>
        <v>ACE annual PCI-compliance allowance; common to all scenarios.</v>
      </c>
      <c r="K20" s="76"/>
      <c r="L20" s="76"/>
      <c r="M20" s="76"/>
      <c r="N20" s="76"/>
    </row>
    <row r="21" spans="1:14" ht="30" customHeight="1">
      <c r="A21" s="73" t="s">
        <v>165</v>
      </c>
      <c r="B21" s="73" t="str">
        <f>'Existing RPP - KH Inhouse'!B34</f>
        <v>Bank Fees</v>
      </c>
      <c r="C21" s="73" t="str">
        <f>'Existing RPP - KH Inhouse'!K34</f>
        <v>Parking Management</v>
      </c>
      <c r="D21" s="73" t="s">
        <v>178</v>
      </c>
      <c r="E21" s="74">
        <f>'Existing RPP - KH Inhouse'!L34</f>
        <v>264</v>
      </c>
      <c r="F21" s="74">
        <f>'Existing RPP - KH Inhouse'!M34</f>
        <v>0</v>
      </c>
      <c r="G21" s="74">
        <f>'Existing RPP - KH Inhouse'!N34</f>
        <v>0</v>
      </c>
      <c r="H21" s="74">
        <f>'Existing RPP - KH Inhouse'!O34</f>
        <v>0</v>
      </c>
      <c r="I21" s="75">
        <v>34</v>
      </c>
      <c r="J21" s="76" t="str">
        <f>'Existing RPP - KH Inhouse'!P34</f>
        <v>ACE annual banking allowance; common to all scenarios. Transaction-based merchant fees remain excluded.</v>
      </c>
      <c r="K21" s="76"/>
      <c r="L21" s="76"/>
      <c r="M21" s="76"/>
      <c r="N21" s="76"/>
    </row>
    <row r="22" spans="1:14" ht="77.25" customHeight="1">
      <c r="A22" s="77" t="s">
        <v>166</v>
      </c>
      <c r="B22" s="70" t="str">
        <f>'Existing RPP - KH Inhouse'!B49</f>
        <v>Genetec Mobile LPR Units</v>
      </c>
      <c r="C22" s="70" t="str">
        <f>'Existing RPP - KH Inhouse'!K49</f>
        <v>Enforcement</v>
      </c>
      <c r="D22" s="70" t="s">
        <v>178</v>
      </c>
      <c r="E22" s="71">
        <f>'Existing RPP - KH Inhouse'!L49</f>
        <v>62474.45</v>
      </c>
      <c r="F22" s="71">
        <f>'Existing RPP - KH Inhouse'!M49</f>
        <v>0</v>
      </c>
      <c r="G22" s="71">
        <f>'Existing RPP - KH Inhouse'!N49</f>
        <v>0</v>
      </c>
      <c r="H22" s="71">
        <f>'Existing RPP - KH Inhouse'!O49</f>
        <v>0</v>
      </c>
      <c r="I22" s="69">
        <v>49</v>
      </c>
      <c r="J22" s="78" t="str">
        <f>'Existing RPP - KH Inhouse'!P49</f>
        <v>Shared LAZ/Route1 Genetec mobile LPR capital package for two ALPR-equipped vehicles used in all scenarios: engineering services, hardware/software, user interface and communications, and sales tax. Selected because its lower upfront cost produces the lower five-year total than ACE. The total fleet may range from 3 to 5 vehicles, but Genetec costs are not scaled because only two vehicles are assumed to carry ALPR equipment; obtain an updated Route1 quote if additional ALPR units are required. Annual support/licenses are included separately in L24.</v>
      </c>
      <c r="K22" s="78"/>
      <c r="L22" s="78"/>
      <c r="M22" s="78"/>
      <c r="N22" s="78"/>
    </row>
    <row r="23" spans="1:14" ht="35.25" customHeight="1">
      <c r="A23" s="77" t="s">
        <v>166</v>
      </c>
      <c r="B23" s="70" t="str">
        <f>'Existing RPP - KH Inhouse'!B50</f>
        <v>Toyota Corolla</v>
      </c>
      <c r="C23" s="70" t="str">
        <f>'Existing RPP - KH Inhouse'!K50</f>
        <v>Enforcement</v>
      </c>
      <c r="D23" s="70" t="s">
        <v>178</v>
      </c>
      <c r="E23" s="71">
        <f>'Existing RPP - KH Inhouse'!L50</f>
        <v>0</v>
      </c>
      <c r="F23" s="71">
        <f>'Existing RPP - KH Inhouse'!M50</f>
        <v>144500</v>
      </c>
      <c r="G23" s="71">
        <f>'Existing RPP - KH Inhouse'!N50</f>
        <v>115600</v>
      </c>
      <c r="H23" s="71">
        <f>'Existing RPP - KH Inhouse'!O50</f>
        <v>86451</v>
      </c>
      <c r="I23" s="69">
        <v>50</v>
      </c>
      <c r="J23" s="78" t="str">
        <f>'Existing RPP - KH Inhouse'!P50</f>
        <v>Purchase vehicles using ACE's scenario quantities and pricing: 5 vehicles for single-space, 4 for dual-space, and 3 for multi-space.</v>
      </c>
      <c r="K23" s="78"/>
      <c r="L23" s="78"/>
      <c r="M23" s="78"/>
      <c r="N23" s="78"/>
    </row>
    <row r="24" spans="1:14" ht="66.75" customHeight="1">
      <c r="A24" s="77" t="s">
        <v>166</v>
      </c>
      <c r="B24" s="70" t="str">
        <f>'Existing RPP - KH Inhouse'!B51</f>
        <v>Parking Sensors</v>
      </c>
      <c r="C24" s="70" t="str">
        <f>'Existing RPP - KH Inhouse'!K51</f>
        <v>Enforcement</v>
      </c>
      <c r="D24" s="70" t="s">
        <v>178</v>
      </c>
      <c r="E24" s="71">
        <f>'Existing RPP - KH Inhouse'!L51</f>
        <v>40789</v>
      </c>
      <c r="F24" s="71">
        <f>'Existing RPP - KH Inhouse'!M51</f>
        <v>0</v>
      </c>
      <c r="G24" s="71">
        <f>'Existing RPP - KH Inhouse'!N51</f>
        <v>0</v>
      </c>
      <c r="H24" s="71">
        <f>'Existing RPP - KH Inhouse'!O51</f>
        <v>0</v>
      </c>
      <c r="I24" s="69">
        <v>51</v>
      </c>
      <c r="J24" s="78" t="str">
        <f>'Existing RPP - KH Inhouse'!P51</f>
        <v>Shared eleven-x installed sensor system used in all scenarios: 48 SPS-X sensors ($9,552), 3 wireless gateways ($3,285), and installation/setup ($27,952), totaling $40,789. Selected over ACE/Fybr because its lower annual cost produces the lower five-year system cost and maintains consistency with the selected LAZ technology packages.</v>
      </c>
      <c r="K24" s="78"/>
      <c r="L24" s="78"/>
      <c r="M24" s="78"/>
      <c r="N24" s="78"/>
    </row>
    <row r="25" spans="1:14" ht="84" customHeight="1">
      <c r="A25" s="77" t="s">
        <v>166</v>
      </c>
      <c r="B25" s="70" t="str">
        <f>'Existing RPP - KH Inhouse'!B48</f>
        <v>Meters</v>
      </c>
      <c r="C25" s="70" t="str">
        <f>'Existing RPP - KH Inhouse'!K48</f>
        <v>Parking Management</v>
      </c>
      <c r="D25" s="70" t="s">
        <v>178</v>
      </c>
      <c r="E25" s="71">
        <f>'Existing RPP - KH Inhouse'!L48</f>
        <v>0</v>
      </c>
      <c r="F25" s="71">
        <f>'Existing RPP - KH Inhouse'!M48</f>
        <v>982892.19</v>
      </c>
      <c r="G25" s="71">
        <f>'Existing RPP - KH Inhouse'!N48</f>
        <v>560330.11</v>
      </c>
      <c r="H25" s="71">
        <f>'Existing RPP - KH Inhouse'!O48</f>
        <v>509946.88</v>
      </c>
      <c r="I25" s="69">
        <v>48</v>
      </c>
      <c r="J25" s="78" t="s">
        <v>181</v>
      </c>
      <c r="K25" s="78"/>
      <c r="L25" s="78"/>
      <c r="M25" s="78"/>
      <c r="N25" s="78"/>
    </row>
    <row r="26" spans="1:14" ht="47.25" customHeight="1">
      <c r="A26" s="77" t="s">
        <v>166</v>
      </c>
      <c r="B26" s="70" t="str">
        <f>'Existing RPP - KH Inhouse'!B52</f>
        <v>Passport Implementation</v>
      </c>
      <c r="C26" s="70" t="str">
        <f>'Existing RPP - KH Inhouse'!K52</f>
        <v>Parking Management</v>
      </c>
      <c r="D26" s="70" t="s">
        <v>178</v>
      </c>
      <c r="E26" s="71">
        <f>'Existing RPP - KH Inhouse'!L52</f>
        <v>10000</v>
      </c>
      <c r="F26" s="71">
        <f>'Existing RPP - KH Inhouse'!M52</f>
        <v>0</v>
      </c>
      <c r="G26" s="71">
        <f>'Existing RPP - KH Inhouse'!N52</f>
        <v>0</v>
      </c>
      <c r="H26" s="71">
        <f>'Existing RPP - KH Inhouse'!O52</f>
        <v>0</v>
      </c>
      <c r="I26" s="69">
        <v>52</v>
      </c>
      <c r="J26" s="78" t="s">
        <v>182</v>
      </c>
      <c r="K26" s="78"/>
      <c r="L26" s="78"/>
      <c r="M26" s="78"/>
      <c r="N26" s="78"/>
    </row>
    <row r="27" spans="1:14" ht="45.75" customHeight="1">
      <c r="A27" s="79" t="s">
        <v>167</v>
      </c>
      <c r="B27" s="79" t="str">
        <f>'Existing RPP - KH Inhouse'!B37</f>
        <v>Insurance - Liability</v>
      </c>
      <c r="C27" s="79" t="str">
        <f>'Existing RPP - KH Inhouse'!K37</f>
        <v>Enforcement</v>
      </c>
      <c r="D27" s="79" t="s">
        <v>2</v>
      </c>
      <c r="E27" s="80">
        <f>'Existing RPP - KH Inhouse'!L37</f>
        <v>46307.658000000003</v>
      </c>
      <c r="F27" s="80">
        <f>'Existing RPP - KH Inhouse'!M37</f>
        <v>10943.43</v>
      </c>
      <c r="G27" s="80">
        <f>'Existing RPP - KH Inhouse'!N37</f>
        <v>7258.98</v>
      </c>
      <c r="H27" s="80">
        <f>'Existing RPP - KH Inhouse'!O37</f>
        <v>0</v>
      </c>
      <c r="I27" s="81">
        <v>37</v>
      </c>
      <c r="J27" s="82" t="str">
        <f>'Existing RPP - KH Inhouse'!P37</f>
        <v>Base planning proxy is 3% of base payroll. Single- and dual-space add 3% of incremental officer and maintenance payroll; replace with the City's actual risk-manager premium when available.</v>
      </c>
      <c r="K27" s="82"/>
      <c r="L27" s="82"/>
      <c r="M27" s="82"/>
      <c r="N27" s="82"/>
    </row>
    <row r="28" spans="1:14" ht="41.25" customHeight="1">
      <c r="A28" s="79" t="s">
        <v>167</v>
      </c>
      <c r="B28" s="79" t="str">
        <f>'Expanded RPP - KH Inhouse'!B37</f>
        <v>Insurance - Liability</v>
      </c>
      <c r="C28" s="79" t="str">
        <f>'Expanded RPP - KH Inhouse'!K37</f>
        <v>Enforcement</v>
      </c>
      <c r="D28" s="79" t="s">
        <v>13</v>
      </c>
      <c r="E28" s="80">
        <f>'Expanded RPP - KH Inhouse'!L37</f>
        <v>46307.658000000003</v>
      </c>
      <c r="F28" s="80">
        <f>'Expanded RPP - KH Inhouse'!M37</f>
        <v>60935.538</v>
      </c>
      <c r="G28" s="80">
        <f>'Expanded RPP - KH Inhouse'!N37</f>
        <v>57251.088000000003</v>
      </c>
      <c r="H28" s="80">
        <f>'Expanded RPP - KH Inhouse'!O37</f>
        <v>0</v>
      </c>
      <c r="I28" s="81">
        <v>37</v>
      </c>
      <c r="J28" s="82" t="str">
        <f>'Expanded RPP - KH Inhouse'!P37</f>
        <v>Base planning proxy is 3% of base payroll. Single- and dual-space add 3% of incremental officer and maintenance payroll; replace with the City's actual risk-manager premium when available.</v>
      </c>
      <c r="K28" s="82"/>
      <c r="L28" s="82"/>
      <c r="M28" s="82"/>
      <c r="N28" s="82"/>
    </row>
    <row r="29" spans="1:14" ht="27">
      <c r="A29" s="79" t="s">
        <v>167</v>
      </c>
      <c r="B29" s="79" t="str">
        <f>'Existing RPP - KH Inhouse'!B19</f>
        <v>Payroll Processing</v>
      </c>
      <c r="C29" s="79" t="str">
        <f>'Existing RPP - KH Inhouse'!K19</f>
        <v>Parking Management</v>
      </c>
      <c r="D29" s="79" t="s">
        <v>2</v>
      </c>
      <c r="E29" s="80">
        <f>'Existing RPP - KH Inhouse'!L19</f>
        <v>0</v>
      </c>
      <c r="F29" s="80">
        <f>'Existing RPP - KH Inhouse'!M19</f>
        <v>19083.696</v>
      </c>
      <c r="G29" s="80">
        <f>'Existing RPP - KH Inhouse'!N19</f>
        <v>17855.546000000002</v>
      </c>
      <c r="H29" s="80">
        <f>'Existing RPP - KH Inhouse'!O19</f>
        <v>15435.886</v>
      </c>
      <c r="I29" s="81">
        <v>19</v>
      </c>
      <c r="J29" s="82" t="str">
        <f>'Existing RPP - KH Inhouse'!P19</f>
        <v>Base allowance is 1.0% of base payroll. Single- and dual-space add 1.0% of their incremental officer and maintenance payroll.</v>
      </c>
      <c r="K29" s="82"/>
      <c r="L29" s="82"/>
      <c r="M29" s="82"/>
      <c r="N29" s="82"/>
    </row>
    <row r="30" spans="1:14" ht="27">
      <c r="A30" s="79" t="s">
        <v>167</v>
      </c>
      <c r="B30" s="79" t="str">
        <f>'Expanded RPP - KH Inhouse'!B19</f>
        <v>Payroll Processing</v>
      </c>
      <c r="C30" s="79" t="str">
        <f>'Expanded RPP - KH Inhouse'!K19</f>
        <v>Parking Management</v>
      </c>
      <c r="D30" s="79" t="s">
        <v>13</v>
      </c>
      <c r="E30" s="80">
        <f>'Expanded RPP - KH Inhouse'!L19</f>
        <v>0</v>
      </c>
      <c r="F30" s="80">
        <f>'Expanded RPP - KH Inhouse'!M19</f>
        <v>35747.732000000004</v>
      </c>
      <c r="G30" s="80">
        <f>'Expanded RPP - KH Inhouse'!N19</f>
        <v>34519.582000000002</v>
      </c>
      <c r="H30" s="80">
        <f>'Expanded RPP - KH Inhouse'!O19</f>
        <v>15435.886</v>
      </c>
      <c r="I30" s="81">
        <v>19</v>
      </c>
      <c r="J30" s="82" t="str">
        <f>'Expanded RPP - KH Inhouse'!P19</f>
        <v>Base allowance is 1.0% of base payroll. Single- and dual-space add 1.0% of their incremental officer and maintenance payroll.</v>
      </c>
      <c r="K30" s="82"/>
      <c r="L30" s="82"/>
      <c r="M30" s="82"/>
      <c r="N30" s="82"/>
    </row>
    <row r="31" spans="1:14" ht="65.25" customHeight="1">
      <c r="A31" s="79" t="s">
        <v>168</v>
      </c>
      <c r="B31" s="79" t="s">
        <v>137</v>
      </c>
      <c r="C31" s="79" t="s">
        <v>55</v>
      </c>
      <c r="D31" s="79" t="s">
        <v>2</v>
      </c>
      <c r="E31" s="80">
        <f>'Existing RPP - KH Inhouse'!L58</f>
        <v>0</v>
      </c>
      <c r="F31" s="80">
        <f>'Existing RPP - KH Inhouse'!M58</f>
        <v>1231610.6294660328</v>
      </c>
      <c r="G31" s="80">
        <f>'Existing RPP - KH Inhouse'!N58</f>
        <v>1152349.11772435</v>
      </c>
      <c r="H31" s="80">
        <f>'Existing RPP - KH Inhouse'!O58</f>
        <v>996190.74171093095</v>
      </c>
      <c r="I31" s="81">
        <v>58</v>
      </c>
      <c r="J31" s="82" t="str">
        <f>"Allocated 65% total labor costs to enforcement per LAZ allocation. " &amp;'Existing RPP - KH Inhouse'!P56</f>
        <v>Allocated 65% total labor costs to enforcement per LAZ allocation. Total fully burdened labor by equipment plan. Fixed roles are the project manager, administrator, part-time IT specialist, enforcement supervisor, operations supervisor, and operations coordinator. Single-space includes 6 enforcement officers and 2 maintenance workers; dual-space includes 5 officers and 2 maintenance workers; multi-space includes 4 officers and 1 maintenance worker.</v>
      </c>
      <c r="K31" s="82"/>
      <c r="L31" s="82"/>
      <c r="M31" s="82"/>
      <c r="N31" s="82"/>
    </row>
    <row r="32" spans="1:14" ht="95.25" customHeight="1">
      <c r="A32" s="79" t="s">
        <v>168</v>
      </c>
      <c r="B32" s="79" t="s">
        <v>137</v>
      </c>
      <c r="C32" s="79" t="s">
        <v>55</v>
      </c>
      <c r="D32" s="79" t="s">
        <v>13</v>
      </c>
      <c r="E32" s="80">
        <f>'Expanded RPP - KH Inhouse'!L59</f>
        <v>0</v>
      </c>
      <c r="F32" s="80">
        <f>'Expanded RPP - KH Inhouse'!M59</f>
        <v>1310872.141207716</v>
      </c>
      <c r="G32" s="80">
        <f>'Expanded RPP - KH Inhouse'!N59</f>
        <v>1231610.6294660328</v>
      </c>
      <c r="H32" s="80">
        <f>'Expanded RPP - KH Inhouse'!O59</f>
        <v>1075452.2534526139</v>
      </c>
      <c r="I32" s="81">
        <v>59</v>
      </c>
      <c r="J32" s="83" t="str">
        <f>"Allocated 65% total labor costs to enforcement per LAZ allocation. " &amp;'Expanded RPP - KH Inhouse'!P57</f>
        <v>Allocated 65% total labor costs to enforcement per LAZ allocation. Total fully burdened labor for the expanded RPP, including one additional enforcement officer in every equipment scenario compared with the existing RPP. Fixed roles are the project manager, administrator, part-time IT specialist, enforcement supervisor, operations supervisor, and operations coordinator. Single-space includes 7 officers and 2 maintenance workers; dual-space includes 6 officers and 2 maintenance workers; multi-space includes 5 officers and 1 maintenance worker.</v>
      </c>
      <c r="K32" s="83"/>
      <c r="L32" s="83"/>
      <c r="M32" s="83"/>
      <c r="N32" s="83"/>
    </row>
    <row r="33" spans="1:14" ht="27">
      <c r="A33" s="79" t="s">
        <v>168</v>
      </c>
      <c r="B33" s="79" t="s">
        <v>170</v>
      </c>
      <c r="C33" s="79" t="s">
        <v>41</v>
      </c>
      <c r="D33" s="79" t="s">
        <v>2</v>
      </c>
      <c r="E33" s="80">
        <f>'Existing RPP - KH Inhouse'!L57</f>
        <v>0</v>
      </c>
      <c r="F33" s="80">
        <f>'Existing RPP - KH Inhouse'!M57</f>
        <v>676758.97053396713</v>
      </c>
      <c r="G33" s="80">
        <f>'Existing RPP - KH Inhouse'!N57</f>
        <v>633205.48227565014</v>
      </c>
      <c r="H33" s="80">
        <f>'Existing RPP - KH Inhouse'!O57</f>
        <v>547397.85828906915</v>
      </c>
      <c r="I33" s="81">
        <v>57</v>
      </c>
      <c r="J33" s="82" t="str">
        <f>"Allocated 35% total labor costs to enforcement per LAZ allocation."</f>
        <v>Allocated 35% total labor costs to enforcement per LAZ allocation.</v>
      </c>
      <c r="K33" s="82"/>
      <c r="L33" s="82"/>
      <c r="M33" s="82"/>
      <c r="N33" s="82"/>
    </row>
    <row r="34" spans="1:14" ht="27">
      <c r="A34" s="79" t="s">
        <v>168</v>
      </c>
      <c r="B34" s="79" t="s">
        <v>170</v>
      </c>
      <c r="C34" s="79" t="s">
        <v>41</v>
      </c>
      <c r="D34" s="79" t="s">
        <v>13</v>
      </c>
      <c r="E34" s="80">
        <f>'Expanded RPP - KH Inhouse'!L58</f>
        <v>0</v>
      </c>
      <c r="F34" s="80">
        <f>'Expanded RPP - KH Inhouse'!M58</f>
        <v>720312.45879228413</v>
      </c>
      <c r="G34" s="80">
        <f>'Expanded RPP - KH Inhouse'!N58</f>
        <v>676758.97053396713</v>
      </c>
      <c r="H34" s="80">
        <f>'Expanded RPP - KH Inhouse'!O58</f>
        <v>590951.34654738614</v>
      </c>
      <c r="I34" s="81">
        <v>58</v>
      </c>
      <c r="J34" s="83" t="str">
        <f>"Allocated 35% total labor costs to enforcement per LAZ allocation."</f>
        <v>Allocated 35% total labor costs to enforcement per LAZ allocation.</v>
      </c>
      <c r="K34" s="83"/>
      <c r="L34" s="83"/>
      <c r="M34" s="83"/>
      <c r="N34" s="83"/>
    </row>
    <row r="35" spans="1:14">
      <c r="A35" s="51"/>
      <c r="B35" s="51"/>
      <c r="C35" s="51"/>
      <c r="D35" s="51"/>
      <c r="E35" s="51"/>
      <c r="F35" s="51"/>
      <c r="G35" s="51"/>
      <c r="H35" s="51"/>
      <c r="I35" s="51"/>
      <c r="J35" s="51"/>
      <c r="K35" s="51"/>
      <c r="L35" s="51"/>
      <c r="M35" s="51"/>
      <c r="N35" s="51"/>
    </row>
    <row r="36" spans="1:14" ht="15.75">
      <c r="A36" s="97" t="s">
        <v>183</v>
      </c>
      <c r="B36" s="97"/>
      <c r="C36" s="97"/>
      <c r="D36" s="97"/>
      <c r="E36" s="97"/>
      <c r="F36" s="97"/>
      <c r="G36" s="97"/>
      <c r="H36" s="97"/>
      <c r="I36" s="97"/>
      <c r="J36" s="97"/>
      <c r="K36" s="97"/>
      <c r="L36" s="97"/>
      <c r="M36" s="97"/>
      <c r="N36" s="97"/>
    </row>
    <row r="37" spans="1:14" ht="42" customHeight="1">
      <c r="A37" s="57" t="s">
        <v>184</v>
      </c>
      <c r="B37" s="57" t="s">
        <v>185</v>
      </c>
      <c r="C37" s="57" t="s">
        <v>186</v>
      </c>
      <c r="D37" s="57" t="s">
        <v>187</v>
      </c>
      <c r="E37" s="57" t="s">
        <v>188</v>
      </c>
      <c r="F37" s="57" t="s">
        <v>189</v>
      </c>
      <c r="G37" s="57" t="s">
        <v>190</v>
      </c>
      <c r="H37" s="57" t="s">
        <v>191</v>
      </c>
      <c r="I37" s="57" t="s">
        <v>192</v>
      </c>
      <c r="J37" s="57" t="s">
        <v>193</v>
      </c>
      <c r="K37" s="57" t="s">
        <v>194</v>
      </c>
      <c r="L37" s="57" t="s">
        <v>195</v>
      </c>
      <c r="M37" s="57" t="s">
        <v>196</v>
      </c>
      <c r="N37" s="57" t="s">
        <v>197</v>
      </c>
    </row>
    <row r="38" spans="1:14" ht="21.95" customHeight="1">
      <c r="A38" s="88" t="s">
        <v>108</v>
      </c>
      <c r="B38" s="89">
        <f>'Existing RPP - KH Inhouse'!C56</f>
        <v>208147</v>
      </c>
      <c r="C38" s="90">
        <v>1</v>
      </c>
      <c r="D38" s="90">
        <v>1</v>
      </c>
      <c r="E38" s="90">
        <v>1</v>
      </c>
      <c r="F38" s="91">
        <v>1</v>
      </c>
      <c r="G38" s="91">
        <v>1</v>
      </c>
      <c r="H38" s="91">
        <v>1</v>
      </c>
      <c r="I38" s="58">
        <f>B38*C38</f>
        <v>208147</v>
      </c>
      <c r="J38" s="58">
        <f>B38*D38</f>
        <v>208147</v>
      </c>
      <c r="K38" s="58">
        <f>B38*E38</f>
        <v>208147</v>
      </c>
      <c r="L38" s="62">
        <f>B38*F38</f>
        <v>208147</v>
      </c>
      <c r="M38" s="62">
        <f>B38*G38</f>
        <v>208147</v>
      </c>
      <c r="N38" s="62">
        <f>B38*H38</f>
        <v>208147</v>
      </c>
    </row>
    <row r="39" spans="1:14" ht="21.95" customHeight="1">
      <c r="A39" s="88" t="s">
        <v>111</v>
      </c>
      <c r="B39" s="89">
        <f>'Existing RPP - KH Inhouse'!C57</f>
        <v>164139</v>
      </c>
      <c r="C39" s="90">
        <v>1</v>
      </c>
      <c r="D39" s="90">
        <v>1</v>
      </c>
      <c r="E39" s="90">
        <v>1</v>
      </c>
      <c r="F39" s="91">
        <v>1</v>
      </c>
      <c r="G39" s="91">
        <v>1</v>
      </c>
      <c r="H39" s="91">
        <v>1</v>
      </c>
      <c r="I39" s="58">
        <f>B39*C39</f>
        <v>164139</v>
      </c>
      <c r="J39" s="58">
        <f>B39*D39</f>
        <v>164139</v>
      </c>
      <c r="K39" s="58">
        <f>B39*E39</f>
        <v>164139</v>
      </c>
      <c r="L39" s="62">
        <f>B39*F39</f>
        <v>164139</v>
      </c>
      <c r="M39" s="62">
        <f>B39*G39</f>
        <v>164139</v>
      </c>
      <c r="N39" s="62">
        <f>B39*H39</f>
        <v>164139</v>
      </c>
    </row>
    <row r="40" spans="1:14" ht="21.95" customHeight="1">
      <c r="A40" s="88" t="s">
        <v>112</v>
      </c>
      <c r="B40" s="89">
        <f>'Existing RPP - KH Inhouse'!C58</f>
        <v>51313.600000000006</v>
      </c>
      <c r="C40" s="90">
        <v>1</v>
      </c>
      <c r="D40" s="90">
        <v>1</v>
      </c>
      <c r="E40" s="90">
        <v>1</v>
      </c>
      <c r="F40" s="91">
        <v>1</v>
      </c>
      <c r="G40" s="91">
        <v>1</v>
      </c>
      <c r="H40" s="91">
        <v>1</v>
      </c>
      <c r="I40" s="58">
        <f>B40*C40</f>
        <v>51313.600000000006</v>
      </c>
      <c r="J40" s="58">
        <f>B40*D40</f>
        <v>51313.600000000006</v>
      </c>
      <c r="K40" s="58">
        <f>B40*E40</f>
        <v>51313.600000000006</v>
      </c>
      <c r="L40" s="62">
        <f>B40*F40</f>
        <v>51313.600000000006</v>
      </c>
      <c r="M40" s="62">
        <f>B40*G40</f>
        <v>51313.600000000006</v>
      </c>
      <c r="N40" s="62">
        <f>B40*H40</f>
        <v>51313.600000000006</v>
      </c>
    </row>
    <row r="41" spans="1:14" ht="21.95" customHeight="1">
      <c r="A41" s="88" t="s">
        <v>113</v>
      </c>
      <c r="B41" s="89">
        <f>'Existing RPP - KH Inhouse'!C59</f>
        <v>186465</v>
      </c>
      <c r="C41" s="90">
        <v>1</v>
      </c>
      <c r="D41" s="90">
        <v>1</v>
      </c>
      <c r="E41" s="90">
        <v>1</v>
      </c>
      <c r="F41" s="91">
        <v>1</v>
      </c>
      <c r="G41" s="91">
        <v>1</v>
      </c>
      <c r="H41" s="91">
        <v>1</v>
      </c>
      <c r="I41" s="58">
        <f>B41*C41</f>
        <v>186465</v>
      </c>
      <c r="J41" s="58">
        <f>B41*D41</f>
        <v>186465</v>
      </c>
      <c r="K41" s="58">
        <f>B41*E41</f>
        <v>186465</v>
      </c>
      <c r="L41" s="62">
        <f>B41*F41</f>
        <v>186465</v>
      </c>
      <c r="M41" s="62">
        <f>B41*G41</f>
        <v>186465</v>
      </c>
      <c r="N41" s="62">
        <f>B41*H41</f>
        <v>186465</v>
      </c>
    </row>
    <row r="42" spans="1:14" ht="21.95" customHeight="1">
      <c r="A42" s="88" t="s">
        <v>198</v>
      </c>
      <c r="B42" s="89">
        <f>'Existing RPP - KH Inhouse'!C60/4</f>
        <v>122815</v>
      </c>
      <c r="C42" s="90">
        <v>6</v>
      </c>
      <c r="D42" s="90">
        <v>5</v>
      </c>
      <c r="E42" s="90">
        <v>4</v>
      </c>
      <c r="F42" s="91">
        <v>7</v>
      </c>
      <c r="G42" s="91">
        <v>6</v>
      </c>
      <c r="H42" s="91">
        <v>5</v>
      </c>
      <c r="I42" s="58">
        <f>B42*C42</f>
        <v>736890</v>
      </c>
      <c r="J42" s="58">
        <f>B42*D42</f>
        <v>614075</v>
      </c>
      <c r="K42" s="58">
        <f>B42*E42</f>
        <v>491260</v>
      </c>
      <c r="L42" s="62">
        <f>B42*F42</f>
        <v>859705</v>
      </c>
      <c r="M42" s="62">
        <f>B42*G42</f>
        <v>736890</v>
      </c>
      <c r="N42" s="62">
        <f>B42*H42</f>
        <v>614075</v>
      </c>
    </row>
    <row r="43" spans="1:14" ht="21.95" customHeight="1">
      <c r="A43" s="88" t="s">
        <v>115</v>
      </c>
      <c r="B43" s="89">
        <f>'Existing RPP - KH Inhouse'!C61</f>
        <v>119151</v>
      </c>
      <c r="C43" s="90">
        <v>2</v>
      </c>
      <c r="D43" s="90">
        <v>2</v>
      </c>
      <c r="E43" s="90">
        <v>1</v>
      </c>
      <c r="F43" s="91">
        <v>2</v>
      </c>
      <c r="G43" s="91">
        <v>2</v>
      </c>
      <c r="H43" s="91">
        <v>1</v>
      </c>
      <c r="I43" s="58">
        <f>B43*C43</f>
        <v>238302</v>
      </c>
      <c r="J43" s="58">
        <f>B43*D43</f>
        <v>238302</v>
      </c>
      <c r="K43" s="58">
        <f>B43*E43</f>
        <v>119151</v>
      </c>
      <c r="L43" s="62">
        <f>B43*F43</f>
        <v>238302</v>
      </c>
      <c r="M43" s="62">
        <f>B43*G43</f>
        <v>238302</v>
      </c>
      <c r="N43" s="62">
        <f>B43*H43</f>
        <v>119151</v>
      </c>
    </row>
    <row r="44" spans="1:14" ht="21.95" customHeight="1">
      <c r="A44" s="88" t="s">
        <v>116</v>
      </c>
      <c r="B44" s="89">
        <f>'Existing RPP - KH Inhouse'!C62</f>
        <v>203962</v>
      </c>
      <c r="C44" s="90">
        <v>1</v>
      </c>
      <c r="D44" s="90">
        <v>1</v>
      </c>
      <c r="E44" s="90">
        <v>1</v>
      </c>
      <c r="F44" s="91">
        <v>1</v>
      </c>
      <c r="G44" s="91">
        <v>1</v>
      </c>
      <c r="H44" s="91">
        <v>1</v>
      </c>
      <c r="I44" s="58">
        <f>B44*C44</f>
        <v>203962</v>
      </c>
      <c r="J44" s="58">
        <f>B44*D44</f>
        <v>203962</v>
      </c>
      <c r="K44" s="58">
        <f>B44*E44</f>
        <v>203962</v>
      </c>
      <c r="L44" s="62">
        <f>B44*F44</f>
        <v>203962</v>
      </c>
      <c r="M44" s="62">
        <f>B44*G44</f>
        <v>203962</v>
      </c>
      <c r="N44" s="62">
        <f>B44*H44</f>
        <v>203962</v>
      </c>
    </row>
    <row r="45" spans="1:14" ht="21.95" customHeight="1">
      <c r="A45" s="88" t="s">
        <v>117</v>
      </c>
      <c r="B45" s="89">
        <f>'Existing RPP - KH Inhouse'!C63</f>
        <v>119151</v>
      </c>
      <c r="C45" s="90">
        <v>1</v>
      </c>
      <c r="D45" s="90">
        <v>1</v>
      </c>
      <c r="E45" s="90">
        <v>1</v>
      </c>
      <c r="F45" s="91">
        <v>1</v>
      </c>
      <c r="G45" s="91">
        <v>1</v>
      </c>
      <c r="H45" s="91">
        <v>1</v>
      </c>
      <c r="I45" s="58">
        <f>B45*C45</f>
        <v>119151</v>
      </c>
      <c r="J45" s="58">
        <f>B45*D45</f>
        <v>119151</v>
      </c>
      <c r="K45" s="58">
        <f>B45*E45</f>
        <v>119151</v>
      </c>
      <c r="L45" s="62">
        <f>B45*F45</f>
        <v>119151</v>
      </c>
      <c r="M45" s="62">
        <f>B45*G45</f>
        <v>119151</v>
      </c>
      <c r="N45" s="62">
        <f>B45*H45</f>
        <v>119151</v>
      </c>
    </row>
    <row r="46" spans="1:14" ht="21.95" customHeight="1">
      <c r="A46" s="92" t="s">
        <v>199</v>
      </c>
      <c r="B46" s="92"/>
      <c r="C46" s="93">
        <f>SUM(C38:C45)</f>
        <v>14</v>
      </c>
      <c r="D46" s="93">
        <f>SUM(D38:D45)</f>
        <v>13</v>
      </c>
      <c r="E46" s="93">
        <f>SUM(E38:E45)</f>
        <v>11</v>
      </c>
      <c r="F46" s="93">
        <f>SUM(F38:F45)</f>
        <v>15</v>
      </c>
      <c r="G46" s="93">
        <f>SUM(G38:G45)</f>
        <v>14</v>
      </c>
      <c r="H46" s="93">
        <f>SUM(H38:H45)</f>
        <v>12</v>
      </c>
      <c r="I46" s="94"/>
      <c r="J46" s="94"/>
      <c r="K46" s="94"/>
      <c r="L46" s="94"/>
      <c r="M46" s="94"/>
      <c r="N46" s="94"/>
    </row>
    <row r="47" spans="1:14" ht="21.95" customHeight="1">
      <c r="A47" s="95" t="s">
        <v>169</v>
      </c>
      <c r="B47" s="95"/>
      <c r="C47" s="95"/>
      <c r="D47" s="95"/>
      <c r="E47" s="95"/>
      <c r="F47" s="95"/>
      <c r="G47" s="95"/>
      <c r="H47" s="95"/>
      <c r="I47" s="96">
        <f>SUM(I38:I45)</f>
        <v>1908369.6</v>
      </c>
      <c r="J47" s="96">
        <f>SUM(J38:J45)</f>
        <v>1785554.6</v>
      </c>
      <c r="K47" s="96">
        <f>SUM(K38:K45)</f>
        <v>1543588.6</v>
      </c>
      <c r="L47" s="96">
        <f>SUM(L38:L45)</f>
        <v>2031184.6</v>
      </c>
      <c r="M47" s="96">
        <f>SUM(M38:M45)</f>
        <v>1908369.6</v>
      </c>
      <c r="N47" s="96">
        <f>SUM(N38:N45)</f>
        <v>1666403.6</v>
      </c>
    </row>
    <row r="48" spans="1:14" ht="27.75" customHeight="1">
      <c r="A48" s="87" t="s">
        <v>200</v>
      </c>
      <c r="B48" s="87"/>
      <c r="C48" s="87"/>
      <c r="D48" s="87"/>
      <c r="E48" s="87"/>
      <c r="F48" s="87"/>
      <c r="G48" s="87"/>
      <c r="H48" s="87"/>
      <c r="I48" s="87"/>
      <c r="J48" s="87"/>
      <c r="K48" s="87"/>
      <c r="L48" s="87"/>
      <c r="M48" s="87"/>
      <c r="N48" s="87"/>
    </row>
    <row r="49" spans="1:14">
      <c r="A49" s="51"/>
      <c r="B49" s="51"/>
      <c r="C49" s="51"/>
      <c r="D49" s="51"/>
      <c r="E49" s="51"/>
      <c r="F49" s="51"/>
      <c r="G49" s="51"/>
      <c r="H49" s="51"/>
      <c r="I49" s="51"/>
      <c r="J49" s="51"/>
      <c r="K49" s="51"/>
      <c r="L49" s="51"/>
      <c r="M49" s="51"/>
      <c r="N49" s="51"/>
    </row>
    <row r="50" spans="1:14" ht="15.75">
      <c r="A50" s="54" t="s">
        <v>201</v>
      </c>
      <c r="B50" s="54"/>
      <c r="C50" s="54"/>
      <c r="D50" s="54"/>
      <c r="E50" s="54"/>
      <c r="F50" s="54"/>
      <c r="G50" s="54"/>
      <c r="H50" s="54"/>
      <c r="I50" s="54"/>
      <c r="J50" s="54"/>
      <c r="K50" s="54"/>
      <c r="L50" s="54"/>
      <c r="M50" s="54"/>
      <c r="N50" s="54"/>
    </row>
    <row r="51" spans="1:14" ht="27">
      <c r="A51" s="57" t="s">
        <v>1</v>
      </c>
      <c r="B51" s="57" t="s">
        <v>128</v>
      </c>
      <c r="C51" s="57" t="s">
        <v>9</v>
      </c>
      <c r="D51" s="57" t="s">
        <v>10</v>
      </c>
      <c r="E51" s="57" t="s">
        <v>129</v>
      </c>
      <c r="F51" s="57" t="s">
        <v>130</v>
      </c>
      <c r="G51" s="57" t="s">
        <v>131</v>
      </c>
      <c r="H51" s="57" t="s">
        <v>132</v>
      </c>
      <c r="I51" s="57" t="s">
        <v>133</v>
      </c>
      <c r="J51" s="57" t="s">
        <v>134</v>
      </c>
      <c r="K51" s="57" t="s">
        <v>14</v>
      </c>
      <c r="L51" s="57" t="s">
        <v>135</v>
      </c>
      <c r="M51" s="57" t="s">
        <v>136</v>
      </c>
      <c r="N51" s="57" t="s">
        <v>160</v>
      </c>
    </row>
    <row r="52" spans="1:14">
      <c r="A52" s="84" t="s">
        <v>2</v>
      </c>
      <c r="B52" s="84" t="s">
        <v>6</v>
      </c>
      <c r="C52" s="58">
        <f>'Existing RPP - KH Inhouse'!O58+SUMIF('Existing RPP - KH Inhouse'!$K$18:$K$42,"Enforcement",'Existing RPP - KH Inhouse'!$L$18:$L$42)+SUMIF('Existing RPP - KH Inhouse'!$K$18:$K$42,"Enforcement",'Existing RPP - KH Inhouse'!$O$18:$O$42)</f>
        <v>1089207.7997109308</v>
      </c>
      <c r="D52" s="58">
        <f>'Existing RPP - KH Inhouse'!O57+SUMIF('Existing RPP - KH Inhouse'!$K$18:$K$42,"Parking Management",'Existing RPP - KH Inhouse'!$L$18:$L$42)+SUMIF('Existing RPP - KH Inhouse'!$K$18:$K$42,"Parking Management",'Existing RPP - KH Inhouse'!$O$18:$O$42)</f>
        <v>682369.7442890692</v>
      </c>
      <c r="E52" s="59">
        <f>C52+D52</f>
        <v>1771577.544</v>
      </c>
      <c r="F52" s="59">
        <f>'Existing RPP - KH Inhouse'!O53</f>
        <v>709661.33</v>
      </c>
      <c r="G52" s="59">
        <f>-PMT(10%,5,F52)</f>
        <v>187206.87107144846</v>
      </c>
      <c r="H52" s="59">
        <f>-PMT(10%,3,F52)</f>
        <v>285365.3263534744</v>
      </c>
      <c r="I52" s="59">
        <f>E52+G52</f>
        <v>1958784.4150714485</v>
      </c>
      <c r="J52" s="59">
        <f>E52+H52</f>
        <v>2056942.8703534743</v>
      </c>
      <c r="K52" s="60">
        <v>0.03</v>
      </c>
      <c r="L52" s="58">
        <f>'Existing RPP - KH Inhouse'!O58</f>
        <v>996190.74171093095</v>
      </c>
      <c r="M52" s="58">
        <f>'Existing RPP - KH Inhouse'!O57</f>
        <v>547397.85828906915</v>
      </c>
      <c r="N52" s="61">
        <f>E52-'Existing RPP - KH Inhouse'!O45</f>
        <v>0</v>
      </c>
    </row>
    <row r="53" spans="1:14">
      <c r="A53" s="84" t="s">
        <v>2</v>
      </c>
      <c r="B53" s="84" t="s">
        <v>7</v>
      </c>
      <c r="C53" s="58">
        <f>'Existing RPP - KH Inhouse'!M58+SUMIF('Existing RPP - KH Inhouse'!$K$18:$K$42,"Enforcement",'Existing RPP - KH Inhouse'!$L$18:$L$42)+SUMIF('Existing RPP - KH Inhouse'!$K$18:$K$42,"Enforcement",'Existing RPP - KH Inhouse'!$M$18:$M$42)</f>
        <v>1347420.7174660328</v>
      </c>
      <c r="D53" s="58">
        <f>'Existing RPP - KH Inhouse'!M57+SUMIF('Existing RPP - KH Inhouse'!$K$18:$K$42,"Parking Management",'Existing RPP - KH Inhouse'!$L$18:$L$42)+SUMIF('Existing RPP - KH Inhouse'!$K$18:$K$42,"Parking Management",'Existing RPP - KH Inhouse'!$M$18:$M$42)</f>
        <v>872366.66653396713</v>
      </c>
      <c r="E53" s="59">
        <f>C53+D53</f>
        <v>2219787.3840000001</v>
      </c>
      <c r="F53" s="59">
        <f>'Existing RPP - KH Inhouse'!M53</f>
        <v>1240655.6399999999</v>
      </c>
      <c r="G53" s="59">
        <f>-PMT(10%,5,F53)</f>
        <v>327281.83236579254</v>
      </c>
      <c r="H53" s="59">
        <f>-PMT(10%,3,F53)</f>
        <v>498885.99904531729</v>
      </c>
      <c r="I53" s="59">
        <f>E53+G53</f>
        <v>2547069.2163657928</v>
      </c>
      <c r="J53" s="59">
        <f>E53+H53</f>
        <v>2718673.3830453176</v>
      </c>
      <c r="K53" s="60">
        <v>0.03</v>
      </c>
      <c r="L53" s="58">
        <f>'Existing RPP - KH Inhouse'!M58</f>
        <v>1231610.6294660328</v>
      </c>
      <c r="M53" s="58">
        <f>'Existing RPP - KH Inhouse'!M57</f>
        <v>676758.97053396713</v>
      </c>
      <c r="N53" s="61">
        <f>E53-'Existing RPP - KH Inhouse'!M45</f>
        <v>0</v>
      </c>
    </row>
    <row r="54" spans="1:14">
      <c r="A54" s="84" t="s">
        <v>2</v>
      </c>
      <c r="B54" s="84" t="s">
        <v>8</v>
      </c>
      <c r="C54" s="58">
        <f>'Existing RPP - KH Inhouse'!N58+SUMIF('Existing RPP - KH Inhouse'!$K$18:$K$42,"Enforcement",'Existing RPP - KH Inhouse'!$L$18:$L$42)+SUMIF('Existing RPP - KH Inhouse'!$K$18:$K$42,"Enforcement",'Existing RPP - KH Inhouse'!$N$18:$N$42)</f>
        <v>1258549.9557243499</v>
      </c>
      <c r="D54" s="58">
        <f>'Existing RPP - KH Inhouse'!N57+SUMIF('Existing RPP - KH Inhouse'!$K$18:$K$42,"Parking Management",'Existing RPP - KH Inhouse'!$L$18:$L$42)+SUMIF('Existing RPP - KH Inhouse'!$K$18:$K$42,"Parking Management",'Existing RPP - KH Inhouse'!$N$18:$N$42)</f>
        <v>787021.02827565011</v>
      </c>
      <c r="E54" s="59">
        <f>C54+D54</f>
        <v>2045570.9840000002</v>
      </c>
      <c r="F54" s="59">
        <f>'Existing RPP - KH Inhouse'!N53</f>
        <v>789193.55999999994</v>
      </c>
      <c r="G54" s="59">
        <f>-PMT(10%,5,F54)</f>
        <v>208187.27298743674</v>
      </c>
      <c r="H54" s="59">
        <f>-PMT(10%,3,F54)</f>
        <v>317346.41340181278</v>
      </c>
      <c r="I54" s="59">
        <f>E54+G54</f>
        <v>2253758.2569874367</v>
      </c>
      <c r="J54" s="59">
        <f>E54+H54</f>
        <v>2362917.397401813</v>
      </c>
      <c r="K54" s="60">
        <v>0.03</v>
      </c>
      <c r="L54" s="58">
        <f>'Existing RPP - KH Inhouse'!N58</f>
        <v>1152349.11772435</v>
      </c>
      <c r="M54" s="58">
        <f>'Existing RPP - KH Inhouse'!N57</f>
        <v>633205.48227565014</v>
      </c>
      <c r="N54" s="61">
        <f>E54-'Existing RPP - KH Inhouse'!N45</f>
        <v>0</v>
      </c>
    </row>
    <row r="55" spans="1:14">
      <c r="A55" s="85" t="s">
        <v>13</v>
      </c>
      <c r="B55" s="85" t="s">
        <v>6</v>
      </c>
      <c r="C55" s="62">
        <f>'Expanded RPP - KH Inhouse'!O59+SUMIF('Expanded RPP - KH Inhouse'!$K$18:$K$42,"Enforcement",'Expanded RPP - KH Inhouse'!$L$18:$L$42)+SUMIF('Expanded RPP - KH Inhouse'!$K$18:$K$42,"Enforcement",'Expanded RPP - KH Inhouse'!$O$18:$O$42)</f>
        <v>1168469.3114526139</v>
      </c>
      <c r="D55" s="62">
        <f>'Expanded RPP - KH Inhouse'!O58+SUMIF('Expanded RPP - KH Inhouse'!$K$18:$K$42,"Parking Management",'Expanded RPP - KH Inhouse'!$L$18:$L$42)+SUMIF('Expanded RPP - KH Inhouse'!$K$18:$K$42,"Parking Management",'Expanded RPP - KH Inhouse'!$O$18:$O$42)</f>
        <v>725923.23254738608</v>
      </c>
      <c r="E55" s="63">
        <f>C55+D55</f>
        <v>1894392.544</v>
      </c>
      <c r="F55" s="63">
        <f>'Expanded RPP - KH Inhouse'!O53</f>
        <v>709661.33</v>
      </c>
      <c r="G55" s="63">
        <f>-PMT(10%,5,F55)</f>
        <v>187206.87107144846</v>
      </c>
      <c r="H55" s="63">
        <f>-PMT(10%,3,F55)</f>
        <v>285365.3263534744</v>
      </c>
      <c r="I55" s="63">
        <f>E55+G55</f>
        <v>2081599.4150714485</v>
      </c>
      <c r="J55" s="63">
        <f>E55+H55</f>
        <v>2179757.8703534743</v>
      </c>
      <c r="K55" s="64">
        <v>0.03</v>
      </c>
      <c r="L55" s="62">
        <f>'Expanded RPP - KH Inhouse'!O59</f>
        <v>1075452.2534526139</v>
      </c>
      <c r="M55" s="62">
        <f>'Expanded RPP - KH Inhouse'!O58</f>
        <v>590951.34654738614</v>
      </c>
      <c r="N55" s="61">
        <f>E55-'Expanded RPP - KH Inhouse'!O45</f>
        <v>0</v>
      </c>
    </row>
    <row r="56" spans="1:14">
      <c r="A56" s="85" t="s">
        <v>13</v>
      </c>
      <c r="B56" s="85" t="s">
        <v>7</v>
      </c>
      <c r="C56" s="62">
        <f>'Expanded RPP - KH Inhouse'!M59+SUMIF('Expanded RPP - KH Inhouse'!$K$18:$K$42,"Enforcement",'Expanded RPP - KH Inhouse'!$L$18:$L$42)+SUMIF('Expanded RPP - KH Inhouse'!$K$18:$K$42,"Enforcement",'Expanded RPP - KH Inhouse'!$M$18:$M$42)</f>
        <v>1476674.337207716</v>
      </c>
      <c r="D56" s="62">
        <f>'Expanded RPP - KH Inhouse'!M58+SUMIF('Expanded RPP - KH Inhouse'!$K$18:$K$42,"Parking Management",'Expanded RPP - KH Inhouse'!$L$18:$L$42)+SUMIF('Expanded RPP - KH Inhouse'!$K$18:$K$42,"Parking Management",'Expanded RPP - KH Inhouse'!$M$18:$M$42)</f>
        <v>932584.19079228421</v>
      </c>
      <c r="E56" s="63">
        <f>C56+D56</f>
        <v>2409258.5279999999</v>
      </c>
      <c r="F56" s="63">
        <f>'Expanded RPP - KH Inhouse'!M53</f>
        <v>1240655.6399999999</v>
      </c>
      <c r="G56" s="63">
        <f>-PMT(10%,5,F56)</f>
        <v>327281.83236579254</v>
      </c>
      <c r="H56" s="63">
        <f>-PMT(10%,3,F56)</f>
        <v>498885.99904531729</v>
      </c>
      <c r="I56" s="63">
        <f>E56+G56</f>
        <v>2736540.3603657926</v>
      </c>
      <c r="J56" s="63">
        <f>E56+H56</f>
        <v>2908144.527045317</v>
      </c>
      <c r="K56" s="64">
        <v>0.03</v>
      </c>
      <c r="L56" s="62">
        <f>'Expanded RPP - KH Inhouse'!M59</f>
        <v>1310872.141207716</v>
      </c>
      <c r="M56" s="62">
        <f>'Expanded RPP - KH Inhouse'!M58</f>
        <v>720312.45879228413</v>
      </c>
      <c r="N56" s="61">
        <f>E56-'Expanded RPP - KH Inhouse'!M45</f>
        <v>0</v>
      </c>
    </row>
    <row r="57" spans="1:14">
      <c r="A57" s="86" t="s">
        <v>13</v>
      </c>
      <c r="B57" s="86" t="s">
        <v>8</v>
      </c>
      <c r="C57" s="65">
        <f>'Expanded RPP - KH Inhouse'!N59+SUMIF('Expanded RPP - KH Inhouse'!$K$18:$K$42,"Enforcement",'Expanded RPP - KH Inhouse'!$L$18:$L$42)+SUMIF('Expanded RPP - KH Inhouse'!$K$18:$K$42,"Enforcement",'Expanded RPP - KH Inhouse'!$N$18:$N$42)</f>
        <v>1387803.5754660328</v>
      </c>
      <c r="D57" s="65">
        <f>'Expanded RPP - KH Inhouse'!N58+SUMIF('Expanded RPP - KH Inhouse'!$K$18:$K$42,"Parking Management",'Expanded RPP - KH Inhouse'!$L$18:$L$42)+SUMIF('Expanded RPP - KH Inhouse'!$K$18:$K$42,"Parking Management",'Expanded RPP - KH Inhouse'!$N$18:$N$42)</f>
        <v>847238.55253396719</v>
      </c>
      <c r="E57" s="66">
        <f>C57+D57</f>
        <v>2235042.128</v>
      </c>
      <c r="F57" s="66">
        <f>'Expanded RPP - KH Inhouse'!N53</f>
        <v>789193.55999999994</v>
      </c>
      <c r="G57" s="66">
        <f>-PMT(10%,5,F57)</f>
        <v>208187.27298743674</v>
      </c>
      <c r="H57" s="66">
        <f>-PMT(10%,3,F57)</f>
        <v>317346.41340181278</v>
      </c>
      <c r="I57" s="66">
        <f>E57+G57</f>
        <v>2443229.400987437</v>
      </c>
      <c r="J57" s="66">
        <f>E57+H57</f>
        <v>2552388.5414018128</v>
      </c>
      <c r="K57" s="67">
        <v>0.03</v>
      </c>
      <c r="L57" s="65">
        <f>'Expanded RPP - KH Inhouse'!N59</f>
        <v>1231610.6294660328</v>
      </c>
      <c r="M57" s="65">
        <f>'Expanded RPP - KH Inhouse'!N58</f>
        <v>676758.97053396713</v>
      </c>
      <c r="N57" s="68">
        <f>E57-'Expanded RPP - KH Inhouse'!N45</f>
        <v>0</v>
      </c>
    </row>
    <row r="58" spans="1:14">
      <c r="A58" s="51"/>
      <c r="B58" s="51"/>
      <c r="C58" s="51"/>
      <c r="D58" s="51"/>
      <c r="E58" s="51"/>
      <c r="F58" s="51"/>
      <c r="G58" s="51"/>
      <c r="H58" s="51"/>
      <c r="I58" s="51"/>
      <c r="J58" s="51"/>
      <c r="K58" s="51"/>
      <c r="L58" s="51"/>
      <c r="M58" s="51"/>
      <c r="N58" s="51"/>
    </row>
    <row r="59" spans="1:14" ht="15.75">
      <c r="A59" s="54" t="s">
        <v>202</v>
      </c>
      <c r="B59" s="54"/>
      <c r="C59" s="54"/>
      <c r="D59" s="54"/>
      <c r="E59" s="54"/>
      <c r="F59" s="54"/>
      <c r="G59" s="54"/>
      <c r="H59" s="54"/>
      <c r="I59" s="54"/>
      <c r="J59" s="54"/>
      <c r="K59" s="54"/>
      <c r="L59" s="54"/>
      <c r="M59" s="54"/>
      <c r="N59" s="54"/>
    </row>
    <row r="60" spans="1:14" ht="27">
      <c r="A60" s="57" t="s">
        <v>1</v>
      </c>
      <c r="B60" s="57" t="s">
        <v>128</v>
      </c>
      <c r="C60" s="57" t="s">
        <v>137</v>
      </c>
      <c r="D60" s="57" t="s">
        <v>138</v>
      </c>
      <c r="E60" s="57" t="s">
        <v>139</v>
      </c>
      <c r="F60" s="57" t="s">
        <v>140</v>
      </c>
      <c r="G60" s="57" t="s">
        <v>141</v>
      </c>
      <c r="H60" s="57" t="s">
        <v>142</v>
      </c>
      <c r="I60" s="57" t="s">
        <v>143</v>
      </c>
      <c r="J60" s="57" t="s">
        <v>144</v>
      </c>
      <c r="K60" s="51"/>
      <c r="L60" s="51"/>
      <c r="M60" s="51"/>
      <c r="N60" s="51"/>
    </row>
    <row r="61" spans="1:14">
      <c r="A61" s="84" t="s">
        <v>2</v>
      </c>
      <c r="B61" s="84" t="s">
        <v>6</v>
      </c>
      <c r="C61" s="58">
        <f>'Existing RPP - KH Inhouse'!O58</f>
        <v>996190.74171093095</v>
      </c>
      <c r="D61" s="58">
        <f>SUMIF('Existing RPP - KH Inhouse'!$K$18:$K$42,"Enforcement",'Existing RPP - KH Inhouse'!$L$18:$L$42)+SUMIF('Existing RPP - KH Inhouse'!$K$18:$K$42,"Enforcement",'Existing RPP - KH Inhouse'!$O$18:$O$42)</f>
        <v>93017.05799999999</v>
      </c>
      <c r="E61" s="59">
        <f>C61+D61</f>
        <v>1089207.799710931</v>
      </c>
      <c r="F61" s="59">
        <f>'Existing RPP - KH Inhouse'!O57</f>
        <v>547397.85828906915</v>
      </c>
      <c r="G61" s="59">
        <f>SUMIF('Existing RPP - KH Inhouse'!$K$18:$K$42,"Parking Management",'Existing RPP - KH Inhouse'!$L$18:$L$42)+SUMIF('Existing RPP - KH Inhouse'!$K$18:$K$42,"Parking Management",'Existing RPP - KH Inhouse'!$O$18:$O$42)</f>
        <v>134971.886</v>
      </c>
      <c r="H61" s="59">
        <f>F61+G61</f>
        <v>682369.7442890692</v>
      </c>
      <c r="I61" s="59">
        <f>E61+H61</f>
        <v>1771577.5440000002</v>
      </c>
      <c r="J61" s="60">
        <f>IFERROR(E61/I61,0)</f>
        <v>0.61482366572091229</v>
      </c>
      <c r="K61" s="51"/>
      <c r="L61" s="51"/>
      <c r="M61" s="51"/>
      <c r="N61" s="51"/>
    </row>
    <row r="62" spans="1:14">
      <c r="A62" s="84" t="s">
        <v>2</v>
      </c>
      <c r="B62" s="84" t="s">
        <v>7</v>
      </c>
      <c r="C62" s="58">
        <f>'Existing RPP - KH Inhouse'!M58</f>
        <v>1231610.6294660328</v>
      </c>
      <c r="D62" s="58">
        <f>SUMIF('Existing RPP - KH Inhouse'!$K$18:$K$42,"Enforcement",'Existing RPP - KH Inhouse'!$L$18:$L$42)+SUMIF('Existing RPP - KH Inhouse'!$K$18:$K$42,"Enforcement",'Existing RPP - KH Inhouse'!$M$18:$M$42)</f>
        <v>115810.08799999999</v>
      </c>
      <c r="E62" s="59">
        <f>C62+D62</f>
        <v>1347420.7174660328</v>
      </c>
      <c r="F62" s="59">
        <f>'Existing RPP - KH Inhouse'!M57</f>
        <v>676758.97053396713</v>
      </c>
      <c r="G62" s="59">
        <f>SUMIF('Existing RPP - KH Inhouse'!$K$18:$K$42,"Parking Management",'Existing RPP - KH Inhouse'!$L$18:$L$42)+SUMIF('Existing RPP - KH Inhouse'!$K$18:$K$42,"Parking Management",'Existing RPP - KH Inhouse'!$M$18:$M$42)</f>
        <v>195607.696</v>
      </c>
      <c r="H62" s="59">
        <f>F62+G62</f>
        <v>872366.66653396713</v>
      </c>
      <c r="I62" s="59">
        <f>E62+H62</f>
        <v>2219787.3840000001</v>
      </c>
      <c r="J62" s="60">
        <f>IFERROR(E62/I62,0)</f>
        <v>0.60700440374519793</v>
      </c>
      <c r="K62" s="51"/>
      <c r="L62" s="51"/>
      <c r="M62" s="51"/>
      <c r="N62" s="51"/>
    </row>
    <row r="63" spans="1:14">
      <c r="A63" s="84" t="s">
        <v>2</v>
      </c>
      <c r="B63" s="84" t="s">
        <v>8</v>
      </c>
      <c r="C63" s="58">
        <f>'Existing RPP - KH Inhouse'!N58</f>
        <v>1152349.11772435</v>
      </c>
      <c r="D63" s="58">
        <f>SUMIF('Existing RPP - KH Inhouse'!$K$18:$K$42,"Enforcement",'Existing RPP - KH Inhouse'!$L$18:$L$42)+SUMIF('Existing RPP - KH Inhouse'!$K$18:$K$42,"Enforcement",'Existing RPP - KH Inhouse'!$N$18:$N$42)</f>
        <v>106200.83799999999</v>
      </c>
      <c r="E63" s="59">
        <f>C63+D63</f>
        <v>1258549.9557243499</v>
      </c>
      <c r="F63" s="59">
        <f>'Existing RPP - KH Inhouse'!N57</f>
        <v>633205.48227565014</v>
      </c>
      <c r="G63" s="59">
        <f>SUMIF('Existing RPP - KH Inhouse'!$K$18:$K$42,"Parking Management",'Existing RPP - KH Inhouse'!$L$18:$L$42)+SUMIF('Existing RPP - KH Inhouse'!$K$18:$K$42,"Parking Management",'Existing RPP - KH Inhouse'!$N$18:$N$42)</f>
        <v>153815.546</v>
      </c>
      <c r="H63" s="59">
        <f>F63+G63</f>
        <v>787021.02827565011</v>
      </c>
      <c r="I63" s="59">
        <f>E63+H63</f>
        <v>2045570.9840000002</v>
      </c>
      <c r="J63" s="60">
        <f>IFERROR(E63/I63,0)</f>
        <v>0.61525606569923352</v>
      </c>
      <c r="K63" s="51"/>
      <c r="L63" s="51"/>
      <c r="M63" s="51"/>
      <c r="N63" s="51"/>
    </row>
    <row r="64" spans="1:14">
      <c r="A64" s="85" t="s">
        <v>13</v>
      </c>
      <c r="B64" s="85" t="s">
        <v>6</v>
      </c>
      <c r="C64" s="62">
        <f>'Expanded RPP - KH Inhouse'!O59</f>
        <v>1075452.2534526139</v>
      </c>
      <c r="D64" s="62">
        <f>SUMIF('Expanded RPP - KH Inhouse'!$K$18:$K$42,"Enforcement",'Expanded RPP - KH Inhouse'!$L$18:$L$42)+SUMIF('Expanded RPP - KH Inhouse'!$K$18:$K$42,"Enforcement",'Expanded RPP - KH Inhouse'!$O$18:$O$42)</f>
        <v>93017.05799999999</v>
      </c>
      <c r="E64" s="63">
        <f>C64+D64</f>
        <v>1168469.3114526139</v>
      </c>
      <c r="F64" s="63">
        <f>'Expanded RPP - KH Inhouse'!O58</f>
        <v>590951.34654738614</v>
      </c>
      <c r="G64" s="63">
        <f>SUMIF('Expanded RPP - KH Inhouse'!$K$18:$K$42,"Parking Management",'Expanded RPP - KH Inhouse'!$L$18:$L$42)+SUMIF('Expanded RPP - KH Inhouse'!$K$18:$K$42,"Parking Management",'Expanded RPP - KH Inhouse'!$O$18:$O$42)</f>
        <v>134971.886</v>
      </c>
      <c r="H64" s="63">
        <f>F64+G64</f>
        <v>725923.23254738608</v>
      </c>
      <c r="I64" s="63">
        <f>E64+H64</f>
        <v>1894392.544</v>
      </c>
      <c r="J64" s="64">
        <f>IFERROR(E64/I64,0)</f>
        <v>0.6168042178762998</v>
      </c>
      <c r="K64" s="51"/>
      <c r="L64" s="51"/>
      <c r="M64" s="51"/>
      <c r="N64" s="51"/>
    </row>
    <row r="65" spans="1:14">
      <c r="A65" s="85" t="s">
        <v>13</v>
      </c>
      <c r="B65" s="85" t="s">
        <v>7</v>
      </c>
      <c r="C65" s="62">
        <f>'Expanded RPP - KH Inhouse'!M59</f>
        <v>1310872.141207716</v>
      </c>
      <c r="D65" s="62">
        <f>SUMIF('Expanded RPP - KH Inhouse'!$K$18:$K$42,"Enforcement",'Expanded RPP - KH Inhouse'!$L$18:$L$42)+SUMIF('Expanded RPP - KH Inhouse'!$K$18:$K$42,"Enforcement",'Expanded RPP - KH Inhouse'!$M$18:$M$42)</f>
        <v>165802.196</v>
      </c>
      <c r="E65" s="63">
        <f>C65+D65</f>
        <v>1476674.337207716</v>
      </c>
      <c r="F65" s="63">
        <f>'Expanded RPP - KH Inhouse'!M58</f>
        <v>720312.45879228413</v>
      </c>
      <c r="G65" s="63">
        <f>SUMIF('Expanded RPP - KH Inhouse'!$K$18:$K$42,"Parking Management",'Expanded RPP - KH Inhouse'!$L$18:$L$42)+SUMIF('Expanded RPP - KH Inhouse'!$K$18:$K$42,"Parking Management",'Expanded RPP - KH Inhouse'!$M$18:$M$42)</f>
        <v>212271.73200000002</v>
      </c>
      <c r="H65" s="63">
        <f>F65+G65</f>
        <v>932584.19079228421</v>
      </c>
      <c r="I65" s="63">
        <f>E65+H65</f>
        <v>2409258.5279999999</v>
      </c>
      <c r="J65" s="64">
        <f>IFERROR(E65/I65,0)</f>
        <v>0.61291651354391974</v>
      </c>
      <c r="K65" s="51"/>
      <c r="L65" s="51"/>
      <c r="M65" s="51"/>
      <c r="N65" s="51"/>
    </row>
    <row r="66" spans="1:14">
      <c r="A66" s="86" t="s">
        <v>13</v>
      </c>
      <c r="B66" s="86" t="s">
        <v>8</v>
      </c>
      <c r="C66" s="65">
        <f>'Expanded RPP - KH Inhouse'!N59</f>
        <v>1231610.6294660328</v>
      </c>
      <c r="D66" s="65">
        <f>SUMIF('Expanded RPP - KH Inhouse'!$K$18:$K$42,"Enforcement",'Expanded RPP - KH Inhouse'!$L$18:$L$42)+SUMIF('Expanded RPP - KH Inhouse'!$K$18:$K$42,"Enforcement",'Expanded RPP - KH Inhouse'!$N$18:$N$42)</f>
        <v>156192.946</v>
      </c>
      <c r="E66" s="66">
        <f>C66+D66</f>
        <v>1387803.5754660328</v>
      </c>
      <c r="F66" s="66">
        <f>'Expanded RPP - KH Inhouse'!N58</f>
        <v>676758.97053396713</v>
      </c>
      <c r="G66" s="66">
        <f>SUMIF('Expanded RPP - KH Inhouse'!$K$18:$K$42,"Parking Management",'Expanded RPP - KH Inhouse'!$L$18:$L$42)+SUMIF('Expanded RPP - KH Inhouse'!$K$18:$K$42,"Parking Management",'Expanded RPP - KH Inhouse'!$N$18:$N$42)</f>
        <v>170479.58199999999</v>
      </c>
      <c r="H66" s="66">
        <f>F66+G66</f>
        <v>847238.55253396719</v>
      </c>
      <c r="I66" s="66">
        <f>E66+H66</f>
        <v>2235042.128</v>
      </c>
      <c r="J66" s="67">
        <f>IFERROR(E66/I66,0)</f>
        <v>0.62092949304176737</v>
      </c>
      <c r="K66" s="51"/>
      <c r="L66" s="51"/>
      <c r="M66" s="51"/>
      <c r="N66" s="51"/>
    </row>
    <row r="67" spans="1:14">
      <c r="A67" s="51"/>
      <c r="B67" s="51"/>
      <c r="C67" s="51"/>
      <c r="D67" s="51"/>
      <c r="E67" s="51"/>
      <c r="F67" s="51"/>
      <c r="G67" s="51"/>
      <c r="H67" s="51"/>
      <c r="I67" s="51"/>
      <c r="J67" s="51"/>
      <c r="K67" s="51"/>
      <c r="L67" s="51"/>
      <c r="M67" s="51"/>
      <c r="N67" s="51"/>
    </row>
    <row r="68" spans="1:14" ht="15.75">
      <c r="A68" s="54" t="s">
        <v>203</v>
      </c>
      <c r="B68" s="54"/>
      <c r="C68" s="54"/>
      <c r="D68" s="54"/>
      <c r="E68" s="54"/>
      <c r="F68" s="54"/>
      <c r="G68" s="54"/>
      <c r="H68" s="54"/>
      <c r="I68" s="54"/>
      <c r="J68" s="54"/>
      <c r="K68" s="54"/>
      <c r="L68" s="54"/>
      <c r="M68" s="54"/>
      <c r="N68" s="54"/>
    </row>
    <row r="69" spans="1:14" ht="27">
      <c r="A69" s="57" t="s">
        <v>1</v>
      </c>
      <c r="B69" s="57" t="s">
        <v>128</v>
      </c>
      <c r="C69" s="57" t="s">
        <v>145</v>
      </c>
      <c r="D69" s="57" t="s">
        <v>146</v>
      </c>
      <c r="E69" s="57" t="s">
        <v>147</v>
      </c>
      <c r="F69" s="57" t="s">
        <v>101</v>
      </c>
      <c r="G69" s="57" t="s">
        <v>120</v>
      </c>
      <c r="H69" s="57" t="s">
        <v>148</v>
      </c>
      <c r="I69" s="57" t="s">
        <v>149</v>
      </c>
      <c r="J69" s="57" t="s">
        <v>150</v>
      </c>
      <c r="K69" s="57" t="s">
        <v>151</v>
      </c>
      <c r="L69" s="57" t="s">
        <v>152</v>
      </c>
      <c r="M69" s="51"/>
      <c r="N69" s="51"/>
    </row>
    <row r="70" spans="1:14">
      <c r="A70" s="84" t="s">
        <v>2</v>
      </c>
      <c r="B70" s="84" t="s">
        <v>6</v>
      </c>
      <c r="C70" s="58">
        <f>'Existing RPP - KH Inhouse'!O48+'Existing RPP - KH Inhouse'!$L$48</f>
        <v>509946.88</v>
      </c>
      <c r="D70" s="58">
        <f>'Existing RPP - KH Inhouse'!O49+'Existing RPP - KH Inhouse'!$L$49</f>
        <v>62474.45</v>
      </c>
      <c r="E70" s="58">
        <f>'Existing RPP - KH Inhouse'!O50+'Existing RPP - KH Inhouse'!$L$50</f>
        <v>86451</v>
      </c>
      <c r="F70" s="58">
        <f>'Existing RPP - KH Inhouse'!O51+'Existing RPP - KH Inhouse'!$L$51</f>
        <v>40789</v>
      </c>
      <c r="G70" s="58">
        <f>'Existing RPP - KH Inhouse'!O52+'Existing RPP - KH Inhouse'!$L$52</f>
        <v>10000</v>
      </c>
      <c r="H70" s="59">
        <f>SUM(C70:G70)</f>
        <v>709661.33</v>
      </c>
      <c r="I70" s="59">
        <f>D70+E70+F70</f>
        <v>189714.45</v>
      </c>
      <c r="J70" s="59">
        <f>C70+G70</f>
        <v>519946.88</v>
      </c>
      <c r="K70" s="59">
        <f>-PMT(10%,5,H70)</f>
        <v>187206.87107144846</v>
      </c>
      <c r="L70" s="59">
        <f>-PMT(10%,3,H70)</f>
        <v>285365.3263534744</v>
      </c>
      <c r="M70" s="51"/>
      <c r="N70" s="51"/>
    </row>
    <row r="71" spans="1:14">
      <c r="A71" s="84" t="s">
        <v>2</v>
      </c>
      <c r="B71" s="84" t="s">
        <v>7</v>
      </c>
      <c r="C71" s="58">
        <f>'Existing RPP - KH Inhouse'!M48+'Existing RPP - KH Inhouse'!$L$48</f>
        <v>982892.19</v>
      </c>
      <c r="D71" s="58">
        <f>'Existing RPP - KH Inhouse'!M49+'Existing RPP - KH Inhouse'!$L$49</f>
        <v>62474.45</v>
      </c>
      <c r="E71" s="58">
        <f>'Existing RPP - KH Inhouse'!M50+'Existing RPP - KH Inhouse'!$L$50</f>
        <v>144500</v>
      </c>
      <c r="F71" s="58">
        <f>'Existing RPP - KH Inhouse'!M51+'Existing RPP - KH Inhouse'!$L$51</f>
        <v>40789</v>
      </c>
      <c r="G71" s="58">
        <f>'Existing RPP - KH Inhouse'!M52+'Existing RPP - KH Inhouse'!$L$52</f>
        <v>10000</v>
      </c>
      <c r="H71" s="59">
        <f>SUM(C71:G71)</f>
        <v>1240655.6399999999</v>
      </c>
      <c r="I71" s="59">
        <f>D71+E71+F71</f>
        <v>247763.45</v>
      </c>
      <c r="J71" s="59">
        <f>C71+G71</f>
        <v>992892.19</v>
      </c>
      <c r="K71" s="59">
        <f>-PMT(10%,5,H71)</f>
        <v>327281.83236579254</v>
      </c>
      <c r="L71" s="59">
        <f>-PMT(10%,3,H71)</f>
        <v>498885.99904531729</v>
      </c>
      <c r="M71" s="51"/>
      <c r="N71" s="51"/>
    </row>
    <row r="72" spans="1:14">
      <c r="A72" s="84" t="s">
        <v>2</v>
      </c>
      <c r="B72" s="84" t="s">
        <v>8</v>
      </c>
      <c r="C72" s="58">
        <f>'Existing RPP - KH Inhouse'!N48+'Existing RPP - KH Inhouse'!$L$48</f>
        <v>560330.11</v>
      </c>
      <c r="D72" s="58">
        <f>'Existing RPP - KH Inhouse'!N49+'Existing RPP - KH Inhouse'!$L$49</f>
        <v>62474.45</v>
      </c>
      <c r="E72" s="58">
        <f>'Existing RPP - KH Inhouse'!N50+'Existing RPP - KH Inhouse'!$L$50</f>
        <v>115600</v>
      </c>
      <c r="F72" s="58">
        <f>'Existing RPP - KH Inhouse'!N51+'Existing RPP - KH Inhouse'!$L$51</f>
        <v>40789</v>
      </c>
      <c r="G72" s="58">
        <f>'Existing RPP - KH Inhouse'!N52+'Existing RPP - KH Inhouse'!$L$52</f>
        <v>10000</v>
      </c>
      <c r="H72" s="59">
        <f>SUM(C72:G72)</f>
        <v>789193.55999999994</v>
      </c>
      <c r="I72" s="59">
        <f>D72+E72+F72</f>
        <v>218863.45</v>
      </c>
      <c r="J72" s="59">
        <f>C72+G72</f>
        <v>570330.11</v>
      </c>
      <c r="K72" s="59">
        <f>-PMT(10%,5,H72)</f>
        <v>208187.27298743674</v>
      </c>
      <c r="L72" s="59">
        <f>-PMT(10%,3,H72)</f>
        <v>317346.41340181278</v>
      </c>
      <c r="M72" s="51"/>
      <c r="N72" s="51"/>
    </row>
    <row r="73" spans="1:14">
      <c r="A73" s="85" t="s">
        <v>13</v>
      </c>
      <c r="B73" s="85" t="s">
        <v>6</v>
      </c>
      <c r="C73" s="62">
        <f>'Expanded RPP - KH Inhouse'!O48+'Expanded RPP - KH Inhouse'!$L$48</f>
        <v>509946.88</v>
      </c>
      <c r="D73" s="62">
        <f>'Expanded RPP - KH Inhouse'!O49+'Expanded RPP - KH Inhouse'!$L$49</f>
        <v>62474.45</v>
      </c>
      <c r="E73" s="62">
        <f>'Expanded RPP - KH Inhouse'!O50+'Expanded RPP - KH Inhouse'!$L$50</f>
        <v>86451</v>
      </c>
      <c r="F73" s="62">
        <f>'Expanded RPP - KH Inhouse'!O51+'Expanded RPP - KH Inhouse'!$L$51</f>
        <v>40789</v>
      </c>
      <c r="G73" s="62">
        <f>'Expanded RPP - KH Inhouse'!O52+'Expanded RPP - KH Inhouse'!$L$52</f>
        <v>10000</v>
      </c>
      <c r="H73" s="63">
        <f>SUM(C73:G73)</f>
        <v>709661.33</v>
      </c>
      <c r="I73" s="63">
        <f>D73+E73+F73</f>
        <v>189714.45</v>
      </c>
      <c r="J73" s="63">
        <f>C73+G73</f>
        <v>519946.88</v>
      </c>
      <c r="K73" s="63">
        <f>-PMT(10%,5,H73)</f>
        <v>187206.87107144846</v>
      </c>
      <c r="L73" s="63">
        <f>-PMT(10%,3,H73)</f>
        <v>285365.3263534744</v>
      </c>
      <c r="M73" s="51"/>
      <c r="N73" s="51"/>
    </row>
    <row r="74" spans="1:14">
      <c r="A74" s="85" t="s">
        <v>13</v>
      </c>
      <c r="B74" s="85" t="s">
        <v>7</v>
      </c>
      <c r="C74" s="62">
        <f>'Expanded RPP - KH Inhouse'!M48+'Expanded RPP - KH Inhouse'!$L$48</f>
        <v>982892.19</v>
      </c>
      <c r="D74" s="62">
        <f>'Expanded RPP - KH Inhouse'!M49+'Expanded RPP - KH Inhouse'!$L$49</f>
        <v>62474.45</v>
      </c>
      <c r="E74" s="62">
        <f>'Expanded RPP - KH Inhouse'!M50+'Expanded RPP - KH Inhouse'!$L$50</f>
        <v>144500</v>
      </c>
      <c r="F74" s="62">
        <f>'Expanded RPP - KH Inhouse'!M51+'Expanded RPP - KH Inhouse'!$L$51</f>
        <v>40789</v>
      </c>
      <c r="G74" s="62">
        <f>'Expanded RPP - KH Inhouse'!M52+'Expanded RPP - KH Inhouse'!$L$52</f>
        <v>10000</v>
      </c>
      <c r="H74" s="63">
        <f>SUM(C74:G74)</f>
        <v>1240655.6399999999</v>
      </c>
      <c r="I74" s="63">
        <f>D74+E74+F74</f>
        <v>247763.45</v>
      </c>
      <c r="J74" s="63">
        <f>C74+G74</f>
        <v>992892.19</v>
      </c>
      <c r="K74" s="63">
        <f>-PMT(10%,5,H74)</f>
        <v>327281.83236579254</v>
      </c>
      <c r="L74" s="63">
        <f>-PMT(10%,3,H74)</f>
        <v>498885.99904531729</v>
      </c>
      <c r="M74" s="51"/>
      <c r="N74" s="51"/>
    </row>
    <row r="75" spans="1:14">
      <c r="A75" s="86" t="s">
        <v>13</v>
      </c>
      <c r="B75" s="86" t="s">
        <v>8</v>
      </c>
      <c r="C75" s="65">
        <f>'Expanded RPP - KH Inhouse'!N48+'Expanded RPP - KH Inhouse'!$L$48</f>
        <v>560330.11</v>
      </c>
      <c r="D75" s="65">
        <f>'Expanded RPP - KH Inhouse'!N49+'Expanded RPP - KH Inhouse'!$L$49</f>
        <v>62474.45</v>
      </c>
      <c r="E75" s="65">
        <f>'Expanded RPP - KH Inhouse'!N50+'Expanded RPP - KH Inhouse'!$L$50</f>
        <v>115600</v>
      </c>
      <c r="F75" s="65">
        <f>'Expanded RPP - KH Inhouse'!N51+'Expanded RPP - KH Inhouse'!$L$51</f>
        <v>40789</v>
      </c>
      <c r="G75" s="65">
        <f>'Expanded RPP - KH Inhouse'!N52+'Expanded RPP - KH Inhouse'!$L$52</f>
        <v>10000</v>
      </c>
      <c r="H75" s="66">
        <f>SUM(C75:G75)</f>
        <v>789193.55999999994</v>
      </c>
      <c r="I75" s="66">
        <f>D75+E75+F75</f>
        <v>218863.45</v>
      </c>
      <c r="J75" s="66">
        <f>C75+G75</f>
        <v>570330.11</v>
      </c>
      <c r="K75" s="66">
        <f>-PMT(10%,5,H75)</f>
        <v>208187.27298743674</v>
      </c>
      <c r="L75" s="66">
        <f>-PMT(10%,3,H75)</f>
        <v>317346.41340181278</v>
      </c>
      <c r="M75" s="51"/>
      <c r="N75" s="51"/>
    </row>
    <row r="76" spans="1:14">
      <c r="A76" s="51"/>
      <c r="B76" s="51"/>
      <c r="C76" s="51"/>
      <c r="D76" s="51"/>
      <c r="E76" s="51"/>
      <c r="F76" s="51"/>
      <c r="G76" s="51"/>
      <c r="H76" s="51"/>
      <c r="I76" s="51"/>
      <c r="J76" s="51"/>
      <c r="K76" s="51"/>
      <c r="L76" s="51"/>
      <c r="M76" s="51"/>
      <c r="N76" s="51"/>
    </row>
    <row r="77" spans="1:14" ht="15.75">
      <c r="A77" s="54" t="s">
        <v>171</v>
      </c>
      <c r="B77" s="54"/>
      <c r="C77" s="54"/>
      <c r="D77" s="54"/>
      <c r="E77" s="54"/>
      <c r="F77" s="54"/>
      <c r="G77" s="54"/>
      <c r="H77" s="54"/>
      <c r="I77" s="54"/>
      <c r="J77" s="54"/>
      <c r="K77" s="54"/>
      <c r="L77" s="54"/>
      <c r="M77" s="54"/>
      <c r="N77" s="54"/>
    </row>
    <row r="78" spans="1:14">
      <c r="A78" s="55" t="s">
        <v>153</v>
      </c>
      <c r="B78" s="56" t="s">
        <v>172</v>
      </c>
      <c r="C78" s="56"/>
      <c r="D78" s="56"/>
      <c r="E78" s="56"/>
      <c r="F78" s="56"/>
      <c r="G78" s="56"/>
      <c r="H78" s="56"/>
      <c r="I78" s="56"/>
      <c r="J78" s="56"/>
      <c r="K78" s="56"/>
      <c r="L78" s="56"/>
      <c r="M78" s="56"/>
      <c r="N78" s="56"/>
    </row>
    <row r="79" spans="1:14">
      <c r="A79" s="55" t="s">
        <v>154</v>
      </c>
      <c r="B79" s="56" t="s">
        <v>173</v>
      </c>
      <c r="C79" s="56"/>
      <c r="D79" s="56"/>
      <c r="E79" s="56"/>
      <c r="F79" s="56"/>
      <c r="G79" s="56"/>
      <c r="H79" s="56"/>
      <c r="I79" s="56"/>
      <c r="J79" s="56"/>
      <c r="K79" s="56"/>
      <c r="L79" s="56"/>
      <c r="M79" s="56"/>
      <c r="N79" s="56"/>
    </row>
    <row r="80" spans="1:14">
      <c r="A80" s="55" t="s">
        <v>174</v>
      </c>
      <c r="B80" s="56" t="s">
        <v>175</v>
      </c>
      <c r="C80" s="56"/>
      <c r="D80" s="56"/>
      <c r="E80" s="56"/>
      <c r="F80" s="56"/>
      <c r="G80" s="56"/>
      <c r="H80" s="56"/>
      <c r="I80" s="56"/>
      <c r="J80" s="56"/>
      <c r="K80" s="56"/>
      <c r="L80" s="56"/>
      <c r="M80" s="56"/>
      <c r="N80" s="56"/>
    </row>
    <row r="81" spans="1:14">
      <c r="A81" s="55" t="s">
        <v>155</v>
      </c>
      <c r="B81" s="56" t="s">
        <v>176</v>
      </c>
      <c r="C81" s="56"/>
      <c r="D81" s="56"/>
      <c r="E81" s="56"/>
      <c r="F81" s="56"/>
      <c r="G81" s="56"/>
      <c r="H81" s="56"/>
      <c r="I81" s="56"/>
      <c r="J81" s="56"/>
      <c r="K81" s="56"/>
      <c r="L81" s="56"/>
      <c r="M81" s="56"/>
      <c r="N81" s="56"/>
    </row>
    <row r="82" spans="1:14">
      <c r="A82" s="51"/>
      <c r="B82" s="51"/>
      <c r="C82" s="51"/>
      <c r="D82" s="51"/>
      <c r="E82" s="51"/>
      <c r="F82" s="51"/>
      <c r="G82" s="51"/>
      <c r="H82" s="51"/>
      <c r="I82" s="51"/>
      <c r="J82" s="51"/>
      <c r="K82" s="51"/>
      <c r="L82" s="51"/>
      <c r="M82" s="51"/>
      <c r="N82" s="51"/>
    </row>
    <row r="83" spans="1:14">
      <c r="A83" s="51"/>
      <c r="B83" s="51"/>
      <c r="C83" s="51"/>
      <c r="D83" s="51"/>
      <c r="E83" s="51"/>
      <c r="F83" s="51"/>
      <c r="G83" s="51"/>
      <c r="H83" s="51"/>
      <c r="I83" s="51"/>
      <c r="J83" s="51"/>
      <c r="K83" s="51"/>
      <c r="L83" s="51"/>
      <c r="M83" s="51"/>
      <c r="N83" s="51"/>
    </row>
    <row r="119" spans="1:14">
      <c r="A119" s="50"/>
      <c r="B119" s="50"/>
      <c r="C119" s="50"/>
      <c r="D119" s="50"/>
      <c r="E119" s="50"/>
      <c r="F119" s="50"/>
      <c r="G119" s="50"/>
      <c r="H119" s="50"/>
      <c r="I119" s="50"/>
      <c r="J119" s="50"/>
      <c r="K119" s="50"/>
      <c r="L119" s="50"/>
      <c r="M119" s="50"/>
      <c r="N119" s="50"/>
    </row>
    <row r="120" spans="1:14">
      <c r="A120" s="50"/>
      <c r="B120" s="50"/>
      <c r="C120" s="50"/>
      <c r="D120" s="50"/>
      <c r="E120" s="50"/>
      <c r="F120" s="50"/>
      <c r="G120" s="50"/>
      <c r="H120" s="50"/>
      <c r="I120" s="50"/>
      <c r="J120" s="50"/>
      <c r="K120" s="50"/>
      <c r="L120" s="50"/>
      <c r="M120" s="50"/>
      <c r="N120" s="50"/>
    </row>
    <row r="121" spans="1:14">
      <c r="A121" s="50"/>
      <c r="B121" s="50"/>
      <c r="C121" s="50"/>
      <c r="D121" s="50"/>
      <c r="E121" s="50"/>
      <c r="F121" s="50"/>
      <c r="G121" s="50"/>
      <c r="H121" s="50"/>
      <c r="I121" s="50"/>
      <c r="J121" s="50"/>
      <c r="K121" s="50"/>
      <c r="L121" s="50"/>
      <c r="M121" s="50"/>
      <c r="N121" s="50"/>
    </row>
    <row r="122" spans="1:14">
      <c r="A122" s="50"/>
      <c r="B122" s="50"/>
      <c r="C122" s="50"/>
      <c r="D122" s="50"/>
      <c r="E122" s="50"/>
      <c r="F122" s="50"/>
      <c r="G122" s="50"/>
      <c r="H122" s="50"/>
      <c r="I122" s="50"/>
      <c r="J122" s="50"/>
      <c r="K122" s="50"/>
      <c r="L122" s="50"/>
      <c r="M122" s="50"/>
      <c r="N122" s="50"/>
    </row>
    <row r="123" spans="1:14">
      <c r="A123" s="50"/>
      <c r="B123" s="50"/>
      <c r="C123" s="50"/>
      <c r="D123" s="50"/>
      <c r="E123" s="50"/>
      <c r="F123" s="50"/>
      <c r="G123" s="50"/>
      <c r="H123" s="50"/>
      <c r="I123" s="50"/>
      <c r="J123" s="50"/>
      <c r="K123" s="50"/>
      <c r="L123" s="50"/>
      <c r="M123" s="50"/>
      <c r="N123" s="50"/>
    </row>
    <row r="124" spans="1:14">
      <c r="A124" s="50"/>
      <c r="B124" s="50"/>
      <c r="C124" s="50"/>
      <c r="D124" s="50"/>
      <c r="E124" s="50"/>
      <c r="F124" s="50"/>
      <c r="G124" s="50"/>
      <c r="H124" s="50"/>
      <c r="I124" s="50"/>
      <c r="J124" s="50"/>
      <c r="K124" s="50"/>
      <c r="L124" s="50"/>
      <c r="M124" s="50"/>
      <c r="N124" s="50"/>
    </row>
  </sheetData>
  <autoFilter ref="A5:N34" xr:uid="{0A4A525A-9434-4391-96A1-6B8E1AA2574D}">
    <filterColumn colId="9" showButton="0"/>
    <filterColumn colId="10" showButton="0"/>
    <filterColumn colId="11" showButton="0"/>
    <filterColumn colId="12" showButton="0"/>
  </autoFilter>
  <mergeCells count="43">
    <mergeCell ref="B79:N79"/>
    <mergeCell ref="B80:N80"/>
    <mergeCell ref="B81:N81"/>
    <mergeCell ref="A36:N36"/>
    <mergeCell ref="A48:N48"/>
    <mergeCell ref="J32:N32"/>
    <mergeCell ref="A50:N50"/>
    <mergeCell ref="A59:N59"/>
    <mergeCell ref="A68:N68"/>
    <mergeCell ref="A77:N77"/>
    <mergeCell ref="B78:N78"/>
    <mergeCell ref="J30:N30"/>
    <mergeCell ref="J33:N33"/>
    <mergeCell ref="J34:N34"/>
    <mergeCell ref="J31:N31"/>
    <mergeCell ref="J23:N23"/>
    <mergeCell ref="J24:N24"/>
    <mergeCell ref="J25:N25"/>
    <mergeCell ref="J26:N26"/>
    <mergeCell ref="J27:N27"/>
    <mergeCell ref="J22:N22"/>
    <mergeCell ref="J16:N16"/>
    <mergeCell ref="J17:N17"/>
    <mergeCell ref="J18:N18"/>
    <mergeCell ref="J19:N19"/>
    <mergeCell ref="J20:N20"/>
    <mergeCell ref="J21:N21"/>
    <mergeCell ref="J5:N5"/>
    <mergeCell ref="J6:N6"/>
    <mergeCell ref="J7:N7"/>
    <mergeCell ref="J8:N8"/>
    <mergeCell ref="J9:N9"/>
    <mergeCell ref="J10:N10"/>
    <mergeCell ref="J11:N11"/>
    <mergeCell ref="J28:N28"/>
    <mergeCell ref="J29:N29"/>
    <mergeCell ref="A1:N1"/>
    <mergeCell ref="A2:N2"/>
    <mergeCell ref="A4:N4"/>
    <mergeCell ref="J12:N12"/>
    <mergeCell ref="J13:N13"/>
    <mergeCell ref="J14:N14"/>
    <mergeCell ref="J15:N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E135E-3050-4F54-BAD0-71BA5E12B21B}">
  <sheetPr>
    <tabColor rgb="FFFFFF00"/>
  </sheetPr>
  <dimension ref="B2:P66"/>
  <sheetViews>
    <sheetView topLeftCell="I50" zoomScale="85" zoomScaleNormal="85" workbookViewId="0">
      <selection activeCell="K58" sqref="K58:P59"/>
    </sheetView>
    <sheetView workbookViewId="1"/>
  </sheetViews>
  <sheetFormatPr defaultRowHeight="15"/>
  <cols>
    <col min="1" max="1" width="9.140625" style="6"/>
    <col min="2" max="2" width="32.5703125" style="6" bestFit="1" customWidth="1"/>
    <col min="3" max="3" width="18.7109375" style="5" bestFit="1" customWidth="1"/>
    <col min="4" max="4" width="15.85546875" style="5" bestFit="1" customWidth="1"/>
    <col min="5" max="5" width="13.85546875" style="5" bestFit="1" customWidth="1"/>
    <col min="6" max="6" width="14.28515625" style="5" bestFit="1" customWidth="1"/>
    <col min="7" max="7" width="17.28515625" style="5" bestFit="1" customWidth="1"/>
    <col min="8" max="8" width="14.28515625" style="5" bestFit="1" customWidth="1"/>
    <col min="9" max="9" width="12.42578125" style="5" bestFit="1" customWidth="1"/>
    <col min="10" max="10" width="12.85546875" style="5" bestFit="1" customWidth="1"/>
    <col min="11" max="11" width="37.28515625" style="6" bestFit="1" customWidth="1"/>
    <col min="12" max="12" width="17.28515625" style="6" bestFit="1" customWidth="1"/>
    <col min="13" max="13" width="14.28515625" style="6" bestFit="1" customWidth="1"/>
    <col min="14" max="14" width="12.42578125" style="6" bestFit="1" customWidth="1"/>
    <col min="15" max="15" width="12.85546875" style="6" bestFit="1" customWidth="1"/>
    <col min="16" max="16" width="60" style="6" customWidth="1"/>
    <col min="17" max="16384" width="9.140625" style="6"/>
  </cols>
  <sheetData>
    <row r="2" spans="2:16" ht="27.95" customHeight="1">
      <c r="B2" s="47" t="s">
        <v>16</v>
      </c>
      <c r="C2" s="47"/>
      <c r="D2" s="4"/>
      <c r="E2" s="4"/>
      <c r="F2" s="4"/>
    </row>
    <row r="3" spans="2:16">
      <c r="C3" s="48" t="s">
        <v>3</v>
      </c>
      <c r="D3" s="48"/>
      <c r="E3" s="48"/>
      <c r="F3" s="48"/>
      <c r="G3" s="49" t="s">
        <v>4</v>
      </c>
      <c r="H3" s="49"/>
      <c r="I3" s="49"/>
      <c r="J3" s="49"/>
      <c r="K3" s="49" t="s">
        <v>17</v>
      </c>
      <c r="L3" s="49"/>
      <c r="M3" s="49"/>
      <c r="N3" s="49"/>
    </row>
    <row r="4" spans="2:16">
      <c r="B4" s="7" t="s">
        <v>18</v>
      </c>
      <c r="C4" s="8" t="s">
        <v>19</v>
      </c>
      <c r="D4" s="8" t="s">
        <v>20</v>
      </c>
      <c r="E4" s="8" t="s">
        <v>21</v>
      </c>
      <c r="F4" s="9" t="s">
        <v>22</v>
      </c>
      <c r="G4" s="10" t="s">
        <v>19</v>
      </c>
      <c r="H4" s="10" t="s">
        <v>20</v>
      </c>
      <c r="I4" s="10" t="s">
        <v>21</v>
      </c>
      <c r="J4" s="11" t="s">
        <v>22</v>
      </c>
      <c r="K4" s="12" t="s">
        <v>23</v>
      </c>
      <c r="L4" s="10" t="s">
        <v>19</v>
      </c>
      <c r="M4" s="10" t="s">
        <v>20</v>
      </c>
      <c r="N4" s="10" t="s">
        <v>21</v>
      </c>
      <c r="O4" s="11" t="s">
        <v>22</v>
      </c>
      <c r="P4" s="12" t="s">
        <v>24</v>
      </c>
    </row>
    <row r="5" spans="2:16">
      <c r="B5" s="13" t="s">
        <v>25</v>
      </c>
      <c r="C5" s="5">
        <v>18000</v>
      </c>
      <c r="D5" s="14"/>
      <c r="E5" s="14"/>
      <c r="F5" s="14"/>
      <c r="G5" s="15"/>
      <c r="H5" s="15"/>
      <c r="I5" s="15"/>
      <c r="J5" s="15"/>
      <c r="K5" s="6" t="s">
        <v>26</v>
      </c>
    </row>
    <row r="6" spans="2:16">
      <c r="B6" s="13" t="s">
        <v>27</v>
      </c>
      <c r="C6" s="5">
        <v>112320</v>
      </c>
      <c r="D6" s="14"/>
      <c r="E6" s="14"/>
      <c r="F6" s="14"/>
      <c r="G6" s="15"/>
      <c r="H6" s="15"/>
      <c r="I6" s="15"/>
      <c r="J6" s="15"/>
      <c r="K6" s="6" t="s">
        <v>26</v>
      </c>
    </row>
    <row r="7" spans="2:16">
      <c r="B7" s="13" t="s">
        <v>28</v>
      </c>
      <c r="C7" s="5">
        <v>72800</v>
      </c>
      <c r="D7" s="14"/>
      <c r="E7" s="14"/>
      <c r="F7" s="14"/>
      <c r="G7" s="15"/>
      <c r="H7" s="15"/>
      <c r="I7" s="15"/>
      <c r="J7" s="15"/>
      <c r="K7" s="6" t="s">
        <v>26</v>
      </c>
    </row>
    <row r="8" spans="2:16">
      <c r="B8" s="13" t="s">
        <v>29</v>
      </c>
      <c r="C8" s="5">
        <v>149760</v>
      </c>
      <c r="D8" s="14"/>
      <c r="E8" s="14"/>
      <c r="F8" s="14"/>
      <c r="G8" s="15"/>
      <c r="H8" s="15"/>
      <c r="I8" s="15"/>
      <c r="J8" s="15"/>
      <c r="K8" s="6" t="s">
        <v>26</v>
      </c>
    </row>
    <row r="9" spans="2:16">
      <c r="B9" s="13" t="s">
        <v>30</v>
      </c>
      <c r="D9" s="5">
        <v>187200</v>
      </c>
      <c r="E9" s="5">
        <v>124800</v>
      </c>
      <c r="F9" s="5">
        <v>62352</v>
      </c>
      <c r="G9" s="15"/>
      <c r="H9" s="15"/>
      <c r="I9" s="15"/>
      <c r="J9" s="15"/>
      <c r="K9" s="6" t="s">
        <v>26</v>
      </c>
    </row>
    <row r="10" spans="2:16">
      <c r="B10" s="13" t="s">
        <v>31</v>
      </c>
      <c r="D10" s="5">
        <v>32405</v>
      </c>
      <c r="E10" s="5">
        <v>27581</v>
      </c>
      <c r="F10" s="5">
        <v>23822</v>
      </c>
      <c r="G10" s="5">
        <f>'[3]Budget-Existing_RPP'!P6</f>
        <v>23178.960000000006</v>
      </c>
      <c r="H10" s="15"/>
      <c r="I10" s="15"/>
      <c r="J10" s="15"/>
      <c r="K10" s="6" t="s">
        <v>26</v>
      </c>
    </row>
    <row r="11" spans="2:16">
      <c r="B11" s="13" t="s">
        <v>32</v>
      </c>
      <c r="D11" s="5">
        <v>147987</v>
      </c>
      <c r="E11" s="5">
        <v>130610</v>
      </c>
      <c r="F11" s="5">
        <v>113443</v>
      </c>
      <c r="G11" s="5">
        <f>'[3]Budget-Existing_RPP'!P8</f>
        <v>50572.627559999986</v>
      </c>
      <c r="H11" s="15"/>
      <c r="I11" s="15"/>
      <c r="J11" s="15"/>
      <c r="K11" s="6" t="s">
        <v>26</v>
      </c>
    </row>
    <row r="12" spans="2:16">
      <c r="B12" s="13" t="s">
        <v>33</v>
      </c>
      <c r="D12" s="5">
        <v>89236</v>
      </c>
      <c r="E12" s="5">
        <v>76488</v>
      </c>
      <c r="F12" s="5">
        <v>63740</v>
      </c>
      <c r="G12" s="5">
        <f>'[3]Budget-Existing_RPP'!P9+'[3]Budget-Existing_RPP'!P11</f>
        <v>94801.946399999986</v>
      </c>
      <c r="H12" s="15"/>
      <c r="I12" s="15"/>
      <c r="J12" s="15"/>
      <c r="K12" s="6" t="s">
        <v>26</v>
      </c>
    </row>
    <row r="13" spans="2:16">
      <c r="B13" s="13" t="s">
        <v>34</v>
      </c>
      <c r="D13" s="15"/>
      <c r="E13" s="15"/>
      <c r="F13" s="15"/>
      <c r="G13" s="5">
        <f>'[3]Budget-Existing_RPP'!P10</f>
        <v>3863.1599999999994</v>
      </c>
      <c r="H13" s="15"/>
      <c r="I13" s="15"/>
      <c r="J13" s="15"/>
      <c r="K13" s="6" t="s">
        <v>26</v>
      </c>
    </row>
    <row r="14" spans="2:16">
      <c r="B14" s="13" t="s">
        <v>35</v>
      </c>
      <c r="D14" s="15"/>
      <c r="E14" s="15"/>
      <c r="F14" s="15"/>
      <c r="G14" s="5">
        <f>'[3]Budget-Existing_RPP'!P13</f>
        <v>5320</v>
      </c>
      <c r="H14" s="15"/>
      <c r="I14" s="15"/>
      <c r="J14" s="15"/>
      <c r="K14" s="6" t="s">
        <v>26</v>
      </c>
    </row>
    <row r="15" spans="2:16">
      <c r="B15" s="13" t="s">
        <v>36</v>
      </c>
      <c r="D15" s="15"/>
      <c r="E15" s="15"/>
      <c r="F15" s="15"/>
      <c r="G15" s="5">
        <f>'[3]Budget-Existing_RPP'!P14</f>
        <v>2500</v>
      </c>
      <c r="H15" s="15"/>
      <c r="I15" s="15"/>
      <c r="J15" s="15"/>
      <c r="K15" s="6" t="s">
        <v>26</v>
      </c>
    </row>
    <row r="16" spans="2:16">
      <c r="B16" s="13" t="s">
        <v>37</v>
      </c>
      <c r="D16" s="15"/>
      <c r="E16" s="15"/>
      <c r="F16" s="15"/>
      <c r="G16" s="5">
        <f>'[3]Budget-Existing_RPP'!P40</f>
        <v>9000</v>
      </c>
      <c r="H16" s="15"/>
      <c r="I16" s="15"/>
      <c r="J16" s="15"/>
      <c r="K16" s="6" t="s">
        <v>26</v>
      </c>
    </row>
    <row r="17" spans="2:16">
      <c r="B17" s="16" t="s">
        <v>38</v>
      </c>
      <c r="C17" s="17"/>
      <c r="D17" s="5">
        <v>809708</v>
      </c>
      <c r="E17" s="5">
        <v>712359</v>
      </c>
      <c r="F17" s="5">
        <v>616036</v>
      </c>
      <c r="G17" s="5">
        <f>'[3]Budget-Existing_RPP'!P5</f>
        <v>386316</v>
      </c>
      <c r="H17" s="15"/>
      <c r="I17" s="15"/>
      <c r="J17" s="15"/>
      <c r="K17" s="6" t="s">
        <v>39</v>
      </c>
      <c r="L17" s="18"/>
      <c r="M17" s="18"/>
      <c r="N17" s="18"/>
      <c r="O17" s="18"/>
      <c r="P17" s="19"/>
    </row>
    <row r="18" spans="2:16" ht="57.75">
      <c r="B18" s="13" t="s">
        <v>40</v>
      </c>
      <c r="D18" s="5">
        <v>1800</v>
      </c>
      <c r="E18" s="5">
        <v>900</v>
      </c>
      <c r="F18" s="5">
        <v>600</v>
      </c>
      <c r="G18" s="5">
        <f>'[3]Budget-Existing_RPP'!P15</f>
        <v>3280.0000000000005</v>
      </c>
      <c r="H18" s="15"/>
      <c r="I18" s="15"/>
      <c r="J18" s="15"/>
      <c r="K18" s="6" t="s">
        <v>41</v>
      </c>
      <c r="M18" s="18">
        <f>CEILING(328*3*1.2,500)+$O$18</f>
        <v>6000</v>
      </c>
      <c r="N18" s="18">
        <f>CEILING(328*2*1.2,500)+O18</f>
        <v>5500</v>
      </c>
      <c r="O18" s="18">
        <f>CEILING(328*11*1.2,500)</f>
        <v>4500</v>
      </c>
      <c r="P18" s="19" t="s">
        <v>42</v>
      </c>
    </row>
    <row r="19" spans="2:16" ht="43.5">
      <c r="B19" s="13" t="s">
        <v>43</v>
      </c>
      <c r="D19" s="5">
        <v>2160</v>
      </c>
      <c r="E19" s="5">
        <v>1920</v>
      </c>
      <c r="F19" s="5">
        <v>1680</v>
      </c>
      <c r="G19" s="5">
        <f>'[3]Budget-Existing_RPP'!P17</f>
        <v>3863.1599999999994</v>
      </c>
      <c r="H19" s="15"/>
      <c r="I19" s="15"/>
      <c r="J19" s="15"/>
      <c r="K19" s="6" t="s">
        <v>41</v>
      </c>
      <c r="M19" s="18">
        <f>(M57-$L57)*1%+O19</f>
        <v>35747.732000000004</v>
      </c>
      <c r="N19" s="18">
        <f>(N57-$L57)*1%+O19</f>
        <v>34519.582000000002</v>
      </c>
      <c r="O19" s="18">
        <f>SUM($C$57:$C$64)*1%</f>
        <v>15435.886</v>
      </c>
      <c r="P19" s="19" t="s">
        <v>44</v>
      </c>
    </row>
    <row r="20" spans="2:16" ht="29.25">
      <c r="B20" s="13" t="s">
        <v>45</v>
      </c>
      <c r="D20" s="5">
        <v>3240</v>
      </c>
      <c r="E20" s="5">
        <v>2880</v>
      </c>
      <c r="F20" s="5">
        <v>2520</v>
      </c>
      <c r="G20" s="5">
        <f>'[3]Budget-Existing_RPP'!P38</f>
        <v>3840</v>
      </c>
      <c r="H20" s="15"/>
      <c r="I20" s="15"/>
      <c r="J20" s="15"/>
      <c r="K20" s="6" t="s">
        <v>41</v>
      </c>
      <c r="M20" s="18">
        <f>320*3+O20</f>
        <v>3520</v>
      </c>
      <c r="N20" s="18">
        <f>320*2+O20</f>
        <v>3200</v>
      </c>
      <c r="O20" s="18">
        <f>320*8</f>
        <v>2560</v>
      </c>
      <c r="P20" s="19" t="s">
        <v>46</v>
      </c>
    </row>
    <row r="21" spans="2:16" ht="29.25">
      <c r="B21" s="13" t="s">
        <v>47</v>
      </c>
      <c r="D21" s="5">
        <v>24000</v>
      </c>
      <c r="E21" s="5">
        <v>14400</v>
      </c>
      <c r="F21" s="5">
        <v>9000</v>
      </c>
      <c r="G21" s="5">
        <f>'[3]Budget-Existing_RPP'!P34+'[3]Budget-Existing_RPP'!P37+'[3]Budget-Existing_RPP'!P36</f>
        <v>8400</v>
      </c>
      <c r="H21" s="15"/>
      <c r="I21" s="15"/>
      <c r="J21" s="15"/>
      <c r="K21" s="6" t="s">
        <v>41</v>
      </c>
      <c r="L21" s="18"/>
      <c r="M21" s="18">
        <f>$D21</f>
        <v>24000</v>
      </c>
      <c r="N21" s="18">
        <f>$E21</f>
        <v>14400</v>
      </c>
      <c r="O21" s="18">
        <f>$F21</f>
        <v>9000</v>
      </c>
      <c r="P21" s="19" t="s">
        <v>48</v>
      </c>
    </row>
    <row r="22" spans="2:16" ht="43.5">
      <c r="B22" s="13" t="s">
        <v>49</v>
      </c>
      <c r="C22" s="5">
        <v>780</v>
      </c>
      <c r="D22" s="15"/>
      <c r="E22" s="15"/>
      <c r="F22" s="14"/>
      <c r="G22" s="5">
        <f>'[3]Budget-Existing_RPP'!P27</f>
        <v>15000</v>
      </c>
      <c r="H22" s="15"/>
      <c r="I22" s="15"/>
      <c r="J22" s="15"/>
      <c r="K22" s="6" t="s">
        <v>41</v>
      </c>
      <c r="L22" s="18">
        <f>$G22</f>
        <v>15000</v>
      </c>
      <c r="M22" s="18"/>
      <c r="N22" s="18"/>
      <c r="O22" s="18"/>
      <c r="P22" s="19" t="s">
        <v>50</v>
      </c>
    </row>
    <row r="23" spans="2:16" ht="43.5">
      <c r="B23" s="13" t="s">
        <v>51</v>
      </c>
      <c r="D23" s="15"/>
      <c r="E23" s="15"/>
      <c r="F23" s="14"/>
      <c r="G23" s="5">
        <f>'[3]Budget-Existing_RPP'!P22</f>
        <v>30340.779847691098</v>
      </c>
      <c r="H23" s="15"/>
      <c r="I23" s="15"/>
      <c r="J23" s="15"/>
      <c r="K23" s="6" t="s">
        <v>52</v>
      </c>
      <c r="L23" s="18"/>
      <c r="M23" s="18"/>
      <c r="N23" s="18"/>
      <c r="O23" s="18"/>
      <c r="P23" s="19" t="s">
        <v>53</v>
      </c>
    </row>
    <row r="24" spans="2:16" ht="86.25">
      <c r="B24" s="13" t="s">
        <v>54</v>
      </c>
      <c r="D24" s="15"/>
      <c r="E24" s="15"/>
      <c r="F24" s="14"/>
      <c r="G24" s="5">
        <f>'[3]Budget-Existing_RPP'!P23</f>
        <v>12951</v>
      </c>
      <c r="H24" s="15"/>
      <c r="I24" s="15"/>
      <c r="J24" s="15"/>
      <c r="K24" s="6" t="s">
        <v>55</v>
      </c>
      <c r="L24" s="18">
        <f>$G24</f>
        <v>12951</v>
      </c>
      <c r="M24" s="18"/>
      <c r="N24" s="18"/>
      <c r="O24" s="18"/>
      <c r="P24" s="19" t="s">
        <v>56</v>
      </c>
    </row>
    <row r="25" spans="2:16" ht="86.25">
      <c r="B25" s="13" t="s">
        <v>57</v>
      </c>
      <c r="D25" s="5">
        <v>175172</v>
      </c>
      <c r="E25" s="5">
        <v>110143</v>
      </c>
      <c r="F25" s="20">
        <v>72912</v>
      </c>
      <c r="H25" s="15"/>
      <c r="I25" s="15"/>
      <c r="J25" s="15"/>
      <c r="K25" s="6" t="s">
        <v>41</v>
      </c>
      <c r="L25" s="18"/>
      <c r="M25" s="18">
        <f>'[3]Technology Scenarios Total'!G157-$L$22-$L$24-$L$27</f>
        <v>89640</v>
      </c>
      <c r="N25" s="18">
        <f>'[3]Technology Scenarios Total'!G236-$L$22-$L$24-$L$27</f>
        <v>76296</v>
      </c>
      <c r="O25" s="18">
        <f>'[3]Technology Scenarios Total'!G45-$L$22-$L$24-$L$27</f>
        <v>72912</v>
      </c>
      <c r="P25" s="19" t="s">
        <v>58</v>
      </c>
    </row>
    <row r="26" spans="2:16" ht="43.5">
      <c r="B26" s="13" t="s">
        <v>59</v>
      </c>
      <c r="C26" s="5">
        <v>11433</v>
      </c>
      <c r="D26" s="15"/>
      <c r="E26" s="15"/>
      <c r="F26" s="14"/>
      <c r="G26" s="15"/>
      <c r="H26" s="15"/>
      <c r="I26" s="15"/>
      <c r="J26" s="15"/>
      <c r="K26" s="6" t="s">
        <v>60</v>
      </c>
      <c r="L26" s="18"/>
      <c r="M26" s="18"/>
      <c r="N26" s="18"/>
      <c r="O26" s="18"/>
      <c r="P26" s="19" t="s">
        <v>61</v>
      </c>
    </row>
    <row r="27" spans="2:16" ht="43.5">
      <c r="B27" s="13" t="s">
        <v>62</v>
      </c>
      <c r="C27" s="5">
        <v>8640</v>
      </c>
      <c r="D27" s="15"/>
      <c r="E27" s="15"/>
      <c r="F27" s="14"/>
      <c r="G27" s="5">
        <f>'[3]Budget-Existing_RPP'!P30</f>
        <v>6984</v>
      </c>
      <c r="H27" s="15"/>
      <c r="I27" s="15"/>
      <c r="J27" s="15"/>
      <c r="K27" s="6" t="s">
        <v>55</v>
      </c>
      <c r="L27" s="18">
        <f>6984</f>
        <v>6984</v>
      </c>
      <c r="M27" s="18"/>
      <c r="N27" s="18"/>
      <c r="O27" s="18"/>
      <c r="P27" s="19" t="s">
        <v>63</v>
      </c>
    </row>
    <row r="28" spans="2:16" ht="57.75">
      <c r="B28" s="13" t="s">
        <v>64</v>
      </c>
      <c r="C28" s="5">
        <v>12600</v>
      </c>
      <c r="D28" s="15"/>
      <c r="E28" s="15"/>
      <c r="F28" s="14"/>
      <c r="G28" s="5">
        <f>'[3]Budget-Existing_RPP'!P41</f>
        <v>7200</v>
      </c>
      <c r="H28" s="15"/>
      <c r="I28" s="15"/>
      <c r="J28" s="15"/>
      <c r="K28" s="6" t="s">
        <v>55</v>
      </c>
      <c r="L28" s="18">
        <f>$G28</f>
        <v>7200</v>
      </c>
      <c r="M28" s="18"/>
      <c r="N28" s="18"/>
      <c r="O28" s="18"/>
      <c r="P28" s="19" t="s">
        <v>65</v>
      </c>
    </row>
    <row r="29" spans="2:16" ht="43.5">
      <c r="B29" s="13" t="s">
        <v>66</v>
      </c>
      <c r="C29" s="5">
        <v>3000</v>
      </c>
      <c r="D29" s="15"/>
      <c r="E29" s="15"/>
      <c r="F29" s="14"/>
      <c r="G29" s="5">
        <f>'[3]Budget-Existing_RPP'!P42</f>
        <v>9600</v>
      </c>
      <c r="H29" s="15"/>
      <c r="I29" s="15"/>
      <c r="J29" s="15"/>
      <c r="K29" s="6" t="s">
        <v>41</v>
      </c>
      <c r="L29" s="18">
        <f>$G29</f>
        <v>9600</v>
      </c>
      <c r="M29" s="18"/>
      <c r="N29" s="18"/>
      <c r="O29" s="18"/>
      <c r="P29" s="19" t="s">
        <v>67</v>
      </c>
    </row>
    <row r="30" spans="2:16" ht="43.5">
      <c r="B30" s="13" t="s">
        <v>68</v>
      </c>
      <c r="C30" s="5">
        <v>1200</v>
      </c>
      <c r="D30" s="15"/>
      <c r="E30" s="15"/>
      <c r="F30" s="14"/>
      <c r="G30" s="5">
        <f>'[3]Budget-Existing_RPP'!P43</f>
        <v>2500</v>
      </c>
      <c r="H30" s="15"/>
      <c r="I30" s="15"/>
      <c r="J30" s="15"/>
      <c r="K30" s="6" t="s">
        <v>41</v>
      </c>
      <c r="L30" s="18">
        <f>500*6</f>
        <v>3000</v>
      </c>
      <c r="M30" s="18"/>
      <c r="N30" s="18"/>
      <c r="O30" s="18"/>
      <c r="P30" s="19" t="s">
        <v>69</v>
      </c>
    </row>
    <row r="31" spans="2:16" ht="29.25">
      <c r="B31" s="13" t="s">
        <v>70</v>
      </c>
      <c r="C31" s="5">
        <v>1800</v>
      </c>
      <c r="D31" s="15"/>
      <c r="E31" s="15"/>
      <c r="F31" s="14"/>
      <c r="G31" s="15"/>
      <c r="H31" s="15"/>
      <c r="I31" s="15"/>
      <c r="J31" s="15"/>
      <c r="K31" s="6" t="s">
        <v>55</v>
      </c>
      <c r="L31" s="18">
        <f>$C31</f>
        <v>1800</v>
      </c>
      <c r="M31" s="18"/>
      <c r="N31" s="18"/>
      <c r="O31" s="18"/>
      <c r="P31" s="19" t="s">
        <v>71</v>
      </c>
    </row>
    <row r="32" spans="2:16" ht="43.5">
      <c r="B32" s="13" t="s">
        <v>72</v>
      </c>
      <c r="D32" s="5">
        <v>25200</v>
      </c>
      <c r="E32" s="5">
        <v>8400</v>
      </c>
      <c r="F32" s="20">
        <v>2400</v>
      </c>
      <c r="G32" s="5">
        <f>'[3]Budget-Existing_RPP'!P32+'[3]Budget-Existing_RPP'!P33</f>
        <v>12000</v>
      </c>
      <c r="H32" s="15"/>
      <c r="I32" s="15"/>
      <c r="J32" s="15"/>
      <c r="K32" s="6" t="s">
        <v>41</v>
      </c>
      <c r="L32" s="18"/>
      <c r="M32" s="18">
        <f>$D32</f>
        <v>25200</v>
      </c>
      <c r="N32" s="18">
        <f>$E32</f>
        <v>8400</v>
      </c>
      <c r="O32" s="18">
        <f>$F32</f>
        <v>2400</v>
      </c>
      <c r="P32" s="19" t="s">
        <v>73</v>
      </c>
    </row>
    <row r="33" spans="2:16" ht="29.25">
      <c r="B33" s="13" t="s">
        <v>74</v>
      </c>
      <c r="C33" s="5">
        <v>300</v>
      </c>
      <c r="D33" s="15"/>
      <c r="E33" s="15"/>
      <c r="F33" s="14"/>
      <c r="G33" s="15"/>
      <c r="H33" s="15"/>
      <c r="I33" s="15"/>
      <c r="J33" s="15"/>
      <c r="K33" s="6" t="s">
        <v>41</v>
      </c>
      <c r="L33" s="18">
        <f>$C33</f>
        <v>300</v>
      </c>
      <c r="M33" s="18"/>
      <c r="N33" s="18"/>
      <c r="O33" s="18"/>
      <c r="P33" s="19" t="s">
        <v>75</v>
      </c>
    </row>
    <row r="34" spans="2:16" ht="29.25">
      <c r="B34" s="13" t="s">
        <v>76</v>
      </c>
      <c r="C34" s="5">
        <v>264</v>
      </c>
      <c r="D34" s="15"/>
      <c r="E34" s="15"/>
      <c r="F34" s="14"/>
      <c r="G34" s="15"/>
      <c r="H34" s="15"/>
      <c r="I34" s="15"/>
      <c r="J34" s="15"/>
      <c r="K34" s="6" t="s">
        <v>41</v>
      </c>
      <c r="L34" s="18">
        <f>$C34</f>
        <v>264</v>
      </c>
      <c r="M34" s="18"/>
      <c r="N34" s="18"/>
      <c r="O34" s="18"/>
      <c r="P34" s="19" t="s">
        <v>77</v>
      </c>
    </row>
    <row r="35" spans="2:16" ht="29.25">
      <c r="B35" s="13" t="s">
        <v>78</v>
      </c>
      <c r="C35" s="5">
        <v>10200</v>
      </c>
      <c r="D35" s="15"/>
      <c r="E35" s="15"/>
      <c r="F35" s="14"/>
      <c r="G35" s="5">
        <f>'[3]Budget-Existing_RPP'!P35</f>
        <v>14400</v>
      </c>
      <c r="H35" s="15"/>
      <c r="I35" s="15"/>
      <c r="J35" s="15"/>
      <c r="K35" s="6" t="s">
        <v>55</v>
      </c>
      <c r="L35" s="18"/>
      <c r="M35" s="18">
        <f>$G35</f>
        <v>14400</v>
      </c>
      <c r="N35" s="18">
        <f>$G35*4/5</f>
        <v>11520</v>
      </c>
      <c r="O35" s="18">
        <f>$G35*3/5</f>
        <v>8640</v>
      </c>
      <c r="P35" s="19" t="s">
        <v>79</v>
      </c>
    </row>
    <row r="36" spans="2:16" ht="43.5">
      <c r="B36" s="13" t="s">
        <v>80</v>
      </c>
      <c r="D36" s="5">
        <v>79200</v>
      </c>
      <c r="E36" s="5">
        <v>63360</v>
      </c>
      <c r="F36" s="20">
        <v>47520</v>
      </c>
      <c r="G36" s="5">
        <f>'[3]Budget-Existing_RPP'!P20</f>
        <v>15223.999999999998</v>
      </c>
      <c r="H36" s="15"/>
      <c r="I36" s="15"/>
      <c r="J36" s="15"/>
      <c r="K36" s="6" t="s">
        <v>55</v>
      </c>
      <c r="L36" s="18"/>
      <c r="M36" s="18">
        <f>$G36</f>
        <v>15223.999999999998</v>
      </c>
      <c r="N36" s="18">
        <f>$G36*4/5</f>
        <v>12179.199999999999</v>
      </c>
      <c r="O36" s="18">
        <f>$G36*3/5</f>
        <v>9134.3999999999978</v>
      </c>
      <c r="P36" s="19" t="s">
        <v>81</v>
      </c>
    </row>
    <row r="37" spans="2:16" ht="57.75">
      <c r="B37" s="13" t="s">
        <v>82</v>
      </c>
      <c r="C37" s="5">
        <v>9504</v>
      </c>
      <c r="D37" s="15"/>
      <c r="E37" s="15"/>
      <c r="F37" s="14"/>
      <c r="G37" s="5">
        <f>'[3]Budget-Existing_RPP'!P19</f>
        <v>21968.977306059343</v>
      </c>
      <c r="H37" s="15"/>
      <c r="I37" s="15"/>
      <c r="J37" s="15"/>
      <c r="K37" s="6" t="s">
        <v>55</v>
      </c>
      <c r="L37" s="18">
        <f>SUM($C$57:$C$64)*3%</f>
        <v>46307.658000000003</v>
      </c>
      <c r="M37" s="18">
        <f>(M57-$L57)*3%</f>
        <v>60935.538</v>
      </c>
      <c r="N37" s="18">
        <f>(N57-$L57)*3%</f>
        <v>57251.088000000003</v>
      </c>
      <c r="O37" s="18"/>
      <c r="P37" s="19" t="s">
        <v>83</v>
      </c>
    </row>
    <row r="38" spans="2:16">
      <c r="B38" s="13" t="s">
        <v>84</v>
      </c>
      <c r="D38" s="5">
        <v>213727</v>
      </c>
      <c r="E38" s="5">
        <v>150294</v>
      </c>
      <c r="F38" s="20">
        <v>155855</v>
      </c>
      <c r="G38" s="5">
        <f>'[3]Budget-Existing_RPP'!P24+'[3]Budget-Existing_RPP'!P29+'[3]Budget-Existing_RPP'!P30+'[3]Budget-Existing_RPP'!P26</f>
        <v>40713.409727620368</v>
      </c>
      <c r="H38" s="15"/>
      <c r="I38" s="15"/>
      <c r="J38" s="15"/>
      <c r="K38" s="6" t="s">
        <v>26</v>
      </c>
      <c r="L38" s="18"/>
      <c r="M38" s="18"/>
      <c r="N38" s="18"/>
      <c r="O38" s="18"/>
      <c r="P38" s="19"/>
    </row>
    <row r="39" spans="2:16">
      <c r="B39" s="13" t="s">
        <v>85</v>
      </c>
      <c r="C39" s="5">
        <v>6600</v>
      </c>
      <c r="D39" s="15"/>
      <c r="E39" s="15"/>
      <c r="F39" s="14"/>
      <c r="G39" s="15"/>
      <c r="H39" s="15"/>
      <c r="I39" s="15"/>
      <c r="J39" s="15"/>
      <c r="K39" s="6" t="s">
        <v>26</v>
      </c>
      <c r="L39" s="18"/>
      <c r="M39" s="18"/>
      <c r="N39" s="18"/>
      <c r="O39" s="18"/>
      <c r="P39" s="19"/>
    </row>
    <row r="40" spans="2:16">
      <c r="B40" s="13" t="s">
        <v>86</v>
      </c>
      <c r="C40" s="5">
        <v>30000</v>
      </c>
      <c r="D40" s="15"/>
      <c r="E40" s="15"/>
      <c r="F40" s="14"/>
      <c r="G40" s="15"/>
      <c r="H40" s="15"/>
      <c r="I40" s="15"/>
      <c r="J40" s="15"/>
      <c r="K40" s="6" t="s">
        <v>26</v>
      </c>
      <c r="L40" s="18"/>
      <c r="M40" s="18"/>
      <c r="N40" s="18"/>
      <c r="O40" s="18"/>
      <c r="P40" s="19"/>
    </row>
    <row r="41" spans="2:16">
      <c r="B41" s="13" t="s">
        <v>87</v>
      </c>
      <c r="D41" s="5">
        <v>11400</v>
      </c>
      <c r="E41" s="5">
        <v>10200</v>
      </c>
      <c r="F41" s="20">
        <v>9000</v>
      </c>
      <c r="G41" s="15"/>
      <c r="H41" s="15"/>
      <c r="I41" s="15"/>
      <c r="J41" s="15"/>
      <c r="K41" s="6" t="s">
        <v>26</v>
      </c>
      <c r="L41" s="18"/>
      <c r="M41" s="18"/>
      <c r="N41" s="18"/>
      <c r="O41" s="18"/>
      <c r="P41" s="19"/>
    </row>
    <row r="42" spans="2:16">
      <c r="B42" s="13" t="s">
        <v>88</v>
      </c>
      <c r="D42" s="5">
        <v>84000</v>
      </c>
      <c r="E42" s="5">
        <v>72000</v>
      </c>
      <c r="F42" s="20">
        <v>60000</v>
      </c>
      <c r="G42" s="5">
        <f>'[3]Budget-Existing_RPP'!P16</f>
        <v>42000</v>
      </c>
      <c r="H42" s="15"/>
      <c r="I42" s="15"/>
      <c r="J42" s="15"/>
      <c r="K42" s="6" t="s">
        <v>26</v>
      </c>
      <c r="L42" s="18"/>
      <c r="M42" s="18"/>
      <c r="N42" s="18"/>
      <c r="O42" s="18"/>
      <c r="P42" s="19"/>
    </row>
    <row r="43" spans="2:16" ht="105">
      <c r="B43" s="16" t="s">
        <v>18</v>
      </c>
      <c r="C43" s="17"/>
      <c r="D43" s="5">
        <v>1525928</v>
      </c>
      <c r="E43" s="5">
        <v>1243177</v>
      </c>
      <c r="F43" s="5">
        <v>1073844</v>
      </c>
      <c r="G43" s="5">
        <f>'[3]Budget-Existing_RPP'!P53</f>
        <v>848926.0208413708</v>
      </c>
      <c r="H43" s="15"/>
      <c r="I43" s="15"/>
      <c r="J43" s="15"/>
      <c r="K43" s="6" t="s">
        <v>39</v>
      </c>
      <c r="L43" s="21">
        <f>SUM(L18:L37)</f>
        <v>103406.658</v>
      </c>
      <c r="M43" s="21">
        <f>$L43+SUM(M18:M37)</f>
        <v>378073.92800000001</v>
      </c>
      <c r="N43" s="21">
        <f>$L43+SUM(N18:N37)</f>
        <v>326672.52799999999</v>
      </c>
      <c r="O43" s="21">
        <f>$L43+SUM(O18:O37)</f>
        <v>227988.94399999999</v>
      </c>
      <c r="P43" s="22" t="s">
        <v>89</v>
      </c>
    </row>
    <row r="44" spans="2:16">
      <c r="B44" s="16" t="s">
        <v>90</v>
      </c>
      <c r="C44" s="17">
        <f>C43*1.2%</f>
        <v>0</v>
      </c>
      <c r="D44" s="5">
        <v>18311</v>
      </c>
      <c r="E44" s="5">
        <v>14918</v>
      </c>
      <c r="F44" s="5">
        <v>12886</v>
      </c>
      <c r="G44" s="15"/>
      <c r="H44" s="15"/>
      <c r="I44" s="15"/>
      <c r="J44" s="15"/>
      <c r="K44" s="6" t="s">
        <v>39</v>
      </c>
      <c r="L44" s="21"/>
      <c r="M44" s="21"/>
      <c r="N44" s="21"/>
      <c r="O44" s="21"/>
      <c r="P44" s="22" t="s">
        <v>91</v>
      </c>
    </row>
    <row r="45" spans="2:16" ht="75">
      <c r="B45" s="16" t="s">
        <v>92</v>
      </c>
      <c r="C45" s="17">
        <f>C43+C44</f>
        <v>0</v>
      </c>
      <c r="D45" s="5">
        <v>1544239</v>
      </c>
      <c r="E45" s="5">
        <v>1258095</v>
      </c>
      <c r="F45" s="5">
        <v>1086730</v>
      </c>
      <c r="G45" s="5">
        <f>SUM(G5:G44)</f>
        <v>1674744.0416827416</v>
      </c>
      <c r="K45" s="6" t="s">
        <v>39</v>
      </c>
      <c r="L45" s="21"/>
      <c r="M45" s="21">
        <f>$M43+$M57</f>
        <v>2409258.5279999999</v>
      </c>
      <c r="N45" s="21">
        <f>$N43+$N57</f>
        <v>2235042.128</v>
      </c>
      <c r="O45" s="21">
        <f>$O43+$O57</f>
        <v>1894392.544</v>
      </c>
      <c r="P45" s="22" t="s">
        <v>93</v>
      </c>
    </row>
    <row r="46" spans="2:16">
      <c r="B46" s="16"/>
      <c r="C46" s="17"/>
    </row>
    <row r="47" spans="2:16">
      <c r="B47" s="7" t="s">
        <v>94</v>
      </c>
      <c r="C47" s="8" t="s">
        <v>19</v>
      </c>
      <c r="D47" s="8" t="s">
        <v>20</v>
      </c>
      <c r="E47" s="8" t="s">
        <v>21</v>
      </c>
      <c r="F47" s="9" t="s">
        <v>22</v>
      </c>
      <c r="G47" s="10" t="s">
        <v>19</v>
      </c>
      <c r="H47" s="10" t="s">
        <v>20</v>
      </c>
      <c r="I47" s="10" t="s">
        <v>21</v>
      </c>
      <c r="J47" s="11" t="s">
        <v>22</v>
      </c>
      <c r="K47" s="12" t="s">
        <v>95</v>
      </c>
      <c r="L47" s="10" t="s">
        <v>19</v>
      </c>
      <c r="M47" s="10" t="s">
        <v>20</v>
      </c>
      <c r="N47" s="10" t="s">
        <v>21</v>
      </c>
      <c r="O47" s="11" t="s">
        <v>22</v>
      </c>
      <c r="P47" s="23" t="s">
        <v>24</v>
      </c>
    </row>
    <row r="48" spans="2:16" ht="114.75">
      <c r="B48" s="6" t="s">
        <v>96</v>
      </c>
      <c r="D48" s="5">
        <v>575690</v>
      </c>
      <c r="E48" s="5">
        <v>355800</v>
      </c>
      <c r="F48" s="5">
        <v>406760</v>
      </c>
      <c r="H48" s="5">
        <v>250608</v>
      </c>
      <c r="I48" s="5">
        <v>142860</v>
      </c>
      <c r="J48" s="5">
        <v>130020</v>
      </c>
      <c r="K48" s="6" t="s">
        <v>41</v>
      </c>
      <c r="L48" s="24"/>
      <c r="M48" s="24">
        <f>SUM('[3]Technology Scenarios Total'!F124:F131)</f>
        <v>982892.19</v>
      </c>
      <c r="N48" s="24">
        <f>SUM('[3]Technology Scenarios Total'!F203:F210)</f>
        <v>560330.11</v>
      </c>
      <c r="O48" s="24">
        <f>SUM('[3]Technology Scenarios Total'!F6:F11)</f>
        <v>509946.88</v>
      </c>
      <c r="P48" s="25" t="s">
        <v>119</v>
      </c>
    </row>
    <row r="49" spans="2:16" ht="143.25">
      <c r="B49" s="6" t="s">
        <v>97</v>
      </c>
      <c r="D49" s="5">
        <v>83220</v>
      </c>
      <c r="E49" s="5">
        <v>83220</v>
      </c>
      <c r="F49" s="5">
        <v>83220</v>
      </c>
      <c r="G49" s="26"/>
      <c r="H49" s="15"/>
      <c r="I49" s="15"/>
      <c r="J49" s="15"/>
      <c r="K49" s="6" t="s">
        <v>55</v>
      </c>
      <c r="L49" s="24">
        <f>SUM('[3]Technology Scenarios Total'!F32:F35)</f>
        <v>62474.45</v>
      </c>
      <c r="M49" s="24"/>
      <c r="N49" s="24"/>
      <c r="O49" s="24"/>
      <c r="P49" s="25" t="s">
        <v>98</v>
      </c>
    </row>
    <row r="50" spans="2:16" ht="43.5">
      <c r="B50" s="6" t="s">
        <v>99</v>
      </c>
      <c r="D50" s="5">
        <v>144500</v>
      </c>
      <c r="E50" s="5">
        <v>115600</v>
      </c>
      <c r="F50" s="5">
        <v>86451</v>
      </c>
      <c r="G50" s="26"/>
      <c r="H50" s="15"/>
      <c r="I50" s="15"/>
      <c r="J50" s="15"/>
      <c r="K50" s="6" t="s">
        <v>55</v>
      </c>
      <c r="L50" s="24"/>
      <c r="M50" s="24">
        <f>$D50</f>
        <v>144500</v>
      </c>
      <c r="N50" s="24">
        <f>$E50</f>
        <v>115600</v>
      </c>
      <c r="O50" s="24">
        <f>$F50</f>
        <v>86451</v>
      </c>
      <c r="P50" s="25" t="s">
        <v>100</v>
      </c>
    </row>
    <row r="51" spans="2:16" ht="86.25">
      <c r="B51" s="6" t="s">
        <v>101</v>
      </c>
      <c r="D51" s="5">
        <v>34850</v>
      </c>
      <c r="E51" s="5">
        <v>34850</v>
      </c>
      <c r="F51" s="5">
        <v>34850</v>
      </c>
      <c r="G51" s="26"/>
      <c r="H51" s="15"/>
      <c r="I51" s="15"/>
      <c r="J51" s="15"/>
      <c r="K51" s="6" t="s">
        <v>55</v>
      </c>
      <c r="L51" s="24">
        <f>SUM('[3]Technology Scenarios Total'!F23:F25)</f>
        <v>40789</v>
      </c>
      <c r="M51" s="24"/>
      <c r="N51" s="24"/>
      <c r="O51" s="24"/>
      <c r="P51" s="25" t="s">
        <v>102</v>
      </c>
    </row>
    <row r="52" spans="2:16" ht="72">
      <c r="B52" s="6" t="s">
        <v>120</v>
      </c>
      <c r="G52" s="26"/>
      <c r="H52" s="15"/>
      <c r="I52" s="15"/>
      <c r="J52" s="15"/>
      <c r="K52" s="6" t="s">
        <v>41</v>
      </c>
      <c r="L52" s="24">
        <f>'[3]Technology Scenarios Total'!F29</f>
        <v>10000</v>
      </c>
      <c r="M52" s="24"/>
      <c r="N52" s="24"/>
      <c r="O52" s="24"/>
      <c r="P52" s="25" t="s">
        <v>121</v>
      </c>
    </row>
    <row r="53" spans="2:16" ht="105">
      <c r="B53" s="27" t="s">
        <v>103</v>
      </c>
      <c r="C53" s="28"/>
      <c r="D53" s="28"/>
      <c r="E53" s="28"/>
      <c r="F53" s="28"/>
      <c r="G53" s="28"/>
      <c r="H53" s="28"/>
      <c r="I53" s="28"/>
      <c r="J53" s="28"/>
      <c r="K53" s="27" t="s">
        <v>104</v>
      </c>
      <c r="L53" s="29">
        <f>SUM(L48:L52)</f>
        <v>113263.45</v>
      </c>
      <c r="M53" s="29">
        <f>$L53+SUM(M48:M52)</f>
        <v>1240655.6399999999</v>
      </c>
      <c r="N53" s="29">
        <f>$L53+SUM(N48:N52)</f>
        <v>789193.55999999994</v>
      </c>
      <c r="O53" s="29">
        <f>$L53+SUM(O48:O52)</f>
        <v>709661.33</v>
      </c>
      <c r="P53" s="30" t="s">
        <v>122</v>
      </c>
    </row>
    <row r="54" spans="2:16">
      <c r="P54" s="25"/>
    </row>
    <row r="55" spans="2:16">
      <c r="P55" s="25"/>
    </row>
    <row r="56" spans="2:16">
      <c r="B56" s="7" t="s">
        <v>105</v>
      </c>
      <c r="C56" s="7" t="s">
        <v>106</v>
      </c>
      <c r="K56" s="12" t="s">
        <v>107</v>
      </c>
      <c r="L56" s="10" t="s">
        <v>19</v>
      </c>
      <c r="M56" s="10" t="s">
        <v>20</v>
      </c>
      <c r="N56" s="10" t="s">
        <v>21</v>
      </c>
      <c r="O56" s="11" t="s">
        <v>22</v>
      </c>
      <c r="P56" s="23" t="s">
        <v>24</v>
      </c>
    </row>
    <row r="57" spans="2:16" ht="125.25" customHeight="1">
      <c r="B57" s="31" t="s">
        <v>108</v>
      </c>
      <c r="C57" s="32">
        <v>208147</v>
      </c>
      <c r="K57" s="6" t="s">
        <v>109</v>
      </c>
      <c r="L57" s="18"/>
      <c r="M57" s="18">
        <f>SUM($C$57:$C$60,$C$63:$C$64)+7*($C$61/4)+2*$C$62</f>
        <v>2031184.6</v>
      </c>
      <c r="N57" s="18">
        <f>SUM($C$57:$C$60,$C$63:$C$64)+6*($C$61/4)+2*$C$62</f>
        <v>1908369.6</v>
      </c>
      <c r="O57" s="18">
        <f>SUM($C$57:$C$60,$C$63:$C$64)+5*($C$61/4)+$C$62</f>
        <v>1666403.6</v>
      </c>
      <c r="P57" s="19" t="s">
        <v>110</v>
      </c>
    </row>
    <row r="58" spans="2:16">
      <c r="B58" s="31" t="s">
        <v>111</v>
      </c>
      <c r="C58" s="32">
        <v>164139</v>
      </c>
      <c r="K58" s="46" t="s">
        <v>41</v>
      </c>
      <c r="L58" s="46"/>
      <c r="M58" s="45">
        <f>M$57*'[3]Budget-Existing_RPP'!$V$4/SUM('[3]Budget-Existing_RPP'!$V$4:$W$4)</f>
        <v>720312.45879228413</v>
      </c>
      <c r="N58" s="45">
        <f>N$57*'[3]Budget-Existing_RPP'!$V$4/SUM('[3]Budget-Existing_RPP'!$V$4:$W$4)</f>
        <v>676758.97053396713</v>
      </c>
      <c r="O58" s="45">
        <f>O$57*'[3]Budget-Existing_RPP'!$V$4/SUM('[3]Budget-Existing_RPP'!$V$4:$W$4)</f>
        <v>590951.34654738614</v>
      </c>
      <c r="P58" s="44" t="s">
        <v>124</v>
      </c>
    </row>
    <row r="59" spans="2:16">
      <c r="B59" s="31" t="s">
        <v>112</v>
      </c>
      <c r="C59" s="32">
        <f>49.34*20*52</f>
        <v>51313.600000000006</v>
      </c>
      <c r="K59" s="43" t="s">
        <v>55</v>
      </c>
      <c r="L59" s="43"/>
      <c r="M59" s="42">
        <f>M$57*'[3]Budget-Existing_RPP'!$W$4/SUM('[3]Budget-Existing_RPP'!$V$4:$W$4)</f>
        <v>1310872.141207716</v>
      </c>
      <c r="N59" s="42">
        <f>N$57*'[3]Budget-Existing_RPP'!$W$4/SUM('[3]Budget-Existing_RPP'!$V$4:$W$4)</f>
        <v>1231610.6294660328</v>
      </c>
      <c r="O59" s="42">
        <f>O$57*'[3]Budget-Existing_RPP'!$W$4/SUM('[3]Budget-Existing_RPP'!$V$4:$W$4)</f>
        <v>1075452.2534526139</v>
      </c>
      <c r="P59" s="41" t="s">
        <v>124</v>
      </c>
    </row>
    <row r="60" spans="2:16">
      <c r="B60" s="31" t="s">
        <v>113</v>
      </c>
      <c r="C60" s="32">
        <v>186465</v>
      </c>
      <c r="M60" s="24"/>
      <c r="N60" s="24"/>
      <c r="O60" s="24"/>
      <c r="P60" s="25"/>
    </row>
    <row r="61" spans="2:16">
      <c r="B61" s="31" t="s">
        <v>114</v>
      </c>
      <c r="C61" s="32">
        <f>122815*4</f>
        <v>491260</v>
      </c>
      <c r="M61" s="24"/>
      <c r="N61" s="24"/>
      <c r="O61" s="24"/>
      <c r="P61" s="25"/>
    </row>
    <row r="62" spans="2:16">
      <c r="B62" s="31" t="s">
        <v>115</v>
      </c>
      <c r="C62" s="32">
        <v>119151</v>
      </c>
      <c r="M62" s="24"/>
      <c r="N62" s="24"/>
      <c r="O62" s="24"/>
      <c r="P62" s="25"/>
    </row>
    <row r="63" spans="2:16">
      <c r="B63" s="31" t="s">
        <v>116</v>
      </c>
      <c r="C63" s="32">
        <v>203962</v>
      </c>
      <c r="M63" s="24"/>
      <c r="N63" s="24"/>
      <c r="O63" s="24"/>
      <c r="P63" s="25"/>
    </row>
    <row r="64" spans="2:16">
      <c r="B64" s="40" t="s">
        <v>117</v>
      </c>
      <c r="C64" s="39">
        <v>119151</v>
      </c>
      <c r="M64" s="24"/>
      <c r="N64" s="24"/>
      <c r="O64" s="24"/>
      <c r="P64" s="25"/>
    </row>
    <row r="65" spans="2:10">
      <c r="B65" s="38" t="s">
        <v>126</v>
      </c>
      <c r="C65" s="37"/>
      <c r="D65" s="37"/>
      <c r="E65" s="37"/>
      <c r="F65" s="37"/>
      <c r="G65" s="37"/>
      <c r="H65" s="37"/>
      <c r="I65" s="37"/>
      <c r="J65" s="37"/>
    </row>
    <row r="66" spans="2:10">
      <c r="B66" s="36" t="s">
        <v>125</v>
      </c>
      <c r="C66" s="35"/>
      <c r="D66" s="35"/>
      <c r="E66" s="35"/>
      <c r="F66" s="35"/>
      <c r="G66" s="35"/>
      <c r="H66" s="35"/>
      <c r="I66" s="35"/>
      <c r="J66" s="35"/>
    </row>
  </sheetData>
  <mergeCells count="4">
    <mergeCell ref="B2:C2"/>
    <mergeCell ref="C3:F3"/>
    <mergeCell ref="G3:J3"/>
    <mergeCell ref="K3:N3"/>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B3329-6F23-4A38-8735-A21BDFCB1654}">
  <sheetPr>
    <tabColor rgb="FFFFFF00"/>
  </sheetPr>
  <dimension ref="B2:P65"/>
  <sheetViews>
    <sheetView topLeftCell="H51" zoomScale="85" zoomScaleNormal="85" workbookViewId="0">
      <selection activeCell="K58" sqref="K58:P59"/>
    </sheetView>
    <sheetView topLeftCell="G46" workbookViewId="1">
      <selection activeCell="P52" sqref="P52"/>
    </sheetView>
  </sheetViews>
  <sheetFormatPr defaultRowHeight="15"/>
  <cols>
    <col min="1" max="1" width="9.140625" style="6"/>
    <col min="2" max="2" width="32.5703125" style="6" bestFit="1" customWidth="1"/>
    <col min="3" max="3" width="18.7109375" style="5" bestFit="1" customWidth="1"/>
    <col min="4" max="4" width="15.85546875" style="5" bestFit="1" customWidth="1"/>
    <col min="5" max="5" width="13.85546875" style="5" bestFit="1" customWidth="1"/>
    <col min="6" max="6" width="14.28515625" style="5" bestFit="1" customWidth="1"/>
    <col min="7" max="7" width="17.28515625" style="5" bestFit="1" customWidth="1"/>
    <col min="8" max="8" width="14.28515625" style="5" bestFit="1" customWidth="1"/>
    <col min="9" max="9" width="12.42578125" style="5" bestFit="1" customWidth="1"/>
    <col min="10" max="10" width="12.85546875" style="5" bestFit="1" customWidth="1"/>
    <col min="11" max="11" width="37.28515625" style="6" bestFit="1" customWidth="1"/>
    <col min="12" max="12" width="17.28515625" style="6" bestFit="1" customWidth="1"/>
    <col min="13" max="13" width="14.28515625" style="6" bestFit="1" customWidth="1"/>
    <col min="14" max="14" width="12.42578125" style="6" bestFit="1" customWidth="1"/>
    <col min="15" max="15" width="12.85546875" style="6" bestFit="1" customWidth="1"/>
    <col min="16" max="16" width="60" style="6" customWidth="1"/>
    <col min="17" max="16384" width="9.140625" style="6"/>
  </cols>
  <sheetData>
    <row r="2" spans="2:16" ht="18">
      <c r="B2" s="47" t="s">
        <v>16</v>
      </c>
      <c r="C2" s="47"/>
      <c r="D2" s="4"/>
      <c r="E2" s="4"/>
      <c r="F2" s="4"/>
    </row>
    <row r="3" spans="2:16">
      <c r="C3" s="48" t="s">
        <v>3</v>
      </c>
      <c r="D3" s="48"/>
      <c r="E3" s="48"/>
      <c r="F3" s="48"/>
      <c r="G3" s="49" t="s">
        <v>4</v>
      </c>
      <c r="H3" s="49"/>
      <c r="I3" s="49"/>
      <c r="J3" s="49"/>
      <c r="K3" s="49" t="s">
        <v>17</v>
      </c>
      <c r="L3" s="49"/>
      <c r="M3" s="49"/>
      <c r="N3" s="49"/>
    </row>
    <row r="4" spans="2:16">
      <c r="B4" s="7" t="s">
        <v>18</v>
      </c>
      <c r="C4" s="8" t="s">
        <v>19</v>
      </c>
      <c r="D4" s="8" t="s">
        <v>20</v>
      </c>
      <c r="E4" s="8" t="s">
        <v>21</v>
      </c>
      <c r="F4" s="9" t="s">
        <v>22</v>
      </c>
      <c r="G4" s="10" t="s">
        <v>19</v>
      </c>
      <c r="H4" s="10" t="s">
        <v>20</v>
      </c>
      <c r="I4" s="10" t="s">
        <v>21</v>
      </c>
      <c r="J4" s="11" t="s">
        <v>22</v>
      </c>
      <c r="K4" s="12" t="s">
        <v>23</v>
      </c>
      <c r="L4" s="10" t="s">
        <v>19</v>
      </c>
      <c r="M4" s="10" t="s">
        <v>20</v>
      </c>
      <c r="N4" s="10" t="s">
        <v>21</v>
      </c>
      <c r="O4" s="11" t="s">
        <v>22</v>
      </c>
      <c r="P4" s="12" t="s">
        <v>24</v>
      </c>
    </row>
    <row r="5" spans="2:16">
      <c r="B5" s="13" t="s">
        <v>25</v>
      </c>
      <c r="C5" s="5">
        <v>18000</v>
      </c>
      <c r="D5" s="14"/>
      <c r="E5" s="14"/>
      <c r="F5" s="14"/>
      <c r="G5" s="15"/>
      <c r="H5" s="15"/>
      <c r="I5" s="15"/>
      <c r="J5" s="15"/>
      <c r="K5" s="6" t="s">
        <v>26</v>
      </c>
    </row>
    <row r="6" spans="2:16">
      <c r="B6" s="13" t="s">
        <v>27</v>
      </c>
      <c r="C6" s="5">
        <v>112320</v>
      </c>
      <c r="D6" s="14"/>
      <c r="E6" s="14"/>
      <c r="F6" s="14"/>
      <c r="G6" s="15"/>
      <c r="H6" s="15"/>
      <c r="I6" s="15"/>
      <c r="J6" s="15"/>
      <c r="K6" s="6" t="s">
        <v>26</v>
      </c>
    </row>
    <row r="7" spans="2:16">
      <c r="B7" s="13" t="s">
        <v>28</v>
      </c>
      <c r="C7" s="5">
        <v>72800</v>
      </c>
      <c r="D7" s="14"/>
      <c r="E7" s="14"/>
      <c r="F7" s="14"/>
      <c r="G7" s="15"/>
      <c r="H7" s="15"/>
      <c r="I7" s="15"/>
      <c r="J7" s="15"/>
      <c r="K7" s="6" t="s">
        <v>26</v>
      </c>
    </row>
    <row r="8" spans="2:16">
      <c r="B8" s="13" t="s">
        <v>29</v>
      </c>
      <c r="C8" s="5">
        <v>149760</v>
      </c>
      <c r="D8" s="14"/>
      <c r="E8" s="14"/>
      <c r="F8" s="14"/>
      <c r="G8" s="15"/>
      <c r="H8" s="15"/>
      <c r="I8" s="15"/>
      <c r="J8" s="15"/>
      <c r="K8" s="6" t="s">
        <v>26</v>
      </c>
    </row>
    <row r="9" spans="2:16">
      <c r="B9" s="13" t="s">
        <v>30</v>
      </c>
      <c r="D9" s="5">
        <v>187200</v>
      </c>
      <c r="E9" s="5">
        <v>124800</v>
      </c>
      <c r="F9" s="5">
        <v>62352</v>
      </c>
      <c r="G9" s="15"/>
      <c r="H9" s="15"/>
      <c r="I9" s="15"/>
      <c r="J9" s="15"/>
      <c r="K9" s="6" t="s">
        <v>26</v>
      </c>
    </row>
    <row r="10" spans="2:16">
      <c r="B10" s="13" t="s">
        <v>31</v>
      </c>
      <c r="D10" s="5">
        <v>32405</v>
      </c>
      <c r="E10" s="5">
        <v>27581</v>
      </c>
      <c r="F10" s="5">
        <v>23822</v>
      </c>
      <c r="G10" s="5">
        <f>'[3]Budget-Existing_RPP'!P6</f>
        <v>23178.960000000006</v>
      </c>
      <c r="H10" s="15"/>
      <c r="I10" s="15"/>
      <c r="J10" s="15"/>
      <c r="K10" s="6" t="s">
        <v>26</v>
      </c>
    </row>
    <row r="11" spans="2:16">
      <c r="B11" s="13" t="s">
        <v>32</v>
      </c>
      <c r="D11" s="5">
        <v>147987</v>
      </c>
      <c r="E11" s="5">
        <v>130610</v>
      </c>
      <c r="F11" s="5">
        <v>113443</v>
      </c>
      <c r="G11" s="5">
        <f>'[3]Budget-Existing_RPP'!P8</f>
        <v>50572.627559999986</v>
      </c>
      <c r="H11" s="15"/>
      <c r="I11" s="15"/>
      <c r="J11" s="15"/>
      <c r="K11" s="6" t="s">
        <v>26</v>
      </c>
    </row>
    <row r="12" spans="2:16">
      <c r="B12" s="13" t="s">
        <v>33</v>
      </c>
      <c r="D12" s="5">
        <v>89236</v>
      </c>
      <c r="E12" s="5">
        <v>76488</v>
      </c>
      <c r="F12" s="5">
        <v>63740</v>
      </c>
      <c r="G12" s="5">
        <f>'[3]Budget-Existing_RPP'!P9+'[3]Budget-Existing_RPP'!P11</f>
        <v>94801.946399999986</v>
      </c>
      <c r="H12" s="15"/>
      <c r="I12" s="15"/>
      <c r="J12" s="15"/>
      <c r="K12" s="6" t="s">
        <v>26</v>
      </c>
    </row>
    <row r="13" spans="2:16">
      <c r="B13" s="13" t="s">
        <v>34</v>
      </c>
      <c r="D13" s="15"/>
      <c r="E13" s="15"/>
      <c r="F13" s="15"/>
      <c r="G13" s="5">
        <f>'[3]Budget-Existing_RPP'!P10</f>
        <v>3863.1599999999994</v>
      </c>
      <c r="H13" s="15"/>
      <c r="I13" s="15"/>
      <c r="J13" s="15"/>
      <c r="K13" s="6" t="s">
        <v>26</v>
      </c>
    </row>
    <row r="14" spans="2:16">
      <c r="B14" s="13" t="s">
        <v>35</v>
      </c>
      <c r="D14" s="15"/>
      <c r="E14" s="15"/>
      <c r="F14" s="15"/>
      <c r="G14" s="5">
        <f>'[3]Budget-Existing_RPP'!P13</f>
        <v>5320</v>
      </c>
      <c r="H14" s="15"/>
      <c r="I14" s="15"/>
      <c r="J14" s="15"/>
      <c r="K14" s="6" t="s">
        <v>26</v>
      </c>
    </row>
    <row r="15" spans="2:16">
      <c r="B15" s="13" t="s">
        <v>36</v>
      </c>
      <c r="D15" s="15"/>
      <c r="E15" s="15"/>
      <c r="F15" s="15"/>
      <c r="G15" s="5">
        <f>'[3]Budget-Existing_RPP'!P14</f>
        <v>2500</v>
      </c>
      <c r="H15" s="15"/>
      <c r="I15" s="15"/>
      <c r="J15" s="15"/>
      <c r="K15" s="6" t="s">
        <v>26</v>
      </c>
    </row>
    <row r="16" spans="2:16">
      <c r="B16" s="13" t="s">
        <v>37</v>
      </c>
      <c r="D16" s="15"/>
      <c r="E16" s="15"/>
      <c r="F16" s="15"/>
      <c r="G16" s="5">
        <f>'[3]Budget-Existing_RPP'!P40</f>
        <v>9000</v>
      </c>
      <c r="H16" s="15"/>
      <c r="I16" s="15"/>
      <c r="J16" s="15"/>
      <c r="K16" s="6" t="s">
        <v>26</v>
      </c>
    </row>
    <row r="17" spans="2:16">
      <c r="B17" s="16" t="s">
        <v>38</v>
      </c>
      <c r="C17" s="17"/>
      <c r="D17" s="5">
        <v>809708</v>
      </c>
      <c r="E17" s="5">
        <v>712359</v>
      </c>
      <c r="F17" s="5">
        <v>616036</v>
      </c>
      <c r="G17" s="5">
        <f>'[3]Budget-Existing_RPP'!P5</f>
        <v>386316</v>
      </c>
      <c r="H17" s="15"/>
      <c r="I17" s="15"/>
      <c r="J17" s="15"/>
      <c r="K17" s="6" t="s">
        <v>39</v>
      </c>
      <c r="L17" s="18"/>
      <c r="M17" s="18"/>
      <c r="N17" s="18"/>
      <c r="O17" s="18"/>
      <c r="P17" s="19"/>
    </row>
    <row r="18" spans="2:16" ht="57.75">
      <c r="B18" s="13" t="s">
        <v>40</v>
      </c>
      <c r="D18" s="5">
        <v>1800</v>
      </c>
      <c r="E18" s="5">
        <v>900</v>
      </c>
      <c r="F18" s="5">
        <v>600</v>
      </c>
      <c r="G18" s="5">
        <f>'[3]Budget-Existing_RPP'!P15</f>
        <v>3280.0000000000005</v>
      </c>
      <c r="H18" s="15"/>
      <c r="I18" s="15"/>
      <c r="J18" s="15"/>
      <c r="K18" s="6" t="s">
        <v>41</v>
      </c>
      <c r="M18" s="18">
        <f>CEILING(328*3*1.2,500)+$O$18</f>
        <v>6000</v>
      </c>
      <c r="N18" s="18">
        <f>CEILING(328*2*1.2,500)+O18</f>
        <v>5500</v>
      </c>
      <c r="O18" s="18">
        <f>CEILING(328*11*1.2,500)</f>
        <v>4500</v>
      </c>
      <c r="P18" s="19" t="s">
        <v>42</v>
      </c>
    </row>
    <row r="19" spans="2:16" ht="43.5">
      <c r="B19" s="13" t="s">
        <v>43</v>
      </c>
      <c r="D19" s="5">
        <v>2160</v>
      </c>
      <c r="E19" s="5">
        <v>1920</v>
      </c>
      <c r="F19" s="5">
        <v>1680</v>
      </c>
      <c r="G19" s="5">
        <f>'[3]Budget-Existing_RPP'!P17</f>
        <v>3863.1599999999994</v>
      </c>
      <c r="H19" s="15"/>
      <c r="I19" s="15"/>
      <c r="J19" s="15"/>
      <c r="K19" s="6" t="s">
        <v>41</v>
      </c>
      <c r="M19" s="18">
        <f>(M56-$O56)*1%+O19</f>
        <v>19083.696</v>
      </c>
      <c r="N19" s="18">
        <f>(N56-$O56)*1%+O19</f>
        <v>17855.546000000002</v>
      </c>
      <c r="O19" s="18">
        <f>SUM($C$56:$C$63)*1%</f>
        <v>15435.886</v>
      </c>
      <c r="P19" s="19" t="s">
        <v>44</v>
      </c>
    </row>
    <row r="20" spans="2:16" ht="29.25">
      <c r="B20" s="13" t="s">
        <v>45</v>
      </c>
      <c r="D20" s="5">
        <v>3240</v>
      </c>
      <c r="E20" s="5">
        <v>2880</v>
      </c>
      <c r="F20" s="5">
        <v>2520</v>
      </c>
      <c r="G20" s="5">
        <f>'[3]Budget-Existing_RPP'!P38</f>
        <v>3840</v>
      </c>
      <c r="H20" s="15"/>
      <c r="I20" s="15"/>
      <c r="J20" s="15"/>
      <c r="K20" s="6" t="s">
        <v>41</v>
      </c>
      <c r="M20" s="18">
        <f>320*3+O20</f>
        <v>3520</v>
      </c>
      <c r="N20" s="18">
        <f>320*2+O20</f>
        <v>3200</v>
      </c>
      <c r="O20" s="18">
        <f>320*8</f>
        <v>2560</v>
      </c>
      <c r="P20" s="19" t="s">
        <v>46</v>
      </c>
    </row>
    <row r="21" spans="2:16" ht="29.25">
      <c r="B21" s="13" t="s">
        <v>47</v>
      </c>
      <c r="D21" s="5">
        <v>24000</v>
      </c>
      <c r="E21" s="5">
        <v>14400</v>
      </c>
      <c r="F21" s="5">
        <v>9000</v>
      </c>
      <c r="G21" s="5">
        <f>'[3]Budget-Existing_RPP'!P34+'[3]Budget-Existing_RPP'!P37+'[3]Budget-Existing_RPP'!P36</f>
        <v>8400</v>
      </c>
      <c r="H21" s="15"/>
      <c r="I21" s="15"/>
      <c r="J21" s="15"/>
      <c r="K21" s="6" t="s">
        <v>41</v>
      </c>
      <c r="L21" s="18"/>
      <c r="M21" s="18">
        <f>$D21</f>
        <v>24000</v>
      </c>
      <c r="N21" s="18">
        <f>$E21</f>
        <v>14400</v>
      </c>
      <c r="O21" s="18">
        <f>$F21</f>
        <v>9000</v>
      </c>
      <c r="P21" s="19" t="s">
        <v>48</v>
      </c>
    </row>
    <row r="22" spans="2:16" ht="43.5">
      <c r="B22" s="13" t="s">
        <v>49</v>
      </c>
      <c r="C22" s="5">
        <v>780</v>
      </c>
      <c r="D22" s="15"/>
      <c r="E22" s="15"/>
      <c r="F22" s="14"/>
      <c r="G22" s="5">
        <f>'[3]Budget-Existing_RPP'!P27</f>
        <v>15000</v>
      </c>
      <c r="H22" s="15"/>
      <c r="I22" s="15"/>
      <c r="J22" s="15"/>
      <c r="K22" s="6" t="s">
        <v>41</v>
      </c>
      <c r="L22" s="18">
        <f>$G22</f>
        <v>15000</v>
      </c>
      <c r="M22" s="18"/>
      <c r="N22" s="18"/>
      <c r="O22" s="18"/>
      <c r="P22" s="19" t="s">
        <v>50</v>
      </c>
    </row>
    <row r="23" spans="2:16" ht="43.5">
      <c r="B23" s="13" t="s">
        <v>51</v>
      </c>
      <c r="D23" s="15"/>
      <c r="E23" s="15"/>
      <c r="F23" s="14"/>
      <c r="G23" s="5">
        <f>'[3]Budget-Existing_RPP'!P22</f>
        <v>30340.779847691098</v>
      </c>
      <c r="H23" s="15"/>
      <c r="I23" s="15"/>
      <c r="J23" s="15"/>
      <c r="K23" s="6" t="s">
        <v>52</v>
      </c>
      <c r="L23" s="18"/>
      <c r="M23" s="18"/>
      <c r="N23" s="18"/>
      <c r="O23" s="18"/>
      <c r="P23" s="19" t="s">
        <v>53</v>
      </c>
    </row>
    <row r="24" spans="2:16" ht="86.25">
      <c r="B24" s="13" t="s">
        <v>54</v>
      </c>
      <c r="D24" s="15"/>
      <c r="E24" s="15"/>
      <c r="F24" s="14"/>
      <c r="G24" s="5">
        <f>'[3]Budget-Existing_RPP'!P23</f>
        <v>12951</v>
      </c>
      <c r="H24" s="15"/>
      <c r="I24" s="15"/>
      <c r="J24" s="15"/>
      <c r="K24" s="6" t="s">
        <v>55</v>
      </c>
      <c r="L24" s="18">
        <f>$G24</f>
        <v>12951</v>
      </c>
      <c r="M24" s="18"/>
      <c r="N24" s="18"/>
      <c r="O24" s="18"/>
      <c r="P24" s="19" t="s">
        <v>56</v>
      </c>
    </row>
    <row r="25" spans="2:16" ht="114.75">
      <c r="B25" s="13" t="s">
        <v>57</v>
      </c>
      <c r="D25" s="5">
        <v>175172</v>
      </c>
      <c r="E25" s="5">
        <v>110143</v>
      </c>
      <c r="F25" s="20">
        <v>72912</v>
      </c>
      <c r="H25" s="15"/>
      <c r="I25" s="15"/>
      <c r="J25" s="15"/>
      <c r="K25" s="6" t="s">
        <v>41</v>
      </c>
      <c r="L25" s="18"/>
      <c r="M25" s="18">
        <f>'[3]Technology Scenarios Total'!G157-$L$22-$L$24-$L$27</f>
        <v>89640</v>
      </c>
      <c r="N25" s="18">
        <f>'[3]Technology Scenarios Total'!G236-$L$22-$L$24-$L$27</f>
        <v>76296</v>
      </c>
      <c r="O25" s="18">
        <f>'[3]Technology Scenarios Total'!G45-$L$22-$L$24-$L$27</f>
        <v>72912</v>
      </c>
      <c r="P25" s="19" t="s">
        <v>179</v>
      </c>
    </row>
    <row r="26" spans="2:16" ht="43.5">
      <c r="B26" s="13" t="s">
        <v>59</v>
      </c>
      <c r="C26" s="5">
        <v>11433</v>
      </c>
      <c r="D26" s="15"/>
      <c r="E26" s="15"/>
      <c r="F26" s="14"/>
      <c r="G26" s="15"/>
      <c r="H26" s="15"/>
      <c r="I26" s="15"/>
      <c r="J26" s="15"/>
      <c r="K26" s="6" t="s">
        <v>60</v>
      </c>
      <c r="L26" s="18"/>
      <c r="M26" s="18"/>
      <c r="N26" s="18"/>
      <c r="O26" s="18"/>
      <c r="P26" s="19" t="s">
        <v>61</v>
      </c>
    </row>
    <row r="27" spans="2:16" ht="43.5">
      <c r="B27" s="13" t="s">
        <v>62</v>
      </c>
      <c r="C27" s="5">
        <v>8640</v>
      </c>
      <c r="D27" s="15"/>
      <c r="E27" s="15"/>
      <c r="F27" s="14"/>
      <c r="G27" s="5">
        <f>'[3]Budget-Existing_RPP'!P30</f>
        <v>6984</v>
      </c>
      <c r="H27" s="15"/>
      <c r="I27" s="15"/>
      <c r="J27" s="15"/>
      <c r="K27" s="6" t="s">
        <v>55</v>
      </c>
      <c r="L27" s="18">
        <f>6984</f>
        <v>6984</v>
      </c>
      <c r="M27" s="18"/>
      <c r="N27" s="18"/>
      <c r="O27" s="18"/>
      <c r="P27" s="19" t="s">
        <v>63</v>
      </c>
    </row>
    <row r="28" spans="2:16" ht="57.75">
      <c r="B28" s="13" t="s">
        <v>64</v>
      </c>
      <c r="C28" s="5">
        <v>12600</v>
      </c>
      <c r="D28" s="15"/>
      <c r="E28" s="15"/>
      <c r="F28" s="14"/>
      <c r="G28" s="5">
        <f>'[3]Budget-Existing_RPP'!P41</f>
        <v>7200</v>
      </c>
      <c r="H28" s="15"/>
      <c r="I28" s="15"/>
      <c r="J28" s="15"/>
      <c r="K28" s="6" t="s">
        <v>55</v>
      </c>
      <c r="L28" s="18">
        <f>$G28</f>
        <v>7200</v>
      </c>
      <c r="M28" s="18"/>
      <c r="N28" s="18"/>
      <c r="O28" s="18"/>
      <c r="P28" s="19" t="s">
        <v>65</v>
      </c>
    </row>
    <row r="29" spans="2:16" ht="43.5">
      <c r="B29" s="13" t="s">
        <v>66</v>
      </c>
      <c r="C29" s="5">
        <v>3000</v>
      </c>
      <c r="D29" s="15"/>
      <c r="E29" s="15"/>
      <c r="F29" s="14"/>
      <c r="G29" s="5">
        <f>'[3]Budget-Existing_RPP'!P42</f>
        <v>9600</v>
      </c>
      <c r="H29" s="15"/>
      <c r="I29" s="15"/>
      <c r="J29" s="15"/>
      <c r="K29" s="6" t="s">
        <v>41</v>
      </c>
      <c r="L29" s="18">
        <f>$G29</f>
        <v>9600</v>
      </c>
      <c r="M29" s="18"/>
      <c r="N29" s="18"/>
      <c r="O29" s="18"/>
      <c r="P29" s="19" t="s">
        <v>67</v>
      </c>
    </row>
    <row r="30" spans="2:16" ht="43.5">
      <c r="B30" s="13" t="s">
        <v>68</v>
      </c>
      <c r="C30" s="5">
        <v>1200</v>
      </c>
      <c r="D30" s="15"/>
      <c r="E30" s="15"/>
      <c r="F30" s="14"/>
      <c r="G30" s="5">
        <f>'[3]Budget-Existing_RPP'!P43</f>
        <v>2500</v>
      </c>
      <c r="H30" s="15"/>
      <c r="I30" s="15"/>
      <c r="J30" s="15"/>
      <c r="K30" s="6" t="s">
        <v>41</v>
      </c>
      <c r="L30" s="18">
        <f>500*6</f>
        <v>3000</v>
      </c>
      <c r="M30" s="18"/>
      <c r="N30" s="18"/>
      <c r="O30" s="18"/>
      <c r="P30" s="19" t="s">
        <v>69</v>
      </c>
    </row>
    <row r="31" spans="2:16" ht="29.25">
      <c r="B31" s="13" t="s">
        <v>70</v>
      </c>
      <c r="C31" s="5">
        <v>1800</v>
      </c>
      <c r="D31" s="15"/>
      <c r="E31" s="15"/>
      <c r="F31" s="14"/>
      <c r="G31" s="15"/>
      <c r="H31" s="15"/>
      <c r="I31" s="15"/>
      <c r="J31" s="15"/>
      <c r="K31" s="6" t="s">
        <v>55</v>
      </c>
      <c r="L31" s="18">
        <f>$C31</f>
        <v>1800</v>
      </c>
      <c r="M31" s="18"/>
      <c r="N31" s="18"/>
      <c r="O31" s="18"/>
      <c r="P31" s="19" t="s">
        <v>71</v>
      </c>
    </row>
    <row r="32" spans="2:16" ht="43.5">
      <c r="B32" s="13" t="s">
        <v>72</v>
      </c>
      <c r="D32" s="5">
        <v>25200</v>
      </c>
      <c r="E32" s="5">
        <v>8400</v>
      </c>
      <c r="F32" s="20">
        <v>2400</v>
      </c>
      <c r="G32" s="5">
        <f>'[3]Budget-Existing_RPP'!P32+'[3]Budget-Existing_RPP'!P33</f>
        <v>12000</v>
      </c>
      <c r="H32" s="15"/>
      <c r="I32" s="15"/>
      <c r="J32" s="15"/>
      <c r="K32" s="6" t="s">
        <v>41</v>
      </c>
      <c r="L32" s="18"/>
      <c r="M32" s="18">
        <f>$D32</f>
        <v>25200</v>
      </c>
      <c r="N32" s="18">
        <f>$E32</f>
        <v>8400</v>
      </c>
      <c r="O32" s="18">
        <f>$F32</f>
        <v>2400</v>
      </c>
      <c r="P32" s="19" t="s">
        <v>73</v>
      </c>
    </row>
    <row r="33" spans="2:16" ht="29.25">
      <c r="B33" s="13" t="s">
        <v>74</v>
      </c>
      <c r="C33" s="5">
        <v>300</v>
      </c>
      <c r="D33" s="15"/>
      <c r="E33" s="15"/>
      <c r="F33" s="14"/>
      <c r="G33" s="15"/>
      <c r="H33" s="15"/>
      <c r="I33" s="15"/>
      <c r="J33" s="15"/>
      <c r="K33" s="6" t="s">
        <v>41</v>
      </c>
      <c r="L33" s="18">
        <f>$C33</f>
        <v>300</v>
      </c>
      <c r="M33" s="18"/>
      <c r="N33" s="18"/>
      <c r="O33" s="18"/>
      <c r="P33" s="19" t="s">
        <v>75</v>
      </c>
    </row>
    <row r="34" spans="2:16" ht="29.25">
      <c r="B34" s="13" t="s">
        <v>76</v>
      </c>
      <c r="C34" s="5">
        <v>264</v>
      </c>
      <c r="D34" s="15"/>
      <c r="E34" s="15"/>
      <c r="F34" s="14"/>
      <c r="G34" s="15"/>
      <c r="H34" s="15"/>
      <c r="I34" s="15"/>
      <c r="J34" s="15"/>
      <c r="K34" s="6" t="s">
        <v>41</v>
      </c>
      <c r="L34" s="18">
        <f>$C34</f>
        <v>264</v>
      </c>
      <c r="M34" s="18"/>
      <c r="N34" s="18"/>
      <c r="O34" s="18"/>
      <c r="P34" s="19" t="s">
        <v>77</v>
      </c>
    </row>
    <row r="35" spans="2:16" ht="29.25">
      <c r="B35" s="13" t="s">
        <v>78</v>
      </c>
      <c r="C35" s="5">
        <v>10200</v>
      </c>
      <c r="D35" s="15"/>
      <c r="E35" s="15"/>
      <c r="F35" s="14"/>
      <c r="G35" s="5">
        <f>'[3]Budget-Existing_RPP'!P35</f>
        <v>14400</v>
      </c>
      <c r="H35" s="15"/>
      <c r="I35" s="15"/>
      <c r="J35" s="15"/>
      <c r="K35" s="6" t="s">
        <v>55</v>
      </c>
      <c r="L35" s="18"/>
      <c r="M35" s="18">
        <f>$G35</f>
        <v>14400</v>
      </c>
      <c r="N35" s="18">
        <f>$G35*4/5</f>
        <v>11520</v>
      </c>
      <c r="O35" s="18">
        <f>$G35*3/5</f>
        <v>8640</v>
      </c>
      <c r="P35" s="19" t="s">
        <v>79</v>
      </c>
    </row>
    <row r="36" spans="2:16" ht="43.5">
      <c r="B36" s="13" t="s">
        <v>80</v>
      </c>
      <c r="D36" s="5">
        <v>79200</v>
      </c>
      <c r="E36" s="5">
        <v>63360</v>
      </c>
      <c r="F36" s="20">
        <v>47520</v>
      </c>
      <c r="G36" s="5">
        <f>'[3]Budget-Existing_RPP'!P20</f>
        <v>15223.999999999998</v>
      </c>
      <c r="H36" s="15"/>
      <c r="I36" s="15"/>
      <c r="J36" s="15"/>
      <c r="K36" s="6" t="s">
        <v>55</v>
      </c>
      <c r="L36" s="18"/>
      <c r="M36" s="18">
        <f>$G36</f>
        <v>15223.999999999998</v>
      </c>
      <c r="N36" s="18">
        <f>$G36*4/5</f>
        <v>12179.199999999999</v>
      </c>
      <c r="O36" s="18">
        <f>$G36*3/5</f>
        <v>9134.3999999999978</v>
      </c>
      <c r="P36" s="19" t="s">
        <v>81</v>
      </c>
    </row>
    <row r="37" spans="2:16" ht="57.75">
      <c r="B37" s="13" t="s">
        <v>82</v>
      </c>
      <c r="C37" s="5">
        <v>9504</v>
      </c>
      <c r="D37" s="15"/>
      <c r="E37" s="15"/>
      <c r="F37" s="14"/>
      <c r="G37" s="5">
        <f>'[3]Budget-Existing_RPP'!P19</f>
        <v>21968.977306059343</v>
      </c>
      <c r="H37" s="15"/>
      <c r="I37" s="15"/>
      <c r="J37" s="15"/>
      <c r="K37" s="6" t="s">
        <v>55</v>
      </c>
      <c r="L37" s="18">
        <f>SUM($C$56:$C$63)*3%</f>
        <v>46307.658000000003</v>
      </c>
      <c r="M37" s="18">
        <f>(M56-$O56)*3%</f>
        <v>10943.43</v>
      </c>
      <c r="N37" s="18">
        <f>(N56-$O56)*3%</f>
        <v>7258.98</v>
      </c>
      <c r="O37" s="18"/>
      <c r="P37" s="19" t="s">
        <v>83</v>
      </c>
    </row>
    <row r="38" spans="2:16">
      <c r="B38" s="13" t="s">
        <v>84</v>
      </c>
      <c r="D38" s="5">
        <v>213727</v>
      </c>
      <c r="E38" s="5">
        <v>150294</v>
      </c>
      <c r="F38" s="20">
        <v>155855</v>
      </c>
      <c r="G38" s="5">
        <f>'[3]Budget-Existing_RPP'!P24+'[3]Budget-Existing_RPP'!P29+'[3]Budget-Existing_RPP'!P30+'[3]Budget-Existing_RPP'!P26</f>
        <v>40713.409727620368</v>
      </c>
      <c r="H38" s="15"/>
      <c r="I38" s="15"/>
      <c r="J38" s="15"/>
      <c r="K38" s="6" t="s">
        <v>26</v>
      </c>
      <c r="L38" s="18"/>
      <c r="M38" s="18"/>
      <c r="N38" s="18"/>
      <c r="O38" s="18"/>
      <c r="P38" s="19"/>
    </row>
    <row r="39" spans="2:16">
      <c r="B39" s="13" t="s">
        <v>85</v>
      </c>
      <c r="C39" s="5">
        <v>6600</v>
      </c>
      <c r="D39" s="15"/>
      <c r="E39" s="15"/>
      <c r="F39" s="14"/>
      <c r="G39" s="15"/>
      <c r="H39" s="15"/>
      <c r="I39" s="15"/>
      <c r="J39" s="15"/>
      <c r="K39" s="6" t="s">
        <v>26</v>
      </c>
      <c r="L39" s="18"/>
      <c r="M39" s="18"/>
      <c r="N39" s="18"/>
      <c r="O39" s="18"/>
      <c r="P39" s="19"/>
    </row>
    <row r="40" spans="2:16">
      <c r="B40" s="13" t="s">
        <v>86</v>
      </c>
      <c r="C40" s="5">
        <v>30000</v>
      </c>
      <c r="D40" s="15"/>
      <c r="E40" s="15"/>
      <c r="F40" s="14"/>
      <c r="G40" s="15"/>
      <c r="H40" s="15"/>
      <c r="I40" s="15"/>
      <c r="J40" s="15"/>
      <c r="K40" s="6" t="s">
        <v>26</v>
      </c>
      <c r="L40" s="18"/>
      <c r="M40" s="18"/>
      <c r="N40" s="18"/>
      <c r="O40" s="18"/>
      <c r="P40" s="19"/>
    </row>
    <row r="41" spans="2:16">
      <c r="B41" s="13" t="s">
        <v>87</v>
      </c>
      <c r="D41" s="5">
        <v>11400</v>
      </c>
      <c r="E41" s="5">
        <v>10200</v>
      </c>
      <c r="F41" s="20">
        <v>9000</v>
      </c>
      <c r="G41" s="15"/>
      <c r="H41" s="15"/>
      <c r="I41" s="15"/>
      <c r="J41" s="15"/>
      <c r="K41" s="6" t="s">
        <v>26</v>
      </c>
      <c r="L41" s="18"/>
      <c r="M41" s="18"/>
      <c r="N41" s="18"/>
      <c r="O41" s="18"/>
      <c r="P41" s="19"/>
    </row>
    <row r="42" spans="2:16">
      <c r="B42" s="13" t="s">
        <v>88</v>
      </c>
      <c r="D42" s="5">
        <v>84000</v>
      </c>
      <c r="E42" s="5">
        <v>72000</v>
      </c>
      <c r="F42" s="20">
        <v>60000</v>
      </c>
      <c r="G42" s="5">
        <f>'[3]Budget-Existing_RPP'!P16</f>
        <v>42000</v>
      </c>
      <c r="H42" s="15"/>
      <c r="I42" s="15"/>
      <c r="J42" s="15"/>
      <c r="K42" s="6" t="s">
        <v>26</v>
      </c>
      <c r="L42" s="18"/>
      <c r="M42" s="18"/>
      <c r="N42" s="18"/>
      <c r="O42" s="18"/>
      <c r="P42" s="19"/>
    </row>
    <row r="43" spans="2:16" ht="105">
      <c r="B43" s="16" t="s">
        <v>18</v>
      </c>
      <c r="C43" s="17"/>
      <c r="D43" s="5">
        <v>1525928</v>
      </c>
      <c r="E43" s="5">
        <v>1243177</v>
      </c>
      <c r="F43" s="5">
        <v>1073844</v>
      </c>
      <c r="G43" s="5">
        <f>'[3]Budget-Existing_RPP'!P53</f>
        <v>848926.0208413708</v>
      </c>
      <c r="H43" s="15"/>
      <c r="I43" s="15"/>
      <c r="J43" s="15"/>
      <c r="K43" s="6" t="s">
        <v>39</v>
      </c>
      <c r="L43" s="21">
        <f>SUM(L18:L37)</f>
        <v>103406.658</v>
      </c>
      <c r="M43" s="21">
        <f>$L43+SUM(M18:M37)</f>
        <v>311417.78399999999</v>
      </c>
      <c r="N43" s="21">
        <f>$L43+SUM(N18:N37)</f>
        <v>260016.38400000002</v>
      </c>
      <c r="O43" s="21">
        <f>$L43+SUM(O18:O37)</f>
        <v>227988.94399999999</v>
      </c>
      <c r="P43" s="22" t="s">
        <v>89</v>
      </c>
    </row>
    <row r="44" spans="2:16">
      <c r="B44" s="16" t="s">
        <v>90</v>
      </c>
      <c r="C44" s="17">
        <f>C43*1.2%</f>
        <v>0</v>
      </c>
      <c r="D44" s="5">
        <v>18311</v>
      </c>
      <c r="E44" s="5">
        <v>14918</v>
      </c>
      <c r="F44" s="5">
        <v>12886</v>
      </c>
      <c r="G44" s="15"/>
      <c r="H44" s="15"/>
      <c r="I44" s="15"/>
      <c r="J44" s="15"/>
      <c r="K44" s="6" t="s">
        <v>39</v>
      </c>
      <c r="L44" s="21"/>
      <c r="M44" s="21"/>
      <c r="N44" s="21"/>
      <c r="O44" s="21"/>
      <c r="P44" s="22" t="s">
        <v>91</v>
      </c>
    </row>
    <row r="45" spans="2:16" ht="45">
      <c r="B45" s="16" t="s">
        <v>92</v>
      </c>
      <c r="C45" s="17">
        <f>C43+C44</f>
        <v>0</v>
      </c>
      <c r="D45" s="5">
        <v>1544239</v>
      </c>
      <c r="E45" s="5">
        <v>1258095</v>
      </c>
      <c r="F45" s="5">
        <v>1086730</v>
      </c>
      <c r="G45" s="5">
        <f>SUM(G5:G44)</f>
        <v>1674744.0416827416</v>
      </c>
      <c r="K45" s="6" t="s">
        <v>39</v>
      </c>
      <c r="L45" s="21"/>
      <c r="M45" s="21">
        <f>$M43+$M56</f>
        <v>2219787.3840000001</v>
      </c>
      <c r="N45" s="21">
        <f>$N43+$N56</f>
        <v>2045570.9840000002</v>
      </c>
      <c r="O45" s="21">
        <f>$O43+$O56</f>
        <v>1771577.544</v>
      </c>
      <c r="P45" s="22" t="s">
        <v>118</v>
      </c>
    </row>
    <row r="46" spans="2:16">
      <c r="B46" s="16"/>
      <c r="C46" s="17"/>
    </row>
    <row r="47" spans="2:16">
      <c r="B47" s="7" t="s">
        <v>94</v>
      </c>
      <c r="C47" s="8" t="s">
        <v>19</v>
      </c>
      <c r="D47" s="8" t="s">
        <v>20</v>
      </c>
      <c r="E47" s="8" t="s">
        <v>21</v>
      </c>
      <c r="F47" s="9" t="s">
        <v>22</v>
      </c>
      <c r="G47" s="10" t="s">
        <v>19</v>
      </c>
      <c r="H47" s="10" t="s">
        <v>20</v>
      </c>
      <c r="I47" s="10" t="s">
        <v>21</v>
      </c>
      <c r="J47" s="11" t="s">
        <v>22</v>
      </c>
      <c r="K47" s="12" t="s">
        <v>95</v>
      </c>
      <c r="L47" s="10" t="s">
        <v>19</v>
      </c>
      <c r="M47" s="10" t="s">
        <v>20</v>
      </c>
      <c r="N47" s="10" t="s">
        <v>21</v>
      </c>
      <c r="O47" s="11" t="s">
        <v>22</v>
      </c>
      <c r="P47" s="23" t="s">
        <v>24</v>
      </c>
    </row>
    <row r="48" spans="2:16" ht="114.75">
      <c r="B48" s="6" t="s">
        <v>96</v>
      </c>
      <c r="D48" s="5">
        <v>575690</v>
      </c>
      <c r="E48" s="5">
        <v>355800</v>
      </c>
      <c r="F48" s="5">
        <v>406760</v>
      </c>
      <c r="H48" s="5">
        <v>250608</v>
      </c>
      <c r="I48" s="5">
        <v>142860</v>
      </c>
      <c r="J48" s="5">
        <v>130020</v>
      </c>
      <c r="K48" s="6" t="s">
        <v>41</v>
      </c>
      <c r="L48" s="24"/>
      <c r="M48" s="24">
        <f>SUM('[3]Technology Scenarios Total'!F124:F131)</f>
        <v>982892.19</v>
      </c>
      <c r="N48" s="24">
        <f>SUM('[3]Technology Scenarios Total'!F203:F210)</f>
        <v>560330.11</v>
      </c>
      <c r="O48" s="24">
        <f>SUM('[3]Technology Scenarios Total'!F6:F11)</f>
        <v>509946.88</v>
      </c>
      <c r="P48" s="25" t="s">
        <v>119</v>
      </c>
    </row>
    <row r="49" spans="2:16" ht="143.25">
      <c r="B49" s="6" t="s">
        <v>97</v>
      </c>
      <c r="D49" s="5">
        <v>83220</v>
      </c>
      <c r="E49" s="5">
        <v>83220</v>
      </c>
      <c r="F49" s="5">
        <v>83220</v>
      </c>
      <c r="G49" s="26"/>
      <c r="H49" s="15"/>
      <c r="I49" s="15"/>
      <c r="J49" s="15"/>
      <c r="K49" s="6" t="s">
        <v>55</v>
      </c>
      <c r="L49" s="24">
        <f>SUM('[3]Technology Scenarios Total'!F32:F35)</f>
        <v>62474.45</v>
      </c>
      <c r="M49" s="24"/>
      <c r="N49" s="24"/>
      <c r="O49" s="24"/>
      <c r="P49" s="25" t="s">
        <v>98</v>
      </c>
    </row>
    <row r="50" spans="2:16" ht="43.5">
      <c r="B50" s="6" t="s">
        <v>99</v>
      </c>
      <c r="D50" s="5">
        <v>144500</v>
      </c>
      <c r="E50" s="5">
        <v>115600</v>
      </c>
      <c r="F50" s="5">
        <v>86451</v>
      </c>
      <c r="G50" s="26"/>
      <c r="H50" s="15"/>
      <c r="I50" s="15"/>
      <c r="J50" s="15"/>
      <c r="K50" s="6" t="s">
        <v>55</v>
      </c>
      <c r="L50" s="24"/>
      <c r="M50" s="24">
        <f>$D50</f>
        <v>144500</v>
      </c>
      <c r="N50" s="24">
        <f>$E50</f>
        <v>115600</v>
      </c>
      <c r="O50" s="24">
        <f>$F50</f>
        <v>86451</v>
      </c>
      <c r="P50" s="25" t="s">
        <v>100</v>
      </c>
    </row>
    <row r="51" spans="2:16" ht="86.25">
      <c r="B51" s="6" t="s">
        <v>101</v>
      </c>
      <c r="D51" s="5">
        <v>34850</v>
      </c>
      <c r="E51" s="5">
        <v>34850</v>
      </c>
      <c r="F51" s="5">
        <v>34850</v>
      </c>
      <c r="G51" s="26"/>
      <c r="H51" s="15"/>
      <c r="I51" s="15"/>
      <c r="J51" s="15"/>
      <c r="K51" s="6" t="s">
        <v>55</v>
      </c>
      <c r="L51" s="24">
        <f>SUM('[3]Technology Scenarios Total'!F23:F25)</f>
        <v>40789</v>
      </c>
      <c r="M51" s="24"/>
      <c r="N51" s="24"/>
      <c r="O51" s="24"/>
      <c r="P51" s="25" t="s">
        <v>102</v>
      </c>
    </row>
    <row r="52" spans="2:16" ht="72">
      <c r="B52" s="6" t="s">
        <v>120</v>
      </c>
      <c r="G52" s="26"/>
      <c r="H52" s="15"/>
      <c r="I52" s="15"/>
      <c r="J52" s="15"/>
      <c r="K52" s="6" t="s">
        <v>41</v>
      </c>
      <c r="L52" s="24">
        <f>'[3]Technology Scenarios Total'!F29</f>
        <v>10000</v>
      </c>
      <c r="M52" s="24"/>
      <c r="N52" s="24"/>
      <c r="O52" s="24"/>
      <c r="P52" s="25" t="s">
        <v>121</v>
      </c>
    </row>
    <row r="53" spans="2:16" ht="105">
      <c r="B53" s="27" t="s">
        <v>103</v>
      </c>
      <c r="C53" s="28"/>
      <c r="D53" s="28"/>
      <c r="E53" s="28"/>
      <c r="F53" s="28"/>
      <c r="G53" s="28"/>
      <c r="H53" s="28"/>
      <c r="I53" s="28"/>
      <c r="J53" s="28"/>
      <c r="K53" s="27" t="s">
        <v>104</v>
      </c>
      <c r="L53" s="29">
        <f>SUM(L48:L52)</f>
        <v>113263.45</v>
      </c>
      <c r="M53" s="29">
        <f>$L53+SUM(M48:M52)</f>
        <v>1240655.6399999999</v>
      </c>
      <c r="N53" s="29">
        <f>$L53+SUM(N48:N52)</f>
        <v>789193.55999999994</v>
      </c>
      <c r="O53" s="29">
        <f>$L53+SUM(O48:O52)</f>
        <v>709661.33</v>
      </c>
      <c r="P53" s="30" t="s">
        <v>122</v>
      </c>
    </row>
    <row r="54" spans="2:16">
      <c r="P54" s="25"/>
    </row>
    <row r="55" spans="2:16">
      <c r="B55" s="7" t="s">
        <v>105</v>
      </c>
      <c r="C55" s="7" t="s">
        <v>106</v>
      </c>
      <c r="K55" s="12" t="s">
        <v>107</v>
      </c>
      <c r="L55" s="10" t="s">
        <v>19</v>
      </c>
      <c r="M55" s="10" t="s">
        <v>20</v>
      </c>
      <c r="N55" s="10" t="s">
        <v>21</v>
      </c>
      <c r="O55" s="11" t="s">
        <v>22</v>
      </c>
      <c r="P55" s="23" t="s">
        <v>24</v>
      </c>
    </row>
    <row r="56" spans="2:16" ht="100.5">
      <c r="B56" s="31" t="s">
        <v>108</v>
      </c>
      <c r="C56" s="32">
        <v>208147</v>
      </c>
      <c r="K56" s="6" t="s">
        <v>109</v>
      </c>
      <c r="M56" s="18">
        <f>SUM($C$56:$C$59,$C$62:$C$63)+6*($C$60/4)+2*$C$61</f>
        <v>1908369.6</v>
      </c>
      <c r="N56" s="18">
        <f>SUM($C$56:$C$59,$C$62:$C$63)+5*($C$60/4)+2*$C$61</f>
        <v>1785554.6</v>
      </c>
      <c r="O56" s="18">
        <f>SUM($C$56:$C$59,$C$62:$C$63)+$C$60+$C$61</f>
        <v>1543588.6</v>
      </c>
      <c r="P56" s="19" t="s">
        <v>123</v>
      </c>
    </row>
    <row r="57" spans="2:16">
      <c r="B57" s="31" t="s">
        <v>111</v>
      </c>
      <c r="C57" s="32">
        <v>164139</v>
      </c>
      <c r="K57" s="46" t="s">
        <v>41</v>
      </c>
      <c r="L57" s="46"/>
      <c r="M57" s="45">
        <f>M$56*'[3]Budget-Existing_RPP'!$V$4/SUM('[3]Budget-Existing_RPP'!$V$4:$W$4)</f>
        <v>676758.97053396713</v>
      </c>
      <c r="N57" s="45">
        <f>N$56*'[3]Budget-Existing_RPP'!$V$4/SUM('[3]Budget-Existing_RPP'!$V$4:$W$4)</f>
        <v>633205.48227565014</v>
      </c>
      <c r="O57" s="45">
        <f>O$56*'[3]Budget-Existing_RPP'!$V$4/SUM('[3]Budget-Existing_RPP'!$V$4:$W$4)</f>
        <v>547397.85828906915</v>
      </c>
      <c r="P57" s="44" t="s">
        <v>124</v>
      </c>
    </row>
    <row r="58" spans="2:16">
      <c r="B58" s="31" t="s">
        <v>112</v>
      </c>
      <c r="C58" s="32">
        <f>49.34*20*52</f>
        <v>51313.600000000006</v>
      </c>
      <c r="K58" s="43" t="s">
        <v>55</v>
      </c>
      <c r="L58" s="43"/>
      <c r="M58" s="42">
        <f>M$56*'[3]Budget-Existing_RPP'!$W$4/SUM('[3]Budget-Existing_RPP'!$V$4:$W$4)</f>
        <v>1231610.6294660328</v>
      </c>
      <c r="N58" s="42">
        <f>N$56*'[3]Budget-Existing_RPP'!$W$4/SUM('[3]Budget-Existing_RPP'!$V$4:$W$4)</f>
        <v>1152349.11772435</v>
      </c>
      <c r="O58" s="42">
        <f>O$56*'[3]Budget-Existing_RPP'!$W$4/SUM('[3]Budget-Existing_RPP'!$V$4:$W$4)</f>
        <v>996190.74171093095</v>
      </c>
      <c r="P58" s="41" t="s">
        <v>124</v>
      </c>
    </row>
    <row r="59" spans="2:16">
      <c r="B59" s="31" t="s">
        <v>113</v>
      </c>
      <c r="C59" s="32">
        <v>186465</v>
      </c>
      <c r="M59" s="24"/>
      <c r="N59" s="24"/>
      <c r="O59" s="24"/>
      <c r="P59" s="25"/>
    </row>
    <row r="60" spans="2:16">
      <c r="B60" s="31" t="s">
        <v>114</v>
      </c>
      <c r="C60" s="32">
        <f>122815*4</f>
        <v>491260</v>
      </c>
    </row>
    <row r="61" spans="2:16">
      <c r="B61" s="31" t="s">
        <v>115</v>
      </c>
      <c r="C61" s="32">
        <v>119151</v>
      </c>
    </row>
    <row r="62" spans="2:16">
      <c r="B62" s="31" t="s">
        <v>116</v>
      </c>
      <c r="C62" s="32">
        <v>203962</v>
      </c>
      <c r="M62" s="24"/>
      <c r="N62" s="24"/>
      <c r="O62" s="24"/>
      <c r="P62" s="25"/>
    </row>
    <row r="63" spans="2:16">
      <c r="B63" s="40" t="s">
        <v>117</v>
      </c>
      <c r="C63" s="39">
        <v>119151</v>
      </c>
      <c r="M63" s="24"/>
      <c r="N63" s="24"/>
      <c r="O63" s="24"/>
      <c r="P63" s="25"/>
    </row>
    <row r="64" spans="2:16">
      <c r="B64" s="38" t="s">
        <v>126</v>
      </c>
      <c r="C64" s="37"/>
      <c r="D64" s="37"/>
      <c r="E64" s="37"/>
      <c r="F64" s="37"/>
      <c r="G64" s="37"/>
      <c r="H64" s="37"/>
      <c r="I64" s="37"/>
      <c r="J64" s="37"/>
    </row>
    <row r="65" spans="2:10">
      <c r="B65" s="36" t="s">
        <v>125</v>
      </c>
      <c r="C65" s="35"/>
      <c r="D65" s="35"/>
      <c r="E65" s="35"/>
      <c r="F65" s="35"/>
      <c r="G65" s="35"/>
      <c r="H65" s="35"/>
      <c r="I65" s="35"/>
      <c r="J65" s="35"/>
    </row>
  </sheetData>
  <mergeCells count="4">
    <mergeCell ref="B2:C2"/>
    <mergeCell ref="C3:F3"/>
    <mergeCell ref="G3:J3"/>
    <mergeCell ref="K3:N3"/>
  </mergeCells>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Inhouse Costs Summary Sheet</vt:lpstr>
      <vt:lpstr>Expanded RPP - KH Inhouse</vt:lpstr>
      <vt:lpstr>Existing RPP - KH Inhouse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 Eugene</dc:creator>
  <cp:lastModifiedBy>Callaway, Haley</cp:lastModifiedBy>
  <dcterms:created xsi:type="dcterms:W3CDTF">2015-06-05T18:17:20Z</dcterms:created>
  <dcterms:modified xsi:type="dcterms:W3CDTF">2026-10-21T16:24:42Z</dcterms:modified>
</cp:coreProperties>
</file>