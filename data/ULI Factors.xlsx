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ene.Jung\Desktop\Millbrae Financial Model Dashboard\data\"/>
    </mc:Choice>
  </mc:AlternateContent>
  <xr:revisionPtr revIDLastSave="0" documentId="13_ncr:1_{5871F444-2EB0-4AA9-A1EB-8BB5954483E5}" xr6:coauthVersionLast="47" xr6:coauthVersionMax="47" xr10:uidLastSave="{00000000-0000-0000-0000-000000000000}"/>
  <bookViews>
    <workbookView xWindow="-28920" yWindow="30" windowWidth="29040" windowHeight="15720" activeTab="1" xr2:uid="{3E6150AA-CA25-4EA5-B639-9F664D2D8EDA}"/>
  </bookViews>
  <sheets>
    <sheet name="Monthly Adjustments" sheetId="1" r:id="rId1"/>
    <sheet name="TOD Adjustments" sheetId="4" r:id="rId2"/>
    <sheet name="Weekday Raw TOD data" sheetId="3" r:id="rId3"/>
    <sheet name="Weekend Raw TOD data" sheetId="5" r:id="rId4"/>
    <sheet name="Raw Monthly Data" sheetId="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6" i="5" l="1"/>
  <c r="Y15" i="5"/>
  <c r="Y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Y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W12" i="5"/>
  <c r="Y11" i="5"/>
  <c r="Y10" i="5"/>
  <c r="Y9" i="5"/>
  <c r="Y8" i="5"/>
  <c r="W7" i="5"/>
  <c r="Y6" i="5"/>
  <c r="Y5" i="5"/>
  <c r="W4" i="5"/>
  <c r="U20" i="5" l="1" a="1"/>
  <c r="U20" i="5" s="1"/>
  <c r="K20" i="5" a="1"/>
  <c r="K20" i="5" s="1"/>
  <c r="L20" i="5" a="1"/>
  <c r="L20" i="5" s="1"/>
  <c r="M20" i="5" a="1"/>
  <c r="M20" i="5" s="1"/>
  <c r="N20" i="5" a="1"/>
  <c r="N20" i="5" s="1"/>
  <c r="O20" i="5" a="1"/>
  <c r="O20" i="5" s="1"/>
  <c r="E20" i="5" a="1"/>
  <c r="E20" i="5" s="1"/>
  <c r="F20" i="5" a="1"/>
  <c r="F20" i="5" s="1"/>
  <c r="R20" i="5" a="1"/>
  <c r="R20" i="5" s="1"/>
  <c r="S20" i="5" a="1"/>
  <c r="S20" i="5" s="1"/>
  <c r="D20" i="5" a="1"/>
  <c r="D20" i="5" s="1"/>
  <c r="P20" i="5" a="1"/>
  <c r="P20" i="5" s="1"/>
  <c r="Q20" i="5" a="1"/>
  <c r="Q20" i="5" s="1"/>
  <c r="T20" i="5" a="1"/>
  <c r="T20" i="5" s="1"/>
  <c r="C20" i="5" a="1"/>
  <c r="C20" i="5" s="1"/>
  <c r="G20" i="5" a="1"/>
  <c r="G20" i="5" s="1"/>
  <c r="H20" i="5" a="1"/>
  <c r="H20" i="5" s="1"/>
  <c r="I20" i="5" a="1"/>
  <c r="I20" i="5" s="1"/>
  <c r="J20" i="5" a="1"/>
  <c r="J20" i="5" s="1"/>
  <c r="D7" i="4" l="1" a="1"/>
  <c r="Y14" i="3"/>
  <c r="Y13" i="3"/>
  <c r="W12" i="3"/>
  <c r="Y11" i="3"/>
  <c r="Y10" i="3"/>
  <c r="Y9" i="3"/>
  <c r="Y8" i="3"/>
  <c r="W7" i="3"/>
  <c r="Y6" i="3"/>
  <c r="Y5" i="3"/>
  <c r="S20" i="3" s="1" a="1"/>
  <c r="S20" i="3" s="1"/>
  <c r="W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C14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C13" i="3"/>
  <c r="Y16" i="3"/>
  <c r="Y15" i="3"/>
  <c r="V14" i="2"/>
  <c r="V13" i="2"/>
  <c r="T12" i="2"/>
  <c r="V11" i="2"/>
  <c r="V10" i="2"/>
  <c r="V9" i="2"/>
  <c r="V8" i="2"/>
  <c r="P15" i="2" s="1" a="1"/>
  <c r="P15" i="2" s="1"/>
  <c r="T7" i="2"/>
  <c r="V6" i="2"/>
  <c r="V5" i="2"/>
  <c r="T4" i="2"/>
  <c r="Y5" i="2"/>
  <c r="Y4" i="2" s="1"/>
  <c r="G15" i="2" l="1" a="1"/>
  <c r="G15" i="2" s="1"/>
  <c r="Q20" i="3" a="1"/>
  <c r="Q20" i="3" s="1"/>
  <c r="D7" i="4"/>
  <c r="E25" i="4"/>
  <c r="E11" i="4"/>
  <c r="E8" i="4"/>
  <c r="E9" i="4"/>
  <c r="E10" i="4"/>
  <c r="E12" i="4"/>
  <c r="E14" i="4"/>
  <c r="E15" i="4"/>
  <c r="E16" i="4"/>
  <c r="E17" i="4"/>
  <c r="E18" i="4"/>
  <c r="E19" i="4"/>
  <c r="E20" i="4"/>
  <c r="E23" i="4"/>
  <c r="E24" i="4"/>
  <c r="E13" i="4"/>
  <c r="E21" i="4"/>
  <c r="E22" i="4"/>
  <c r="Q15" i="2" a="1"/>
  <c r="Q15" i="2" s="1"/>
  <c r="M20" i="3" a="1"/>
  <c r="M20" i="3" s="1"/>
  <c r="J20" i="3" a="1"/>
  <c r="J20" i="3" s="1"/>
  <c r="I20" i="3" a="1"/>
  <c r="I20" i="3" s="1"/>
  <c r="P20" i="3" a="1"/>
  <c r="P20" i="3" s="1"/>
  <c r="F15" i="2" a="1"/>
  <c r="F15" i="2" s="1"/>
  <c r="N15" i="2" a="1"/>
  <c r="N15" i="2" s="1"/>
  <c r="M15" i="2" a="1"/>
  <c r="M15" i="2" s="1"/>
  <c r="J15" i="2" a="1"/>
  <c r="J15" i="2" s="1"/>
  <c r="H15" i="2" a="1"/>
  <c r="H15" i="2" s="1"/>
  <c r="T20" i="3" a="1"/>
  <c r="T20" i="3" s="1"/>
  <c r="F20" i="3" a="1"/>
  <c r="F20" i="3" s="1"/>
  <c r="N20" i="3" a="1"/>
  <c r="N20" i="3" s="1"/>
  <c r="K15" i="2" a="1"/>
  <c r="K15" i="2" s="1"/>
  <c r="C20" i="3" a="1"/>
  <c r="C20" i="3" s="1"/>
  <c r="G20" i="3" a="1"/>
  <c r="G20" i="3" s="1"/>
  <c r="E20" i="3" a="1"/>
  <c r="E20" i="3" s="1"/>
  <c r="R15" i="2" a="1"/>
  <c r="R15" i="2" s="1"/>
  <c r="O20" i="3" a="1"/>
  <c r="O20" i="3" s="1"/>
  <c r="O15" i="2" a="1"/>
  <c r="O15" i="2" s="1"/>
  <c r="L20" i="3" a="1"/>
  <c r="L20" i="3" s="1"/>
  <c r="L15" i="2" a="1"/>
  <c r="L15" i="2" s="1"/>
  <c r="I15" i="2" a="1"/>
  <c r="I15" i="2" s="1"/>
  <c r="U20" i="3" a="1"/>
  <c r="U20" i="3" s="1"/>
  <c r="D20" i="3" a="1"/>
  <c r="D20" i="3" s="1"/>
  <c r="R20" i="3" a="1"/>
  <c r="R20" i="3" s="1"/>
  <c r="K20" i="3" a="1"/>
  <c r="K20" i="3" s="1"/>
  <c r="H20" i="3" a="1"/>
  <c r="H20" i="3" s="1"/>
  <c r="C13" i="1"/>
  <c r="C12" i="1"/>
  <c r="C11" i="1"/>
  <c r="C10" i="1"/>
  <c r="C9" i="1"/>
  <c r="C8" i="1"/>
  <c r="C7" i="1"/>
  <c r="C6" i="1"/>
  <c r="C5" i="1"/>
  <c r="D5" i="1" s="1"/>
  <c r="C4" i="1"/>
  <c r="C3" i="1"/>
  <c r="C2" i="1"/>
  <c r="E3" i="4" l="1"/>
  <c r="E2" i="4"/>
  <c r="E4" i="4"/>
  <c r="E5" i="4"/>
  <c r="E6" i="4"/>
  <c r="E7" i="4"/>
  <c r="B7" i="4" a="1"/>
  <c r="D3" i="1"/>
  <c r="D2" i="1"/>
  <c r="D4" i="1"/>
  <c r="D6" i="1"/>
  <c r="E6" i="1" s="1"/>
  <c r="E5" i="1"/>
  <c r="D7" i="1"/>
  <c r="D8" i="1"/>
  <c r="E8" i="1" s="1"/>
  <c r="D10" i="1"/>
  <c r="E10" i="1" s="1"/>
  <c r="D11" i="1"/>
  <c r="E11" i="1" s="1"/>
  <c r="D9" i="1"/>
  <c r="D12" i="1"/>
  <c r="E12" i="1" s="1"/>
  <c r="D13" i="1"/>
  <c r="E13" i="1" s="1"/>
  <c r="E7" i="1"/>
  <c r="E9" i="1"/>
  <c r="E4" i="1" l="1"/>
  <c r="B7" i="4"/>
  <c r="C25" i="4"/>
  <c r="C14" i="4"/>
  <c r="C16" i="4"/>
  <c r="C19" i="4"/>
  <c r="C10" i="4"/>
  <c r="C11" i="4"/>
  <c r="C15" i="4"/>
  <c r="C20" i="4"/>
  <c r="C23" i="4"/>
  <c r="C8" i="4"/>
  <c r="C9" i="4"/>
  <c r="C17" i="4"/>
  <c r="C24" i="4"/>
  <c r="C12" i="4"/>
  <c r="C13" i="4"/>
  <c r="C21" i="4"/>
  <c r="C18" i="4"/>
  <c r="C22" i="4"/>
  <c r="E2" i="1"/>
  <c r="E3" i="1"/>
  <c r="C3" i="4" l="1"/>
  <c r="C4" i="4"/>
  <c r="C2" i="4"/>
  <c r="C5" i="4"/>
  <c r="C6" i="4"/>
  <c r="C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tc={BC1FA8C5-0AA2-495D-98B1-7A999D3E8180}</author>
  </authors>
  <commentList>
    <comment ref="A17" authorId="0" shapeId="0" xr:uid="{BC1FA8C5-0AA2-495D-98B1-7A999D3E8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you explain where we got the 47/52 split?
Also where did the other numbers come from? Lets add that here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<sst xmlns="http://schemas.openxmlformats.org/spreadsheetml/2006/main" count="134" uniqueCount="64">
  <si>
    <t>Month</t>
  </si>
  <si>
    <t>Days in the Month</t>
  </si>
  <si>
    <t>Monthly Demand</t>
  </si>
  <si>
    <t>Normalized Monthly Demand</t>
  </si>
  <si>
    <t>Multiplying Factor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</si>
  <si>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</si>
  <si>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</si>
  <si>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</si>
  <si>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</si>
  <si>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</si>
  <si>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</si>
  <si>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</si>
  <si>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</si>
  <si>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</si>
  <si>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</si>
  <si>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Novemeber</t>
  </si>
  <si>
    <t>December</t>
  </si>
  <si>
    <t>Combined Monthly Adjustments</t>
  </si>
  <si>
    <t>Land Use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</si>
  <si>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</si>
  <si>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</si>
  <si>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</si>
  <si>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</si>
  <si>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</si>
  <si>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</si>
  <si>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</si>
  <si>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</si>
  <si>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</si>
  <si>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</si>
  <si>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</si>
  <si>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Late Dec</t>
  </si>
  <si>
    <t>Land Use Breakdown</t>
  </si>
  <si>
    <t>Employee vs Visitor Parking</t>
  </si>
  <si>
    <t>Retail</t>
  </si>
  <si>
    <t xml:space="preserve">Employee </t>
  </si>
  <si>
    <t>Retail (&lt;400 ksf)</t>
  </si>
  <si>
    <t>Retail Visitor</t>
  </si>
  <si>
    <t>Visitor</t>
  </si>
  <si>
    <t>Employee</t>
  </si>
  <si>
    <t>Retail Employee</t>
  </si>
  <si>
    <t>Food and Beverage</t>
  </si>
  <si>
    <t>Family Restaurant</t>
  </si>
  <si>
    <t>Fam. Res. Visitor</t>
  </si>
  <si>
    <t>Fam. Res. Employee</t>
  </si>
  <si>
    <t>Fast Casual/Fast Food</t>
  </si>
  <si>
    <t>FCFF Visitor</t>
  </si>
  <si>
    <t>FCFF Employee</t>
  </si>
  <si>
    <t>Office</t>
  </si>
  <si>
    <t>Office &lt;25 ksf</t>
  </si>
  <si>
    <t>Medical/Dental Office</t>
  </si>
  <si>
    <t>Medical</t>
  </si>
  <si>
    <t>47.5% Employee consideration, 52.5% Customer Consideration.  For Business Breakdown --&gt; 30% Family Restaurant, 20% Fast-Casual, 2.5% Hotel Business, 2.5% Hotel-Leisure, 10% Medical/Dental Office, 10% Office &lt;25 ksf, 25% Retail &lt;400ksf</t>
  </si>
  <si>
    <t>Change to 30 % retail, get rid of hotel</t>
  </si>
  <si>
    <t>Time-of-Day Factors for Weekday Demand</t>
  </si>
  <si>
    <t>Retail Typical</t>
  </si>
  <si>
    <t>Visitors</t>
  </si>
  <si>
    <t>All</t>
  </si>
  <si>
    <t>Employees</t>
  </si>
  <si>
    <t>Employees Unreserved</t>
  </si>
  <si>
    <t>Employees Reserved</t>
  </si>
  <si>
    <t>TOD</t>
  </si>
  <si>
    <t>Weekday TOD Demand</t>
  </si>
  <si>
    <t>Weekday Normalized TOD Demand</t>
  </si>
  <si>
    <t>Weekend Normalized TOD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</si>
</sst>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2" borderId="1" xfId="0" applyFill="1" applyBorder="1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 applyAlignment="1">
      <alignment vertical="center"/>
    </xf>
    <xf numFmtId="0" fontId="2" fillId="3" borderId="6" xfId="0" applyFont="1" applyFill="1" applyBorder="1" applyAlignment="1">
      <alignment horizontal="center"/>
    </xf>
    <xf numFmtId="0" fontId="3" fillId="5" borderId="10" xfId="0" applyFont="1" applyFill="1" applyBorder="1" applyAlignment="1">
      <alignment vertical="center"/>
    </xf>
    <xf numFmtId="0" fontId="0" fillId="0" borderId="7" xfId="0" applyBorder="1"/>
    <xf numFmtId="0" fontId="4" fillId="6" borderId="11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left" vertical="center"/>
    </xf>
    <xf numFmtId="9" fontId="4" fillId="6" borderId="0" xfId="0" applyNumberFormat="1" applyFont="1" applyFill="1"/>
    <xf numFmtId="9" fontId="4" fillId="7" borderId="7" xfId="1" applyFont="1" applyFill="1" applyBorder="1"/>
    <xf numFmtId="0" fontId="0" fillId="0" borderId="0" xfId="0" applyAlignment="1">
      <alignment horizontal="center"/>
    </xf>
    <xf numFmtId="0" fontId="4" fillId="6" borderId="13" xfId="0" applyFont="1" applyFill="1" applyBorder="1" applyAlignment="1">
      <alignment horizontal="left" vertical="center" indent="1"/>
    </xf>
    <xf numFmtId="0" fontId="4" fillId="6" borderId="13" xfId="0" applyFont="1" applyFill="1" applyBorder="1" applyAlignment="1">
      <alignment horizontal="left" vertical="center"/>
    </xf>
    <xf numFmtId="0" fontId="4" fillId="6" borderId="14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vertical="center"/>
    </xf>
    <xf numFmtId="9" fontId="0" fillId="2" borderId="7" xfId="1" applyFont="1" applyFill="1" applyBorder="1"/>
    <xf numFmtId="0" fontId="4" fillId="8" borderId="11" xfId="0" applyFont="1" applyFill="1" applyBorder="1" applyAlignment="1">
      <alignment horizontal="left" vertical="center"/>
    </xf>
    <xf numFmtId="0" fontId="4" fillId="8" borderId="12" xfId="0" applyFont="1" applyFill="1" applyBorder="1" applyAlignment="1">
      <alignment horizontal="left" vertical="center"/>
    </xf>
    <xf numFmtId="9" fontId="4" fillId="8" borderId="11" xfId="0" applyNumberFormat="1" applyFont="1" applyFill="1" applyBorder="1"/>
    <xf numFmtId="0" fontId="4" fillId="8" borderId="13" xfId="0" applyFont="1" applyFill="1" applyBorder="1" applyAlignment="1">
      <alignment horizontal="left" vertical="center" indent="1"/>
    </xf>
    <xf numFmtId="0" fontId="4" fillId="8" borderId="13" xfId="0" applyFont="1" applyFill="1" applyBorder="1" applyAlignment="1">
      <alignment horizontal="left" vertical="center"/>
    </xf>
    <xf numFmtId="0" fontId="4" fillId="8" borderId="14" xfId="0" applyFont="1" applyFill="1" applyBorder="1" applyAlignment="1">
      <alignment horizontal="left" vertical="center"/>
    </xf>
    <xf numFmtId="9" fontId="4" fillId="8" borderId="13" xfId="0" applyNumberFormat="1" applyFont="1" applyFill="1" applyBorder="1"/>
    <xf numFmtId="18" fontId="6" fillId="10" borderId="1" xfId="0" applyNumberFormat="1" applyFont="1" applyFill="1" applyBorder="1" applyAlignment="1">
      <alignment horizontal="center" vertical="center"/>
    </xf>
    <xf numFmtId="18" fontId="6" fillId="10" borderId="19" xfId="0" applyNumberFormat="1" applyFont="1" applyFill="1" applyBorder="1" applyAlignment="1">
      <alignment horizontal="center" vertical="center"/>
    </xf>
    <xf numFmtId="0" fontId="0" fillId="11" borderId="20" xfId="0" applyFill="1" applyBorder="1" applyAlignment="1">
      <alignment vertical="center"/>
    </xf>
    <xf numFmtId="0" fontId="6" fillId="11" borderId="21" xfId="0" applyFont="1" applyFill="1" applyBorder="1" applyAlignment="1">
      <alignment vertical="center"/>
    </xf>
    <xf numFmtId="9" fontId="6" fillId="11" borderId="21" xfId="1" applyFont="1" applyFill="1" applyBorder="1" applyAlignment="1">
      <alignment horizontal="center" vertical="center"/>
    </xf>
    <xf numFmtId="9" fontId="6" fillId="11" borderId="22" xfId="1" applyFont="1" applyFill="1" applyBorder="1" applyAlignment="1">
      <alignment horizontal="center" vertical="center"/>
    </xf>
    <xf numFmtId="9" fontId="6" fillId="11" borderId="1" xfId="1" applyFont="1" applyFill="1" applyBorder="1" applyAlignment="1">
      <alignment horizontal="center" vertical="center"/>
    </xf>
    <xf numFmtId="0" fontId="6" fillId="11" borderId="24" xfId="0" applyFont="1" applyFill="1" applyBorder="1" applyAlignment="1">
      <alignment vertical="center"/>
    </xf>
    <xf numFmtId="9" fontId="6" fillId="11" borderId="24" xfId="1" applyFont="1" applyFill="1" applyBorder="1" applyAlignment="1">
      <alignment horizontal="center" vertical="center"/>
    </xf>
    <xf numFmtId="9" fontId="6" fillId="11" borderId="25" xfId="1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left" vertical="center" indent="1"/>
    </xf>
    <xf numFmtId="0" fontId="6" fillId="12" borderId="27" xfId="0" applyFont="1" applyFill="1" applyBorder="1" applyAlignment="1">
      <alignment horizontal="left" vertical="center"/>
    </xf>
    <xf numFmtId="0" fontId="6" fillId="12" borderId="24" xfId="0" applyFont="1" applyFill="1" applyBorder="1" applyAlignment="1">
      <alignment vertical="center"/>
    </xf>
    <xf numFmtId="9" fontId="6" fillId="12" borderId="24" xfId="1" applyFont="1" applyFill="1" applyBorder="1" applyAlignment="1">
      <alignment horizontal="center" vertical="center"/>
    </xf>
    <xf numFmtId="9" fontId="6" fillId="12" borderId="25" xfId="1" applyFont="1" applyFill="1" applyBorder="1" applyAlignment="1">
      <alignment horizontal="center" vertical="center"/>
    </xf>
    <xf numFmtId="9" fontId="6" fillId="12" borderId="1" xfId="1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left" vertical="center"/>
    </xf>
    <xf numFmtId="0" fontId="6" fillId="11" borderId="27" xfId="0" applyFont="1" applyFill="1" applyBorder="1" applyAlignment="1">
      <alignment horizontal="left" vertical="center"/>
    </xf>
    <xf numFmtId="0" fontId="6" fillId="11" borderId="26" xfId="0" applyFont="1" applyFill="1" applyBorder="1" applyAlignment="1">
      <alignment horizontal="left" vertical="center"/>
    </xf>
    <xf numFmtId="0" fontId="6" fillId="12" borderId="23" xfId="0" applyFont="1" applyFill="1" applyBorder="1" applyAlignment="1">
      <alignment horizontal="left" vertical="center"/>
    </xf>
    <xf numFmtId="9" fontId="0" fillId="0" borderId="0" xfId="1" applyFont="1"/>
    <xf numFmtId="0" fontId="6" fillId="10" borderId="2" xfId="0" applyFont="1" applyFill="1" applyBorder="1" applyAlignment="1">
      <alignment horizontal="center" vertical="center"/>
    </xf>
    <xf numFmtId="18" fontId="6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vertical="center"/>
    </xf>
    <xf numFmtId="9" fontId="6" fillId="12" borderId="0" xfId="1" applyFont="1" applyFill="1" applyBorder="1" applyAlignment="1">
      <alignment horizontal="center" vertical="center"/>
    </xf>
    <xf numFmtId="0" fontId="0" fillId="13" borderId="0" xfId="0" applyFill="1"/>
    <xf numFmtId="9" fontId="0" fillId="13" borderId="0" xfId="1" applyFont="1" applyFill="1"/>
    <xf numFmtId="164" fontId="0" fillId="0" borderId="0" xfId="0" applyNumberFormat="1"/>
    <xf numFmtId="0" fontId="5" fillId="9" borderId="2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3">
    <cellStyle name="Normal" xfId="0" builtinId="0"/>
    <cellStyle name="Percent" xfId="1" builtinId="5"/>
    <cellStyle name="Percent 3" xfId="2" xr:uid="{2407A31F-79F0-47B2-BBBA-D252A6ACA2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'TOD Adjustments'!$D$1</c:f>
              <c:strCache>
                <c:ptCount val="1"/>
                <c:pt idx="0">
                  <c:v>Weekday TOD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'TOD Adjustments'!$D$2:$D$25</c:f>
              <c:numCache>
                <c:formatCode>0%</c:formatCode>
                <c:ptCount val="24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9.647265051395007E-2</c:v>
                </c:pt>
                <c:pt idx="6">
                  <c:v>0.1907856093979442</c:v>
                </c:pt>
                <c:pt idx="7">
                  <c:v>0.45564335535976508</c:v>
                </c:pt>
                <c:pt idx="8">
                  <c:v>0.62035884728340673</c:v>
                </c:pt>
                <c:pt idx="9">
                  <c:v>0.79720172540381784</c:v>
                </c:pt>
                <c:pt idx="10">
                  <c:v>0.91904460352422901</c:v>
                </c:pt>
                <c:pt idx="11">
                  <c:v>0.94514225403817909</c:v>
                </c:pt>
                <c:pt idx="12">
                  <c:v>0.84709342878120408</c:v>
                </c:pt>
                <c:pt idx="13">
                  <c:v>0.76220172540381792</c:v>
                </c:pt>
                <c:pt idx="14">
                  <c:v>0.6018832599118944</c:v>
                </c:pt>
                <c:pt idx="15">
                  <c:v>0.577343979441997</c:v>
                </c:pt>
                <c:pt idx="16">
                  <c:v>0.60050110132158596</c:v>
                </c:pt>
                <c:pt idx="17">
                  <c:v>0.65553505873715112</c:v>
                </c:pt>
                <c:pt idx="18">
                  <c:v>0.62840767254038177</c:v>
                </c:pt>
                <c:pt idx="19">
                  <c:v>0.54021659324522753</c:v>
                </c:pt>
                <c:pt idx="20">
                  <c:v>0.35926119676945667</c:v>
                </c:pt>
                <c:pt idx="21">
                  <c:v>0.26064335535976502</c:v>
                </c:pt>
                <c:pt idx="22">
                  <c:v>0.15064335535976503</c:v>
                </c:pt>
                <c:pt idx="23">
                  <c:v>8.5995778267254047E-2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E3E-42D7-B295-8CD846374C0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'TOD Adjustments'!$B$2:$B$25</c:f>
              <c:numCache>
                <c:formatCode>0%</c:formatCode>
                <c:ptCount val="24"/>
                <c:pt idx="0">
                  <c:v>0.13</c:v>
                </c:pt>
                <c:pt idx="1">
                  <c:v>0.13</c:v>
                </c:pt>
                <c:pt idx="2">
                  <c:v>0.13</c:v>
                </c:pt>
                <c:pt idx="3">
                  <c:v>0.13</c:v>
                </c:pt>
                <c:pt idx="4">
                  <c:v>0.13</c:v>
                </c:pt>
                <c:pt idx="5">
                  <c:v>0.1382518355359765</c:v>
                </c:pt>
                <c:pt idx="6">
                  <c:v>0.24874100587371512</c:v>
                </c:pt>
                <c:pt idx="7">
                  <c:v>0.43354992657856095</c:v>
                </c:pt>
                <c:pt idx="8">
                  <c:v>0.57978983113069016</c:v>
                </c:pt>
                <c:pt idx="9">
                  <c:v>0.76067731277533035</c:v>
                </c:pt>
                <c:pt idx="10">
                  <c:v>0.86113803230543318</c:v>
                </c:pt>
                <c:pt idx="11">
                  <c:v>0.93166666666666664</c:v>
                </c:pt>
                <c:pt idx="12">
                  <c:v>0.94528450807635822</c:v>
                </c:pt>
                <c:pt idx="13">
                  <c:v>0.83277074155653452</c:v>
                </c:pt>
                <c:pt idx="14">
                  <c:v>0.70869218061674</c:v>
                </c:pt>
                <c:pt idx="15">
                  <c:v>0.67915290014684282</c:v>
                </c:pt>
                <c:pt idx="16">
                  <c:v>0.76174100587371507</c:v>
                </c:pt>
                <c:pt idx="17">
                  <c:v>0.80058388399412639</c:v>
                </c:pt>
                <c:pt idx="18">
                  <c:v>0.72407433920704856</c:v>
                </c:pt>
                <c:pt idx="19">
                  <c:v>0.60221659324522758</c:v>
                </c:pt>
                <c:pt idx="20">
                  <c:v>0.42440767254038175</c:v>
                </c:pt>
                <c:pt idx="21">
                  <c:v>0.29874100587371516</c:v>
                </c:pt>
                <c:pt idx="22">
                  <c:v>0.23159875183553597</c:v>
                </c:pt>
                <c:pt idx="23">
                  <c:v>0.12556901615271659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E-42D7-B295-8CD846374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045280"/>
        <c:axId val="1663191184"/>
        <c:extLst/>
      </c:lineChart>
      <c:catAx>
        <c:axId val="1164045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91184"/>
        <c:crosses val="autoZero"/>
        <c:auto val="1"/>
        <c:lblAlgn val="ctr"/>
        <c:lblOffset val="100"/>
        <c:noMultiLvlLbl val="0"/>
      </c:catAx>
      <c:valAx>
        <c:axId val="166319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04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7</xdr:row>
      <xdr:rowOff>33337</xdr:rowOff>
    </xdr:from>
    <xdr:to>
      <xdr:col>16</xdr:col>
      <xdr:colOff>38100</xdr:colOff>
      <xdr:row>21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2E2F6-D0C4-1526-C8E4-D4931A037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OAK_TPTO\097092005_Millbrae%20Parking%20Management%20Plan\Working\2.%20Parking%20Management%20System%20Development\El%20Camino%20Paid%20Parking\Financial%20Analysis\Financial%20Model%20for%20El%20Camino.xlsx" TargetMode="External"/><Relationship Id="rId1" Type="http://schemas.openxmlformats.org/officeDocument/2006/relationships/externalLinkPath" Target="file:///K:\OAK_TPTO\097092005_Millbrae%20Parking%20Management%20Plan\Working\2.%20Parking%20Management%20System%20Development\El%20Camino%20Paid%20Parking\Financial%20Analysis\Financial%20Model%20for%20El%20Cami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, Assumptions, &amp; Results"/>
      <sheetName val="Weekday"/>
      <sheetName val="Saturday"/>
      <sheetName val="Occupancy Graph"/>
      <sheetName val="Weekday Financial Model"/>
      <sheetName val="Saturday Financial Model"/>
      <sheetName val="Yearly Financial Model"/>
      <sheetName val="Monthly Demand"/>
    </sheetNames>
    <sheetDataSet>
      <sheetData sheetId="0">
        <row r="7">
          <cell r="B7">
            <v>0.3</v>
          </cell>
        </row>
        <row r="8">
          <cell r="B8">
            <v>0.3</v>
          </cell>
        </row>
        <row r="9">
          <cell r="B9">
            <v>0.2</v>
          </cell>
        </row>
        <row r="10">
          <cell r="B10">
            <v>0.1</v>
          </cell>
        </row>
        <row r="11">
          <cell r="B11">
            <v>0.1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Y4">
            <v>0.12059471365638763</v>
          </cell>
        </row>
        <row r="5">
          <cell r="F5">
            <v>0.59</v>
          </cell>
          <cell r="G5">
            <v>0.61</v>
          </cell>
          <cell r="H5">
            <v>0.7</v>
          </cell>
          <cell r="I5">
            <v>0.67</v>
          </cell>
          <cell r="J5">
            <v>0.72</v>
          </cell>
          <cell r="K5">
            <v>0.72</v>
          </cell>
          <cell r="L5">
            <v>0.7</v>
          </cell>
          <cell r="M5">
            <v>0.73</v>
          </cell>
          <cell r="N5">
            <v>0.66</v>
          </cell>
          <cell r="O5">
            <v>0.69</v>
          </cell>
          <cell r="P5">
            <v>0.76</v>
          </cell>
          <cell r="Q5">
            <v>1</v>
          </cell>
          <cell r="R5">
            <v>0.85</v>
          </cell>
          <cell r="V5">
            <v>0.26382158590308369</v>
          </cell>
          <cell r="Y5">
            <v>0.87940528634361237</v>
          </cell>
        </row>
        <row r="6">
          <cell r="F6">
            <v>0.69</v>
          </cell>
          <cell r="G6">
            <v>0.71</v>
          </cell>
          <cell r="H6">
            <v>0.79</v>
          </cell>
          <cell r="I6">
            <v>0.77</v>
          </cell>
          <cell r="J6">
            <v>0.82</v>
          </cell>
          <cell r="K6">
            <v>0.82</v>
          </cell>
          <cell r="L6">
            <v>0.8</v>
          </cell>
          <cell r="M6">
            <v>0.83</v>
          </cell>
          <cell r="N6">
            <v>0.76</v>
          </cell>
          <cell r="O6">
            <v>0.78</v>
          </cell>
          <cell r="P6">
            <v>0.86</v>
          </cell>
          <cell r="Q6">
            <v>1</v>
          </cell>
          <cell r="R6">
            <v>0.95</v>
          </cell>
          <cell r="V6">
            <v>3.6178414096916287E-2</v>
          </cell>
        </row>
        <row r="8">
          <cell r="F8">
            <v>0.88</v>
          </cell>
          <cell r="G8">
            <v>0.87</v>
          </cell>
          <cell r="H8">
            <v>0.98</v>
          </cell>
          <cell r="I8">
            <v>0.94</v>
          </cell>
          <cell r="J8">
            <v>0.99</v>
          </cell>
          <cell r="K8">
            <v>0.94</v>
          </cell>
          <cell r="L8">
            <v>0.96</v>
          </cell>
          <cell r="M8">
            <v>0.96</v>
          </cell>
          <cell r="N8">
            <v>0.89</v>
          </cell>
          <cell r="O8">
            <v>0.93</v>
          </cell>
          <cell r="P8">
            <v>0.89</v>
          </cell>
          <cell r="Q8">
            <v>1</v>
          </cell>
          <cell r="R8">
            <v>0.95</v>
          </cell>
          <cell r="V8">
            <v>0.26382158590308369</v>
          </cell>
        </row>
        <row r="9">
          <cell r="F9">
            <v>0.99</v>
          </cell>
          <cell r="G9">
            <v>0.98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0.99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V9">
            <v>3.6178414096916287E-2</v>
          </cell>
        </row>
        <row r="10">
          <cell r="F10">
            <v>0.85</v>
          </cell>
          <cell r="G10">
            <v>0.85</v>
          </cell>
          <cell r="H10">
            <v>0.97</v>
          </cell>
          <cell r="I10">
            <v>0.95</v>
          </cell>
          <cell r="J10">
            <v>0.99</v>
          </cell>
          <cell r="K10">
            <v>0.98</v>
          </cell>
          <cell r="L10">
            <v>1</v>
          </cell>
          <cell r="M10">
            <v>1</v>
          </cell>
          <cell r="N10">
            <v>0.93</v>
          </cell>
          <cell r="O10">
            <v>0.96</v>
          </cell>
          <cell r="P10">
            <v>0.92</v>
          </cell>
          <cell r="Q10">
            <v>0.96</v>
          </cell>
          <cell r="R10">
            <v>0.95</v>
          </cell>
          <cell r="V10">
            <v>0.1758810572687225</v>
          </cell>
        </row>
        <row r="11">
          <cell r="F11">
            <v>0.96</v>
          </cell>
          <cell r="G11">
            <v>0.96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V11">
            <v>2.4118942731277529E-2</v>
          </cell>
        </row>
        <row r="13"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0.95</v>
          </cell>
          <cell r="M13">
            <v>0.95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0.8</v>
          </cell>
          <cell r="V13">
            <v>0.1</v>
          </cell>
        </row>
        <row r="14"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0.95</v>
          </cell>
          <cell r="M14">
            <v>0.95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0.8</v>
          </cell>
          <cell r="V14">
            <v>0.1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llaway, Haley" id="{B41E9BC4-EA07-42F4-BC92-28AAB085DBA0}" userId="S::Haley.Callaway@kimley-horn.com::88872fa7-daec-4f4b-b640-0922012e58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7" dT="2026-08-10T21:26:20.46" personId="{B41E9BC4-EA07-42F4-BC92-28AAB085DBA0}" id="{BC1FA8C5-0AA2-495D-98B1-7A999D3E8180}">
    <text>Can you explain where we got the 47/52 split?
Also where did the other numbers come from? Lets add that here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38F9-052E-4BC5-B759-9A8E82B0F508}">
  <dimension ref="A1:E13"/>
  <sheetViews>
    <sheetView workbookViewId="0"/>
  </sheetViews>
  <sheetFormatPr defaultRowHeight="15" x14ac:dyDescent="0.25"/>
  <cols>
    <col min="1" max="3" width="22.5703125" customWidth="1"/>
    <col min="4" max="4" width="30.7109375" customWidth="1"/>
    <col min="5" max="5" width="2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31</v>
      </c>
      <c r="C2" s="3">
        <f xml:space="preserve"> ('[1]Monthly Demand'!F5*'[1]Monthly Demand'!V5)+('[1]Monthly Demand'!F6*'[1]Monthly Demand'!V6)+('[1]Monthly Demand'!F8*'[1]Monthly Demand'!V8)+('[1]Monthly Demand'!F9*'[1]Monthly Demand'!V9)+('[1]Monthly Demand'!F10*'[1]Monthly Demand'!V10)+('[1]Monthly Demand'!F11*'[1]Monthly Demand'!V11)++('[1]Monthly Demand'!F13*'[1]Monthly Demand'!V13)+('[1]Monthly Demand'!F14*'[1]Monthly Demand'!V14)</f>
        <v>0.82125055066079289</v>
      </c>
      <c r="D2" s="4">
        <f xml:space="preserve"> C2 / (MAX($C$2:$C$13))</f>
        <v>0.85470892211694471</v>
      </c>
      <c r="E2" s="5">
        <f xml:space="preserve"> D2 / D6</f>
        <v>0.89732503590464985</v>
      </c>
    </row>
    <row r="3" spans="1:5" x14ac:dyDescent="0.25">
      <c r="A3" s="2" t="s">
        <v>6</v>
      </c>
      <c r="B3" s="2">
        <v>28.25</v>
      </c>
      <c r="C3" s="3">
        <f xml:space="preserve"> ('[1]Monthly Demand'!G5*'[1]Monthly Demand'!V5)+('[1]Monthly Demand'!G6*'[1]Monthly Demand'!V6)+('[1]Monthly Demand'!G8*'[1]Monthly Demand'!V8)+('[1]Monthly Demand'!G9*'[1]Monthly Demand'!V9)+('[1]Monthly Demand'!G10*'[1]Monthly Demand'!V10)+('[1]Monthly Demand'!G11*'[1]Monthly Demand'!V11)+('[1]Monthly Demand'!G13*'[1]Monthly Demand'!V13)+('[1]Monthly Demand'!G14*'[1]Monthly Demand'!V14)</f>
        <v>0.82425055066079278</v>
      </c>
      <c r="D3" s="4">
        <f t="shared" ref="D3:D13" si="0" xml:space="preserve"> C3 / (MAX($C$2:$C$13))</f>
        <v>0.85783114439647634</v>
      </c>
      <c r="E3" s="5">
        <f xml:space="preserve"> D3 / D6</f>
        <v>0.90060293338130648</v>
      </c>
    </row>
    <row r="4" spans="1:5" x14ac:dyDescent="0.25">
      <c r="A4" s="2" t="s">
        <v>7</v>
      </c>
      <c r="B4" s="2">
        <v>31</v>
      </c>
      <c r="C4" s="3">
        <f>('[1]Monthly Demand'!H5*'[1]Monthly Demand'!V5)+('[1]Monthly Demand'!H6*'[1]Monthly Demand'!V6)+('[1]Monthly Demand'!H8*'[1]Monthly Demand'!V8)+('[1]Monthly Demand'!H9*'[1]Monthly Demand'!V9)+('[1]Monthly Demand'!H10*'[1]Monthly Demand'!V10)+('[1]Monthly Demand'!H11*'[1]Monthly Demand'!V11)+('[1]Monthly Demand'!H13*'[1]Monthly Demand'!V13)+('[1]Monthly Demand'!H14*'[1]Monthly Demand'!V14)</f>
        <v>0.902703193832599</v>
      </c>
      <c r="D4" s="4">
        <f t="shared" si="0"/>
        <v>0.93948000786286523</v>
      </c>
      <c r="E4" s="5">
        <f xml:space="preserve"> D4 / D6</f>
        <v>0.98632284041127749</v>
      </c>
    </row>
    <row r="5" spans="1:5" x14ac:dyDescent="0.25">
      <c r="A5" s="2" t="s">
        <v>8</v>
      </c>
      <c r="B5" s="2">
        <v>30</v>
      </c>
      <c r="C5" s="6">
        <f>('[1]Monthly Demand'!I5*'[1]Monthly Demand'!V5)+('[1]Monthly Demand'!I6*'[1]Monthly Demand'!V6)+('[1]Monthly Demand'!I8*'[1]Monthly Demand'!V8)+('[1]Monthly Demand'!I9*'[1]Monthly Demand'!V9)+('[1]Monthly Demand'!I10*'[1]Monthly Demand'!V10)+('[1]Monthly Demand'!I11*'[1]Monthly Demand'!V11)+('[1]Monthly Demand'!I13*'[1]Monthly Demand'!V13)+('[1]Monthly Demand'!I14*'[1]Monthly Demand'!V14)</f>
        <v>0.87999449339207048</v>
      </c>
      <c r="D5" s="4">
        <f t="shared" si="0"/>
        <v>0.91584613771132173</v>
      </c>
      <c r="E5" s="5">
        <f xml:space="preserve"> D5 / D6</f>
        <v>0.96151057645389015</v>
      </c>
    </row>
    <row r="6" spans="1:5" x14ac:dyDescent="0.25">
      <c r="A6" s="2" t="s">
        <v>9</v>
      </c>
      <c r="B6" s="2">
        <v>31</v>
      </c>
      <c r="C6" s="6">
        <f>('[1]Monthly Demand'!J5*'[1]Monthly Demand'!V5)+('[1]Monthly Demand'!J6*'[1]Monthly Demand'!V6)+('[1]Monthly Demand'!J8*'[1]Monthly Demand'!V8)+('[1]Monthly Demand'!J9*'[1]Monthly Demand'!V9)+('[1]Monthly Demand'!J10*'[1]Monthly Demand'!V10)+('[1]Monthly Demand'!J11*'[1]Monthly Demand'!V11)+('[1]Monthly Demand'!J13*'[1]Monthly Demand'!V13)+('[1]Monthly Demand'!J14*'[1]Monthly Demand'!V14)</f>
        <v>0.91522081497797347</v>
      </c>
      <c r="D6" s="4">
        <f xml:space="preserve"> C6 / (MAX($C$2:$C$13))</f>
        <v>0.95250760640514043</v>
      </c>
      <c r="E6" s="5">
        <f xml:space="preserve"> D6 / D6</f>
        <v>1</v>
      </c>
    </row>
    <row r="7" spans="1:5" x14ac:dyDescent="0.25">
      <c r="A7" s="2" t="s">
        <v>10</v>
      </c>
      <c r="B7" s="2">
        <v>30</v>
      </c>
      <c r="C7" s="3">
        <f>('[1]Monthly Demand'!K5*'[1]Monthly Demand'!V5)+('[1]Monthly Demand'!K6*'[1]Monthly Demand'!V6)+('[1]Monthly Demand'!K8*'[1]Monthly Demand'!V8)+('[1]Monthly Demand'!K9*'[1]Monthly Demand'!V9)+('[1]Monthly Demand'!K10*'[1]Monthly Demand'!V10)+('[1]Monthly Demand'!K11*'[1]Monthly Demand'!V11)+('[1]Monthly Demand'!K13*'[1]Monthly Demand'!V13)+('[1]Monthly Demand'!K14*'[1]Monthly Demand'!V14)</f>
        <v>0.90027092511013207</v>
      </c>
      <c r="D7" s="4">
        <f t="shared" si="0"/>
        <v>0.9369486466645004</v>
      </c>
      <c r="E7" s="5">
        <f xml:space="preserve"> D7 / D6</f>
        <v>0.98366526457530234</v>
      </c>
    </row>
    <row r="8" spans="1:5" x14ac:dyDescent="0.25">
      <c r="A8" s="2" t="s">
        <v>11</v>
      </c>
      <c r="B8" s="2">
        <v>31</v>
      </c>
      <c r="C8" s="3">
        <f>('[1]Monthly Demand'!L5*'[1]Monthly Demand'!V5)+('[1]Monthly Demand'!L6*'[1]Monthly Demand'!V6)+('[1]Monthly Demand'!L8*'[1]Monthly Demand'!V8)+('[1]Monthly Demand'!L9*'[1]Monthly Demand'!V9)+('[1]Monthly Demand'!L10*'[1]Monthly Demand'!V10)+('[1]Monthly Demand'!L11*'[1]Monthly Demand'!V11)+('[1]Monthly Demand'!L13*'[1]Monthly Demand'!V13)+('[1]Monthly Demand'!L14*'[1]Monthly Demand'!V14)</f>
        <v>0.89306497797356821</v>
      </c>
      <c r="D8" s="4">
        <f t="shared" si="0"/>
        <v>0.92944912376619782</v>
      </c>
      <c r="E8" s="5">
        <f xml:space="preserve"> D8 / D6</f>
        <v>0.9757918125966808</v>
      </c>
    </row>
    <row r="9" spans="1:5" x14ac:dyDescent="0.25">
      <c r="A9" s="2" t="s">
        <v>12</v>
      </c>
      <c r="B9" s="2">
        <v>31</v>
      </c>
      <c r="C9" s="3">
        <f>('[1]Monthly Demand'!M5*'[1]Monthly Demand'!V5)+('[1]Monthly Demand'!M6*'[1]Monthly Demand'!V6)+('[1]Monthly Demand'!M8*'[1]Monthly Demand'!V8)+('[1]Monthly Demand'!M9*'[1]Monthly Demand'!V9)+('[1]Monthly Demand'!M10*'[1]Monthly Demand'!V10)+('[1]Monthly Demand'!M11*'[1]Monthly Demand'!V11)+('[1]Monthly Demand'!M13*'[1]Monthly Demand'!V13)+('[1]Monthly Demand'!M14*'[1]Monthly Demand'!V14)</f>
        <v>0.90206497797356822</v>
      </c>
      <c r="D9" s="4">
        <f t="shared" si="0"/>
        <v>0.93881579060479303</v>
      </c>
      <c r="E9" s="5">
        <f xml:space="preserve"> D9 / D6</f>
        <v>0.98562550502665103</v>
      </c>
    </row>
    <row r="10" spans="1:5" x14ac:dyDescent="0.25">
      <c r="A10" s="2" t="s">
        <v>13</v>
      </c>
      <c r="B10" s="2">
        <v>30</v>
      </c>
      <c r="C10" s="3">
        <f>('[1]Monthly Demand'!N5*'[1]Monthly Demand'!V5)+('[1]Monthly Demand'!N6*'[1]Monthly Demand'!V6)+('[1]Monthly Demand'!N8*'[1]Monthly Demand'!V8)+('[1]Monthly Demand'!N9*'[1]Monthly Demand'!V9)+('[1]Monthly Demand'!N10*'[1]Monthly Demand'!V10)+('[1]Monthly Demand'!N11*'[1]Monthly Demand'!V11)+('[1]Monthly Demand'!N13*'[1]Monthly Demand'!V13)+('[1]Monthly Demand'!N14*'[1]Monthly Demand'!V14)</f>
        <v>0.85992400881057263</v>
      </c>
      <c r="D10" s="4">
        <f t="shared" si="0"/>
        <v>0.89495796633753821</v>
      </c>
      <c r="E10" s="5">
        <f xml:space="preserve"> D10 / D6</f>
        <v>0.93958091286556722</v>
      </c>
    </row>
    <row r="11" spans="1:5" x14ac:dyDescent="0.25">
      <c r="A11" s="2" t="s">
        <v>14</v>
      </c>
      <c r="B11" s="2">
        <v>31</v>
      </c>
      <c r="C11" s="6">
        <f>('[1]Monthly Demand'!O5*'[1]Monthly Demand'!V5)+('[1]Monthly Demand'!O6*'[1]Monthly Demand'!V6)+('[1]Monthly Demand'!O8*'[1]Monthly Demand'!V8)+('[1]Monthly Demand'!O9*'[1]Monthly Demand'!V9)+('[1]Monthly Demand'!O10*'[1]Monthly Demand'!V10)+('[1]Monthly Demand'!O11*'[1]Monthly Demand'!V11)+('[1]Monthly Demand'!O13*'[1]Monthly Demand'!V13)+('[1]Monthly Demand'!O14*'[1]Monthly Demand'!V14)</f>
        <v>0.88475330396475771</v>
      </c>
      <c r="D11" s="4">
        <f t="shared" si="0"/>
        <v>0.92079882584269346</v>
      </c>
      <c r="E11" s="5">
        <f xml:space="preserve"> D11 / D6</f>
        <v>0.96671020750992309</v>
      </c>
    </row>
    <row r="12" spans="1:5" x14ac:dyDescent="0.25">
      <c r="A12" s="2" t="s">
        <v>15</v>
      </c>
      <c r="B12" s="2">
        <v>30</v>
      </c>
      <c r="C12" s="6">
        <f>('[1]Monthly Demand'!P5*'[1]Monthly Demand'!V5)+('[1]Monthly Demand'!P6*'[1]Monthly Demand'!V6)+('[1]Monthly Demand'!P8*'[1]Monthly Demand'!V8)+('[1]Monthly Demand'!P9*'[1]Monthly Demand'!V9)+('[1]Monthly Demand'!P10*'[1]Monthly Demand'!V10)+('[1]Monthly Demand'!P11*'[1]Monthly Demand'!V11)+('[1]Monthly Demand'!P13*'[1]Monthly Demand'!V13)+('[1]Monthly Demand'!P14*'[1]Monthly Demand'!V14)</f>
        <v>0.88852698237885464</v>
      </c>
      <c r="D12" s="4">
        <f t="shared" si="0"/>
        <v>0.92472624678278736</v>
      </c>
      <c r="E12" s="5">
        <f xml:space="preserve"> D12 / D6</f>
        <v>0.97083345116035058</v>
      </c>
    </row>
    <row r="13" spans="1:5" x14ac:dyDescent="0.25">
      <c r="A13" s="2" t="s">
        <v>16</v>
      </c>
      <c r="B13" s="2">
        <v>31</v>
      </c>
      <c r="C13" s="3">
        <f>((('[1]Monthly Demand'!Q5*'[1]Monthly Demand'!V5)+('[1]Monthly Demand'!Q6*'[1]Monthly Demand'!V6)+('[1]Monthly Demand'!Q8*'[1]Monthly Demand'!V8)+('[1]Monthly Demand'!Q9*'[1]Monthly Demand'!V9)+('[1]Monthly Demand'!Q10*'[1]Monthly Demand'!V10)+('[1]Monthly Demand'!Q11*'[1]Monthly Demand'!V11)+('[1]Monthly Demand'!Q13*'[1]Monthly Demand'!V13)+('[1]Monthly Demand'!Q14*'[1]Monthly Demand'!V14))*2/3)+((('[1]Monthly Demand'!R5*'[1]Monthly Demand'!V5)+('[1]Monthly Demand'!R6*'[1]Monthly Demand'!V6)+('[1]Monthly Demand'!R8*'[1]Monthly Demand'!V8)+('[1]Monthly Demand'!R9*'[1]Monthly Demand'!V9)+('[1]Monthly Demand'!R10*'[1]Monthly Demand'!V10)+('[1]Monthly Demand'!R11*'[1]Monthly Demand'!V11)+('[1]Monthly Demand'!R13*'[1]Monthly Demand'!V13)+('[1]Monthly Demand'!R14*'[1]Monthly Demand'!V14))*1/3)</f>
        <v>0.96085407488986774</v>
      </c>
      <c r="D13" s="4">
        <f t="shared" si="0"/>
        <v>1</v>
      </c>
      <c r="E13" s="5">
        <f xml:space="preserve"> D13 / D6</f>
        <v>1.0498603825056061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508B-A246-42B0-8BB7-775D4C5F6D43}">
  <dimension ref="A1:E25"/>
  <sheetViews>
    <sheetView tabSelected="1" workbookViewId="0">
      <selection activeCell="D10" sqref="D10"/>
    </sheetView>
  </sheetViews>
  <sheetFormatPr defaultRowHeight="15" x14ac:dyDescent="0.25"/>
  <cols>
    <col min="2" max="2" width="21.5703125" customWidth="1"/>
    <col min="3" max="3" width="32" customWidth="1"/>
    <col min="4" max="4" width="21.5703125" customWidth="1"/>
    <col min="5" max="5" width="31.140625" customWidth="1"/>
  </cols>
  <sheetData>
    <row r="1" spans="1:5" x14ac:dyDescent="0.25">
      <c r="A1" t="s">
        <v>60</v>
      </c>
      <c r="B1" t="s">
        <v>61</v>
      </c>
      <c r="C1" t="s">
        <v>62</v>
      </c>
      <c r="D1" t="s">
        <v>61</v>
      </c>
      <c r="E1" t="s">
        <v>63</v>
      </c>
    </row>
    <row r="2" spans="1:5" x14ac:dyDescent="0.25">
      <c r="A2">
        <v>1</v>
      </c>
      <c r="B2" s="47">
        <v>0.13</v>
      </c>
      <c r="C2" s="56">
        <f>B2/SUM($B$2:$B$25)</f>
        <v>1.1074529941526596E-2</v>
      </c>
      <c r="D2" s="47">
        <v>0.09</v>
      </c>
      <c r="E2" s="56">
        <f>D2/SUM($D$2:$D$25)</f>
        <v>8.5353560832115739E-3</v>
      </c>
    </row>
    <row r="3" spans="1:5" x14ac:dyDescent="0.25">
      <c r="A3">
        <v>2</v>
      </c>
      <c r="B3" s="47">
        <v>0.13</v>
      </c>
      <c r="C3" s="56">
        <f t="shared" ref="C3:C25" si="0">B3/SUM($B$2:$B$25)</f>
        <v>1.1074529941526596E-2</v>
      </c>
      <c r="D3" s="47">
        <v>0.09</v>
      </c>
      <c r="E3" s="56">
        <f t="shared" ref="E3:E25" si="1">D3/SUM($D$2:$D$25)</f>
        <v>8.5353560832115739E-3</v>
      </c>
    </row>
    <row r="4" spans="1:5" x14ac:dyDescent="0.25">
      <c r="A4">
        <v>3</v>
      </c>
      <c r="B4" s="47">
        <v>0.13</v>
      </c>
      <c r="C4" s="56">
        <f t="shared" si="0"/>
        <v>1.1074529941526596E-2</v>
      </c>
      <c r="D4" s="47">
        <v>0.09</v>
      </c>
      <c r="E4" s="56">
        <f t="shared" si="1"/>
        <v>8.5353560832115739E-3</v>
      </c>
    </row>
    <row r="5" spans="1:5" x14ac:dyDescent="0.25">
      <c r="A5">
        <v>4</v>
      </c>
      <c r="B5" s="47">
        <v>0.13</v>
      </c>
      <c r="C5" s="56">
        <f t="shared" si="0"/>
        <v>1.1074529941526596E-2</v>
      </c>
      <c r="D5" s="47">
        <v>0.09</v>
      </c>
      <c r="E5" s="56">
        <f t="shared" si="1"/>
        <v>8.5353560832115739E-3</v>
      </c>
    </row>
    <row r="6" spans="1:5" x14ac:dyDescent="0.25">
      <c r="A6">
        <v>5</v>
      </c>
      <c r="B6" s="47">
        <v>0.13</v>
      </c>
      <c r="C6" s="56">
        <f t="shared" si="0"/>
        <v>1.1074529941526596E-2</v>
      </c>
      <c r="D6" s="47">
        <v>0.09</v>
      </c>
      <c r="E6" s="56">
        <f t="shared" si="1"/>
        <v>8.5353560832115739E-3</v>
      </c>
    </row>
    <row r="7" spans="1:5" x14ac:dyDescent="0.25">
      <c r="A7">
        <v>6</v>
      </c>
      <c r="B7" s="47" cm="1">
        <f t="array" ref="B7:B25">TRANSPOSE('Weekday Raw TOD data'!C20:U20)</f>
        <v>0.1382518355359765</v>
      </c>
      <c r="C7" s="56">
        <f t="shared" si="0"/>
        <v>1.1777493016262941E-2</v>
      </c>
      <c r="D7" s="47" cm="1">
        <f t="array" ref="D7:D25">TRANSPOSE('Weekend Raw TOD data'!C20:U20)</f>
        <v>9.647265051395007E-2</v>
      </c>
      <c r="E7" s="56">
        <f t="shared" si="1"/>
        <v>9.1492047158643099E-3</v>
      </c>
    </row>
    <row r="8" spans="1:5" x14ac:dyDescent="0.25">
      <c r="A8">
        <v>7</v>
      </c>
      <c r="B8" s="47">
        <v>0.24874100587371512</v>
      </c>
      <c r="C8" s="56">
        <f t="shared" si="0"/>
        <v>2.1189920901799237E-2</v>
      </c>
      <c r="D8" s="47">
        <v>0.1907856093979442</v>
      </c>
      <c r="E8" s="56">
        <f t="shared" si="1"/>
        <v>1.8093590130710782E-2</v>
      </c>
    </row>
    <row r="9" spans="1:5" x14ac:dyDescent="0.25">
      <c r="A9">
        <v>8</v>
      </c>
      <c r="B9" s="47">
        <v>0.43354992657856095</v>
      </c>
      <c r="C9" s="56">
        <f t="shared" si="0"/>
        <v>3.6933551100314849E-2</v>
      </c>
      <c r="D9" s="47">
        <v>0.45564335535976508</v>
      </c>
      <c r="E9" s="56">
        <f t="shared" si="1"/>
        <v>4.3211980943832266E-2</v>
      </c>
    </row>
    <row r="10" spans="1:5" x14ac:dyDescent="0.25">
      <c r="A10">
        <v>9</v>
      </c>
      <c r="B10" s="47">
        <v>0.57978983113069016</v>
      </c>
      <c r="C10" s="56">
        <f t="shared" si="0"/>
        <v>4.939153726653444E-2</v>
      </c>
      <c r="D10" s="47">
        <v>0.62035884728340673</v>
      </c>
      <c r="E10" s="56">
        <f t="shared" si="1"/>
        <v>5.8833151788161619E-2</v>
      </c>
    </row>
    <row r="11" spans="1:5" x14ac:dyDescent="0.25">
      <c r="A11" s="54">
        <v>10</v>
      </c>
      <c r="B11" s="55">
        <v>0.76067731277533035</v>
      </c>
      <c r="C11" s="56">
        <f t="shared" si="0"/>
        <v>6.4801105201310674E-2</v>
      </c>
      <c r="D11" s="47">
        <v>0.79720172540381784</v>
      </c>
      <c r="E11" s="56">
        <f t="shared" si="1"/>
        <v>7.560445107191377E-2</v>
      </c>
    </row>
    <row r="12" spans="1:5" x14ac:dyDescent="0.25">
      <c r="A12" s="54">
        <v>11</v>
      </c>
      <c r="B12" s="55">
        <v>0.86113803230543318</v>
      </c>
      <c r="C12" s="56">
        <f t="shared" si="0"/>
        <v>7.3359222481183206E-2</v>
      </c>
      <c r="D12" s="47">
        <v>0.91904460352422901</v>
      </c>
      <c r="E12" s="56">
        <f t="shared" si="1"/>
        <v>8.7159699415925523E-2</v>
      </c>
    </row>
    <row r="13" spans="1:5" x14ac:dyDescent="0.25">
      <c r="A13" s="54">
        <v>12</v>
      </c>
      <c r="B13" s="55">
        <v>0.93166666666666664</v>
      </c>
      <c r="C13" s="56">
        <f t="shared" si="0"/>
        <v>7.93674645809406E-2</v>
      </c>
      <c r="D13" s="47">
        <v>0.94514225403817909</v>
      </c>
      <c r="E13" s="56">
        <f t="shared" si="1"/>
        <v>8.9634729861167453E-2</v>
      </c>
    </row>
    <row r="14" spans="1:5" x14ac:dyDescent="0.25">
      <c r="A14" s="54">
        <v>13</v>
      </c>
      <c r="B14" s="55">
        <v>0.94528450807635822</v>
      </c>
      <c r="C14" s="56">
        <f t="shared" si="0"/>
        <v>8.0527550676560519E-2</v>
      </c>
      <c r="D14" s="47">
        <v>0.84709342878120408</v>
      </c>
      <c r="E14" s="56">
        <f t="shared" si="1"/>
        <v>8.0336045004402223E-2</v>
      </c>
    </row>
    <row r="15" spans="1:5" x14ac:dyDescent="0.25">
      <c r="A15" s="54">
        <v>14</v>
      </c>
      <c r="B15" s="55">
        <v>0.83277074155653452</v>
      </c>
      <c r="C15" s="56">
        <f t="shared" si="0"/>
        <v>7.0942650090731904E-2</v>
      </c>
      <c r="D15" s="47">
        <v>0.76220172540381792</v>
      </c>
      <c r="E15" s="56">
        <f t="shared" si="1"/>
        <v>7.228514592844261E-2</v>
      </c>
    </row>
    <row r="16" spans="1:5" x14ac:dyDescent="0.25">
      <c r="A16" s="54">
        <v>15</v>
      </c>
      <c r="B16" s="55">
        <v>0.70869218061674</v>
      </c>
      <c r="C16" s="56">
        <f t="shared" si="0"/>
        <v>6.0372559796660466E-2</v>
      </c>
      <c r="D16" s="47">
        <v>0.6018832599118944</v>
      </c>
      <c r="E16" s="56">
        <f t="shared" si="1"/>
        <v>5.7080977154135563E-2</v>
      </c>
    </row>
    <row r="17" spans="1:5" x14ac:dyDescent="0.25">
      <c r="A17" s="54">
        <v>16</v>
      </c>
      <c r="B17" s="55">
        <v>0.67915290014684282</v>
      </c>
      <c r="C17" s="56">
        <f t="shared" si="0"/>
        <v>5.7856147135006405E-2</v>
      </c>
      <c r="D17" s="47">
        <v>0.577343979441997</v>
      </c>
      <c r="E17" s="56">
        <f t="shared" si="1"/>
        <v>5.4753738300398078E-2</v>
      </c>
    </row>
    <row r="18" spans="1:5" x14ac:dyDescent="0.25">
      <c r="A18" s="54">
        <v>17</v>
      </c>
      <c r="B18" s="55">
        <v>0.76174100587371507</v>
      </c>
      <c r="C18" s="56">
        <f t="shared" si="0"/>
        <v>6.4891719824900343E-2</v>
      </c>
      <c r="D18" s="47">
        <v>0.60050110132158596</v>
      </c>
      <c r="E18" s="56">
        <f t="shared" si="1"/>
        <v>5.6949896979338319E-2</v>
      </c>
    </row>
    <row r="19" spans="1:5" x14ac:dyDescent="0.25">
      <c r="A19" s="54">
        <v>18</v>
      </c>
      <c r="B19" s="55">
        <v>0.80058388399412639</v>
      </c>
      <c r="C19" s="56">
        <f t="shared" si="0"/>
        <v>6.8200693799973899E-2</v>
      </c>
      <c r="D19" s="47">
        <v>0.65553505873715112</v>
      </c>
      <c r="E19" s="56">
        <f t="shared" si="1"/>
        <v>6.2169168348339993E-2</v>
      </c>
    </row>
    <row r="20" spans="1:5" x14ac:dyDescent="0.25">
      <c r="A20" s="54">
        <v>19</v>
      </c>
      <c r="B20" s="55">
        <v>0.72407433920704856</v>
      </c>
      <c r="C20" s="56">
        <f t="shared" si="0"/>
        <v>6.1682945764919568E-2</v>
      </c>
      <c r="D20" s="47">
        <v>0.62840767254038177</v>
      </c>
      <c r="E20" s="56">
        <f t="shared" si="1"/>
        <v>5.9596480561715272E-2</v>
      </c>
    </row>
    <row r="21" spans="1:5" x14ac:dyDescent="0.25">
      <c r="A21" s="54">
        <v>20</v>
      </c>
      <c r="B21" s="55">
        <v>0.60221659324522758</v>
      </c>
      <c r="C21" s="56">
        <f t="shared" si="0"/>
        <v>5.130204379368012E-2</v>
      </c>
      <c r="D21" s="47">
        <v>0.54021659324522753</v>
      </c>
      <c r="E21" s="56">
        <f t="shared" si="1"/>
        <v>5.1232677615638725E-2</v>
      </c>
    </row>
    <row r="22" spans="1:5" x14ac:dyDescent="0.25">
      <c r="A22">
        <v>21</v>
      </c>
      <c r="B22" s="47">
        <v>0.42440767254038175</v>
      </c>
      <c r="C22" s="56">
        <f t="shared" si="0"/>
        <v>3.6154734438169786E-2</v>
      </c>
      <c r="D22" s="47">
        <v>0.35926119676945667</v>
      </c>
      <c r="E22" s="56">
        <f t="shared" si="1"/>
        <v>3.4071358236756139E-2</v>
      </c>
    </row>
    <row r="23" spans="1:5" x14ac:dyDescent="0.25">
      <c r="A23">
        <v>22</v>
      </c>
      <c r="B23" s="47">
        <v>0.29874100587371516</v>
      </c>
      <c r="C23" s="56">
        <f t="shared" si="0"/>
        <v>2.5449355494694084E-2</v>
      </c>
      <c r="D23" s="47">
        <v>0.26064335535976502</v>
      </c>
      <c r="E23" s="56">
        <f t="shared" si="1"/>
        <v>2.4718709430207181E-2</v>
      </c>
    </row>
    <row r="24" spans="1:5" x14ac:dyDescent="0.25">
      <c r="A24">
        <v>23</v>
      </c>
      <c r="B24" s="47">
        <v>0.23159875183553597</v>
      </c>
      <c r="C24" s="56">
        <f t="shared" si="0"/>
        <v>1.9729594704791003E-2</v>
      </c>
      <c r="D24" s="47">
        <v>0.15064335535976503</v>
      </c>
      <c r="E24" s="56">
        <f t="shared" si="1"/>
        <v>1.4286607550726371E-2</v>
      </c>
    </row>
    <row r="25" spans="1:5" x14ac:dyDescent="0.25">
      <c r="A25">
        <v>24</v>
      </c>
      <c r="B25" s="47">
        <v>0.12556901615271659</v>
      </c>
      <c r="C25" s="56">
        <f t="shared" si="0"/>
        <v>1.069706022393305E-2</v>
      </c>
      <c r="D25" s="47">
        <v>8.5995778267254047E-2</v>
      </c>
      <c r="E25" s="56">
        <f t="shared" si="1"/>
        <v>8.1556065462657836E-3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D0DD-49B1-42F9-BD6C-3691C2BF16DA}">
  <dimension ref="A1:Y20"/>
  <sheetViews>
    <sheetView workbookViewId="0">
      <selection sqref="A1:U2"/>
    </sheetView>
  </sheetViews>
  <sheetFormatPr defaultRowHeight="15" x14ac:dyDescent="0.25"/>
  <cols>
    <col min="1" max="1" width="34.5703125" customWidth="1"/>
    <col min="2" max="2" width="18.5703125" customWidth="1"/>
  </cols>
  <sheetData>
    <row r="1" spans="1:25" x14ac:dyDescent="0.25">
      <c r="A1" s="57" t="s">
        <v>53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5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spans="1:25" x14ac:dyDescent="0.25">
      <c r="A3" s="59" t="s">
        <v>18</v>
      </c>
      <c r="B3" s="60"/>
      <c r="C3" s="27">
        <v>0.25</v>
      </c>
      <c r="D3" s="27">
        <v>0.29166666666666702</v>
      </c>
      <c r="E3" s="27">
        <v>0.33333333333333298</v>
      </c>
      <c r="F3" s="27">
        <v>0.375</v>
      </c>
      <c r="G3" s="27">
        <v>0.41666666666666702</v>
      </c>
      <c r="H3" s="27">
        <v>0.45833333333333298</v>
      </c>
      <c r="I3" s="27">
        <v>0.5</v>
      </c>
      <c r="J3" s="27">
        <v>0.54166666666666696</v>
      </c>
      <c r="K3" s="27">
        <v>0.58333333333333304</v>
      </c>
      <c r="L3" s="27">
        <v>0.625</v>
      </c>
      <c r="M3" s="27">
        <v>0.66666666666666696</v>
      </c>
      <c r="N3" s="27">
        <v>0.70833333333333404</v>
      </c>
      <c r="O3" s="27">
        <v>0.75</v>
      </c>
      <c r="P3" s="27">
        <v>0.79166666666666696</v>
      </c>
      <c r="Q3" s="27">
        <v>0.83333333333333404</v>
      </c>
      <c r="R3" s="27">
        <v>0.875</v>
      </c>
      <c r="S3" s="27">
        <v>0.91666666666666696</v>
      </c>
      <c r="T3" s="27">
        <v>0.95833333333333404</v>
      </c>
      <c r="U3" s="28">
        <v>1</v>
      </c>
      <c r="W3" s="61" t="s">
        <v>31</v>
      </c>
      <c r="X3" s="61"/>
      <c r="Y3" s="61"/>
    </row>
    <row r="4" spans="1:25" x14ac:dyDescent="0.25">
      <c r="A4" s="50" t="s">
        <v>54</v>
      </c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28"/>
      <c r="W4" s="63" t="str">
        <f xml:space="preserve"> "Retail: " &amp; TEXT('[1]Inputs, Assumptions, &amp; Results'!$B$7,"0%")</f>
        <v>Retail: 30%</v>
      </c>
      <c r="X4" s="64"/>
      <c r="Y4" s="64"/>
    </row>
    <row r="5" spans="1:25" x14ac:dyDescent="0.25">
      <c r="A5" s="29" t="s">
        <v>54</v>
      </c>
      <c r="B5" s="30" t="s">
        <v>55</v>
      </c>
      <c r="C5" s="31">
        <v>0.01</v>
      </c>
      <c r="D5" s="31">
        <v>0.05</v>
      </c>
      <c r="E5" s="31">
        <v>0.15</v>
      </c>
      <c r="F5" s="31">
        <v>0.35</v>
      </c>
      <c r="G5" s="31">
        <v>0.6</v>
      </c>
      <c r="H5" s="31">
        <v>0.75</v>
      </c>
      <c r="I5" s="31">
        <v>1</v>
      </c>
      <c r="J5" s="31">
        <v>1</v>
      </c>
      <c r="K5" s="31">
        <v>0.95</v>
      </c>
      <c r="L5" s="31">
        <v>0.85</v>
      </c>
      <c r="M5" s="31">
        <v>0.85</v>
      </c>
      <c r="N5" s="31">
        <v>0.85</v>
      </c>
      <c r="O5" s="31">
        <v>0.9</v>
      </c>
      <c r="P5" s="31">
        <v>0.8</v>
      </c>
      <c r="Q5" s="31">
        <v>0.65</v>
      </c>
      <c r="R5" s="31">
        <v>0.45</v>
      </c>
      <c r="S5" s="31">
        <v>0.15</v>
      </c>
      <c r="T5" s="32">
        <v>0.05</v>
      </c>
      <c r="U5" s="33">
        <v>0</v>
      </c>
      <c r="W5" s="62" t="s">
        <v>36</v>
      </c>
      <c r="X5" s="62"/>
      <c r="Y5" s="13">
        <f xml:space="preserve"> '[1]Inputs, Assumptions, &amp; Results'!$B$7 * '[1]Monthly Demand'!$Y$5</f>
        <v>0.26382158590308369</v>
      </c>
    </row>
    <row r="6" spans="1:25" x14ac:dyDescent="0.25">
      <c r="A6" s="37" t="s">
        <v>56</v>
      </c>
      <c r="B6" s="34" t="s">
        <v>57</v>
      </c>
      <c r="C6" s="35">
        <v>0.1</v>
      </c>
      <c r="D6" s="35">
        <v>0.15</v>
      </c>
      <c r="E6" s="35">
        <v>0.25</v>
      </c>
      <c r="F6" s="35">
        <v>0.45</v>
      </c>
      <c r="G6" s="35">
        <v>0.75</v>
      </c>
      <c r="H6" s="35">
        <v>0.95</v>
      </c>
      <c r="I6" s="35">
        <v>1</v>
      </c>
      <c r="J6" s="35">
        <v>1</v>
      </c>
      <c r="K6" s="35">
        <v>1</v>
      </c>
      <c r="L6" s="35">
        <v>1</v>
      </c>
      <c r="M6" s="35">
        <v>1</v>
      </c>
      <c r="N6" s="35">
        <v>1</v>
      </c>
      <c r="O6" s="35">
        <v>1</v>
      </c>
      <c r="P6" s="35">
        <v>1</v>
      </c>
      <c r="Q6" s="35">
        <v>0.9</v>
      </c>
      <c r="R6" s="35">
        <v>0.6</v>
      </c>
      <c r="S6" s="35">
        <v>0.4</v>
      </c>
      <c r="T6" s="36">
        <v>0.2</v>
      </c>
      <c r="U6" s="33">
        <v>0</v>
      </c>
      <c r="W6" s="62" t="s">
        <v>39</v>
      </c>
      <c r="X6" s="62"/>
      <c r="Y6" s="13">
        <f xml:space="preserve"> '[1]Inputs, Assumptions, &amp; Results'!$B$7 * '[1]Monthly Demand'!$Y$4</f>
        <v>3.6178414096916287E-2</v>
      </c>
    </row>
    <row r="7" spans="1:25" x14ac:dyDescent="0.25">
      <c r="A7" s="50" t="s">
        <v>40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W7" s="64" t="str">
        <f xml:space="preserve"> "Food and Bev: " &amp; TEXT('[1]Inputs, Assumptions, &amp; Results'!$B$8 + '[1]Inputs, Assumptions, &amp; Results'!$B$9,"0%")</f>
        <v>Food and Bev: 50%</v>
      </c>
      <c r="X7" s="64"/>
      <c r="Y7" s="64"/>
    </row>
    <row r="8" spans="1:25" x14ac:dyDescent="0.25">
      <c r="A8" s="44" t="s">
        <v>41</v>
      </c>
      <c r="B8" s="34" t="s">
        <v>55</v>
      </c>
      <c r="C8" s="35">
        <v>0.25</v>
      </c>
      <c r="D8" s="35">
        <v>0.5</v>
      </c>
      <c r="E8" s="35">
        <v>0.6</v>
      </c>
      <c r="F8" s="35">
        <v>0.75</v>
      </c>
      <c r="G8" s="35">
        <v>0.85</v>
      </c>
      <c r="H8" s="35">
        <v>0.9</v>
      </c>
      <c r="I8" s="35">
        <v>1</v>
      </c>
      <c r="J8" s="35">
        <v>0.9</v>
      </c>
      <c r="K8" s="35">
        <v>0.5</v>
      </c>
      <c r="L8" s="35">
        <v>0.45</v>
      </c>
      <c r="M8" s="35">
        <v>0.45</v>
      </c>
      <c r="N8" s="35">
        <v>0.75</v>
      </c>
      <c r="O8" s="35">
        <v>0.8</v>
      </c>
      <c r="P8" s="35">
        <v>0.8</v>
      </c>
      <c r="Q8" s="35">
        <v>0.8</v>
      </c>
      <c r="R8" s="35">
        <v>0.6</v>
      </c>
      <c r="S8" s="35">
        <v>0.55000000000000004</v>
      </c>
      <c r="T8" s="36">
        <v>0.5</v>
      </c>
      <c r="U8" s="33">
        <v>0.25</v>
      </c>
      <c r="W8" s="62" t="s">
        <v>42</v>
      </c>
      <c r="X8" s="62"/>
      <c r="Y8" s="19">
        <f xml:space="preserve"> '[1]Inputs, Assumptions, &amp; Results'!$B$8 * '[1]Monthly Demand'!$Y$5</f>
        <v>0.26382158590308369</v>
      </c>
    </row>
    <row r="9" spans="1:25" x14ac:dyDescent="0.25">
      <c r="A9" s="45"/>
      <c r="B9" s="34" t="s">
        <v>57</v>
      </c>
      <c r="C9" s="35">
        <v>0.5</v>
      </c>
      <c r="D9" s="35">
        <v>0.75</v>
      </c>
      <c r="E9" s="35">
        <v>0.9</v>
      </c>
      <c r="F9" s="35">
        <v>0.9</v>
      </c>
      <c r="G9" s="35">
        <v>1</v>
      </c>
      <c r="H9" s="35">
        <v>1</v>
      </c>
      <c r="I9" s="35">
        <v>1</v>
      </c>
      <c r="J9" s="35">
        <v>1</v>
      </c>
      <c r="K9" s="35">
        <v>1</v>
      </c>
      <c r="L9" s="35">
        <v>0.75</v>
      </c>
      <c r="M9" s="35">
        <v>0.75</v>
      </c>
      <c r="N9" s="35">
        <v>0.95</v>
      </c>
      <c r="O9" s="35">
        <v>0.95</v>
      </c>
      <c r="P9" s="35">
        <v>0.95</v>
      </c>
      <c r="Q9" s="35">
        <v>0.95</v>
      </c>
      <c r="R9" s="35">
        <v>0.8</v>
      </c>
      <c r="S9" s="35">
        <v>0.65</v>
      </c>
      <c r="T9" s="36">
        <v>0.65</v>
      </c>
      <c r="U9" s="33">
        <v>0.35</v>
      </c>
      <c r="W9" s="62" t="s">
        <v>43</v>
      </c>
      <c r="X9" s="62"/>
      <c r="Y9" s="19">
        <f xml:space="preserve"> '[1]Inputs, Assumptions, &amp; Results'!$B$8 * '[1]Monthly Demand'!$Y$4</f>
        <v>3.6178414096916287E-2</v>
      </c>
    </row>
    <row r="10" spans="1:25" x14ac:dyDescent="0.25">
      <c r="A10" s="38" t="s">
        <v>44</v>
      </c>
      <c r="B10" s="39" t="s">
        <v>55</v>
      </c>
      <c r="C10" s="40">
        <v>0.05</v>
      </c>
      <c r="D10" s="40">
        <v>0.1</v>
      </c>
      <c r="E10" s="40">
        <v>0.2</v>
      </c>
      <c r="F10" s="40">
        <v>0.3</v>
      </c>
      <c r="G10" s="40">
        <v>0.55000000000000004</v>
      </c>
      <c r="H10" s="40">
        <v>0.85</v>
      </c>
      <c r="I10" s="40">
        <v>1</v>
      </c>
      <c r="J10" s="40">
        <v>1</v>
      </c>
      <c r="K10" s="40">
        <v>0.9</v>
      </c>
      <c r="L10" s="40">
        <v>0.6</v>
      </c>
      <c r="M10" s="40">
        <v>0.55000000000000004</v>
      </c>
      <c r="N10" s="40">
        <v>0.6</v>
      </c>
      <c r="O10" s="40">
        <v>0.85</v>
      </c>
      <c r="P10" s="40">
        <v>0.8</v>
      </c>
      <c r="Q10" s="40">
        <v>0.5</v>
      </c>
      <c r="R10" s="40">
        <v>0.3</v>
      </c>
      <c r="S10" s="40">
        <v>0.2</v>
      </c>
      <c r="T10" s="41">
        <v>0.1</v>
      </c>
      <c r="U10" s="42">
        <v>0.05</v>
      </c>
      <c r="W10" s="62" t="s">
        <v>45</v>
      </c>
      <c r="X10" s="62"/>
      <c r="Y10" s="19">
        <f xml:space="preserve"> '[1]Inputs, Assumptions, &amp; Results'!$B$9 * '[1]Monthly Demand'!$Y$5</f>
        <v>0.1758810572687225</v>
      </c>
    </row>
    <row r="11" spans="1:25" x14ac:dyDescent="0.25">
      <c r="A11" s="43"/>
      <c r="B11" s="39" t="s">
        <v>57</v>
      </c>
      <c r="C11" s="40">
        <v>0.2</v>
      </c>
      <c r="D11" s="40">
        <v>0.2</v>
      </c>
      <c r="E11" s="40">
        <v>0.3</v>
      </c>
      <c r="F11" s="40">
        <v>0.4</v>
      </c>
      <c r="G11" s="40">
        <v>0.75</v>
      </c>
      <c r="H11" s="40">
        <v>1</v>
      </c>
      <c r="I11" s="40">
        <v>1</v>
      </c>
      <c r="J11" s="40">
        <v>1</v>
      </c>
      <c r="K11" s="40">
        <v>0.95</v>
      </c>
      <c r="L11" s="40">
        <v>0.7</v>
      </c>
      <c r="M11" s="40">
        <v>0.6</v>
      </c>
      <c r="N11" s="40">
        <v>0.7</v>
      </c>
      <c r="O11" s="40">
        <v>0.9</v>
      </c>
      <c r="P11" s="40">
        <v>0.9</v>
      </c>
      <c r="Q11" s="40">
        <v>0.6</v>
      </c>
      <c r="R11" s="40">
        <v>0.4</v>
      </c>
      <c r="S11" s="40">
        <v>0.3</v>
      </c>
      <c r="T11" s="41">
        <v>0.2</v>
      </c>
      <c r="U11" s="42">
        <v>0.2</v>
      </c>
      <c r="W11" s="62" t="s">
        <v>46</v>
      </c>
      <c r="X11" s="62"/>
      <c r="Y11" s="19">
        <f xml:space="preserve"> '[1]Inputs, Assumptions, &amp; Results'!$B$9 * '[1]Monthly Demand'!$Y$4</f>
        <v>2.4118942731277529E-2</v>
      </c>
    </row>
    <row r="12" spans="1:25" x14ac:dyDescent="0.25">
      <c r="A12" s="50" t="s">
        <v>47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W12" s="64" t="str">
        <f xml:space="preserve"> "Office" &amp; TEXT('[1]Inputs, Assumptions, &amp; Results'!$B$10 + '[1]Inputs, Assumptions, &amp; Results'!$B$11,"0%")</f>
        <v>Office20%</v>
      </c>
      <c r="X12" s="64"/>
      <c r="Y12" s="64"/>
    </row>
    <row r="13" spans="1:25" x14ac:dyDescent="0.25">
      <c r="A13" s="51" t="s">
        <v>47</v>
      </c>
      <c r="B13" s="52" t="s">
        <v>56</v>
      </c>
      <c r="C13" s="53">
        <f>AVERAGE(C15:C17)</f>
        <v>0.34333333333333332</v>
      </c>
      <c r="D13" s="53">
        <f t="shared" ref="D13:U13" si="0">AVERAGE(D15:D17)</f>
        <v>0.38666666666666666</v>
      </c>
      <c r="E13" s="53">
        <f t="shared" si="0"/>
        <v>0.56666666666666665</v>
      </c>
      <c r="F13" s="53">
        <f t="shared" si="0"/>
        <v>0.83333333333333337</v>
      </c>
      <c r="G13" s="53">
        <f t="shared" si="0"/>
        <v>1</v>
      </c>
      <c r="H13" s="53">
        <f t="shared" si="0"/>
        <v>0.81666666666666676</v>
      </c>
      <c r="I13" s="53">
        <f t="shared" si="0"/>
        <v>0.66666666666666663</v>
      </c>
      <c r="J13" s="53">
        <f t="shared" si="0"/>
        <v>0.76666666666666661</v>
      </c>
      <c r="K13" s="53">
        <f t="shared" si="0"/>
        <v>0.96666666666666667</v>
      </c>
      <c r="L13" s="53">
        <f t="shared" si="0"/>
        <v>0.79999999999999993</v>
      </c>
      <c r="M13" s="53">
        <f t="shared" si="0"/>
        <v>0.66666666666666663</v>
      </c>
      <c r="N13" s="53">
        <f t="shared" si="0"/>
        <v>0.56666666666666665</v>
      </c>
      <c r="O13" s="53">
        <f t="shared" si="0"/>
        <v>0.43333333333333335</v>
      </c>
      <c r="P13" s="53">
        <f t="shared" si="0"/>
        <v>0.38999999999999996</v>
      </c>
      <c r="Q13" s="53">
        <f t="shared" si="0"/>
        <v>0.35333333333333333</v>
      </c>
      <c r="R13" s="53">
        <f t="shared" si="0"/>
        <v>0.34333333333333332</v>
      </c>
      <c r="S13" s="53">
        <f t="shared" si="0"/>
        <v>0.33666666666666667</v>
      </c>
      <c r="T13" s="53">
        <f t="shared" si="0"/>
        <v>0.33333333333333331</v>
      </c>
      <c r="U13" s="53">
        <f t="shared" si="0"/>
        <v>0.33333333333333331</v>
      </c>
      <c r="W13" s="62" t="s">
        <v>47</v>
      </c>
      <c r="X13" s="62"/>
      <c r="Y13" s="13">
        <f xml:space="preserve"> '[1]Inputs, Assumptions, &amp; Results'!$B$10</f>
        <v>0.1</v>
      </c>
    </row>
    <row r="14" spans="1:25" x14ac:dyDescent="0.25">
      <c r="A14" s="51" t="s">
        <v>49</v>
      </c>
      <c r="B14" s="52"/>
      <c r="C14" s="53">
        <f>AVERAGE(C18:C19)</f>
        <v>0</v>
      </c>
      <c r="D14" s="53">
        <f t="shared" ref="D14:U14" si="1">AVERAGE(D18:D19)</f>
        <v>0.1</v>
      </c>
      <c r="E14" s="53">
        <f t="shared" si="1"/>
        <v>0.95</v>
      </c>
      <c r="F14" s="53">
        <f t="shared" si="1"/>
        <v>0.95</v>
      </c>
      <c r="G14" s="53">
        <f t="shared" si="1"/>
        <v>1</v>
      </c>
      <c r="H14" s="53">
        <f t="shared" si="1"/>
        <v>1</v>
      </c>
      <c r="I14" s="53">
        <f t="shared" si="1"/>
        <v>0.65</v>
      </c>
      <c r="J14" s="53">
        <f t="shared" si="1"/>
        <v>0.95</v>
      </c>
      <c r="K14" s="53">
        <f t="shared" si="1"/>
        <v>1</v>
      </c>
      <c r="L14" s="53">
        <f t="shared" si="1"/>
        <v>1</v>
      </c>
      <c r="M14" s="53">
        <f t="shared" si="1"/>
        <v>0.95</v>
      </c>
      <c r="N14" s="53">
        <f t="shared" si="1"/>
        <v>0.9</v>
      </c>
      <c r="O14" s="53">
        <f t="shared" si="1"/>
        <v>0.67</v>
      </c>
      <c r="P14" s="53">
        <f t="shared" si="1"/>
        <v>0.3</v>
      </c>
      <c r="Q14" s="53">
        <f t="shared" si="1"/>
        <v>0.15</v>
      </c>
      <c r="R14" s="53">
        <f t="shared" si="1"/>
        <v>0</v>
      </c>
      <c r="S14" s="53">
        <f t="shared" si="1"/>
        <v>0</v>
      </c>
      <c r="T14" s="53">
        <f t="shared" si="1"/>
        <v>0</v>
      </c>
      <c r="U14" s="53">
        <f t="shared" si="1"/>
        <v>0</v>
      </c>
      <c r="W14" s="62" t="s">
        <v>50</v>
      </c>
      <c r="X14" s="62"/>
      <c r="Y14" s="13">
        <f xml:space="preserve"> '[1]Inputs, Assumptions, &amp; Results'!$B$11</f>
        <v>0.1</v>
      </c>
    </row>
    <row r="15" spans="1:25" hidden="1" x14ac:dyDescent="0.25">
      <c r="A15" s="38" t="s">
        <v>47</v>
      </c>
      <c r="B15" s="39" t="s">
        <v>55</v>
      </c>
      <c r="C15" s="40">
        <v>0</v>
      </c>
      <c r="D15" s="40">
        <v>0.01</v>
      </c>
      <c r="E15" s="40">
        <v>0.2</v>
      </c>
      <c r="F15" s="40">
        <v>0.6</v>
      </c>
      <c r="G15" s="40">
        <v>1</v>
      </c>
      <c r="H15" s="40">
        <v>0.45</v>
      </c>
      <c r="I15" s="40">
        <v>0.15</v>
      </c>
      <c r="J15" s="40">
        <v>0.45</v>
      </c>
      <c r="K15" s="40">
        <v>0.95</v>
      </c>
      <c r="L15" s="40">
        <v>0.45</v>
      </c>
      <c r="M15" s="40">
        <v>0.15</v>
      </c>
      <c r="N15" s="40">
        <v>0.1</v>
      </c>
      <c r="O15" s="40">
        <v>0.05</v>
      </c>
      <c r="P15" s="40">
        <v>0.02</v>
      </c>
      <c r="Q15" s="40">
        <v>0.01</v>
      </c>
      <c r="R15" s="40">
        <v>0</v>
      </c>
      <c r="S15" s="40">
        <v>0</v>
      </c>
      <c r="T15" s="41">
        <v>0</v>
      </c>
      <c r="U15" s="42">
        <v>0</v>
      </c>
      <c r="W15" s="62" t="s">
        <v>47</v>
      </c>
      <c r="X15" s="62"/>
      <c r="Y15" s="13">
        <f xml:space="preserve"> '[1]Inputs, Assumptions, &amp; Results'!$B$10</f>
        <v>0.1</v>
      </c>
    </row>
    <row r="16" spans="1:25" hidden="1" x14ac:dyDescent="0.25">
      <c r="A16" s="46"/>
      <c r="B16" s="39" t="s">
        <v>58</v>
      </c>
      <c r="C16" s="40">
        <v>0.03</v>
      </c>
      <c r="D16" s="40">
        <v>0.15</v>
      </c>
      <c r="E16" s="40">
        <v>0.5</v>
      </c>
      <c r="F16" s="40">
        <v>0.9</v>
      </c>
      <c r="G16" s="40">
        <v>1</v>
      </c>
      <c r="H16" s="40">
        <v>1</v>
      </c>
      <c r="I16" s="40">
        <v>0.85</v>
      </c>
      <c r="J16" s="40">
        <v>0.85</v>
      </c>
      <c r="K16" s="40">
        <v>0.95</v>
      </c>
      <c r="L16" s="40">
        <v>0.95</v>
      </c>
      <c r="M16" s="40">
        <v>0.85</v>
      </c>
      <c r="N16" s="40">
        <v>0.6</v>
      </c>
      <c r="O16" s="40">
        <v>0.25</v>
      </c>
      <c r="P16" s="40">
        <v>0.15</v>
      </c>
      <c r="Q16" s="40">
        <v>0.05</v>
      </c>
      <c r="R16" s="40">
        <v>0.03</v>
      </c>
      <c r="S16" s="40">
        <v>0.01</v>
      </c>
      <c r="T16" s="41">
        <v>0</v>
      </c>
      <c r="U16" s="42">
        <v>0</v>
      </c>
      <c r="W16" s="62" t="s">
        <v>50</v>
      </c>
      <c r="X16" s="62"/>
      <c r="Y16" s="13">
        <f xml:space="preserve"> '[1]Inputs, Assumptions, &amp; Results'!$B$11</f>
        <v>0.1</v>
      </c>
    </row>
    <row r="17" spans="1:21" hidden="1" x14ac:dyDescent="0.25">
      <c r="A17" s="43"/>
      <c r="B17" s="39" t="s">
        <v>59</v>
      </c>
      <c r="C17" s="40">
        <v>1</v>
      </c>
      <c r="D17" s="40">
        <v>1</v>
      </c>
      <c r="E17" s="40">
        <v>1</v>
      </c>
      <c r="F17" s="40">
        <v>1</v>
      </c>
      <c r="G17" s="40">
        <v>1</v>
      </c>
      <c r="H17" s="40">
        <v>1</v>
      </c>
      <c r="I17" s="40">
        <v>1</v>
      </c>
      <c r="J17" s="40">
        <v>1</v>
      </c>
      <c r="K17" s="40">
        <v>1</v>
      </c>
      <c r="L17" s="40">
        <v>1</v>
      </c>
      <c r="M17" s="40">
        <v>1</v>
      </c>
      <c r="N17" s="40">
        <v>1</v>
      </c>
      <c r="O17" s="40">
        <v>1</v>
      </c>
      <c r="P17" s="40">
        <v>1</v>
      </c>
      <c r="Q17" s="40">
        <v>1</v>
      </c>
      <c r="R17" s="40">
        <v>1</v>
      </c>
      <c r="S17" s="40">
        <v>1</v>
      </c>
      <c r="T17" s="41">
        <v>1</v>
      </c>
      <c r="U17" s="42">
        <v>1</v>
      </c>
    </row>
    <row r="18" spans="1:21" hidden="1" x14ac:dyDescent="0.25">
      <c r="A18" s="44" t="s">
        <v>49</v>
      </c>
      <c r="B18" s="34" t="s">
        <v>55</v>
      </c>
      <c r="C18" s="35">
        <v>0</v>
      </c>
      <c r="D18" s="35">
        <v>0</v>
      </c>
      <c r="E18" s="35">
        <v>0.9</v>
      </c>
      <c r="F18" s="35">
        <v>0.9</v>
      </c>
      <c r="G18" s="35">
        <v>1</v>
      </c>
      <c r="H18" s="35">
        <v>1</v>
      </c>
      <c r="I18" s="35">
        <v>0.3</v>
      </c>
      <c r="J18" s="35">
        <v>0.9</v>
      </c>
      <c r="K18" s="35">
        <v>1</v>
      </c>
      <c r="L18" s="35">
        <v>1</v>
      </c>
      <c r="M18" s="35">
        <v>0.9</v>
      </c>
      <c r="N18" s="35">
        <v>0.8</v>
      </c>
      <c r="O18" s="35">
        <v>0.67</v>
      </c>
      <c r="P18" s="35">
        <v>0.3</v>
      </c>
      <c r="Q18" s="35">
        <v>0.15</v>
      </c>
      <c r="R18" s="35">
        <v>0</v>
      </c>
      <c r="S18" s="35">
        <v>0</v>
      </c>
      <c r="T18" s="36">
        <v>0</v>
      </c>
      <c r="U18" s="33">
        <v>0</v>
      </c>
    </row>
    <row r="19" spans="1:21" hidden="1" x14ac:dyDescent="0.25">
      <c r="A19" s="45"/>
      <c r="B19" s="34" t="s">
        <v>57</v>
      </c>
      <c r="C19" s="35">
        <v>0</v>
      </c>
      <c r="D19" s="35">
        <v>0.2</v>
      </c>
      <c r="E19" s="35">
        <v>1</v>
      </c>
      <c r="F19" s="35">
        <v>1</v>
      </c>
      <c r="G19" s="35">
        <v>1</v>
      </c>
      <c r="H19" s="35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0.67</v>
      </c>
      <c r="P19" s="35">
        <v>0.3</v>
      </c>
      <c r="Q19" s="35">
        <v>0.15</v>
      </c>
      <c r="R19" s="35">
        <v>0</v>
      </c>
      <c r="S19" s="35">
        <v>0</v>
      </c>
      <c r="T19" s="36">
        <v>0</v>
      </c>
      <c r="U19" s="33">
        <v>0</v>
      </c>
    </row>
    <row r="20" spans="1:21" x14ac:dyDescent="0.25">
      <c r="C20" s="47" cm="1">
        <f t="array" ref="C20">SUMPRODUCT(C5:C14*$Y$5:$Y$14)</f>
        <v>0.1382518355359765</v>
      </c>
      <c r="D20" s="47" cm="1">
        <f t="array" ref="D20">SUMPRODUCT(D5:D14*$Y$5:$Y$14)</f>
        <v>0.24874100587371512</v>
      </c>
      <c r="E20" s="47" cm="1">
        <f t="array" ref="E20">SUMPRODUCT(E5:E14*$Y$5:$Y$14)</f>
        <v>0.43354992657856095</v>
      </c>
      <c r="F20" s="47" cm="1">
        <f t="array" ref="F20">SUMPRODUCT(F5:F14*$Y$5:$Y$14)</f>
        <v>0.57978983113069016</v>
      </c>
      <c r="G20" s="47" cm="1">
        <f t="array" ref="G20">SUMPRODUCT(G5:G14*$Y$5:$Y$14)</f>
        <v>0.76067731277533035</v>
      </c>
      <c r="H20" s="47" cm="1">
        <f t="array" ref="H20">SUMPRODUCT(H5:H14*$Y$5:$Y$14)</f>
        <v>0.86113803230543318</v>
      </c>
      <c r="I20" s="47" cm="1">
        <f t="array" ref="I20">SUMPRODUCT(I5:I14*$Y$5:$Y$14)</f>
        <v>0.93166666666666664</v>
      </c>
      <c r="J20" s="47" cm="1">
        <f t="array" ref="J20">SUMPRODUCT(J5:J14*$Y$5:$Y$14)</f>
        <v>0.94528450807635822</v>
      </c>
      <c r="K20" s="47" cm="1">
        <f t="array" ref="K20">SUMPRODUCT(K5:K14*$Y$5:$Y$14)</f>
        <v>0.83277074155653452</v>
      </c>
      <c r="L20" s="47" cm="1">
        <f t="array" ref="L20">SUMPRODUCT(L5:L14*$Y$5:$Y$14)</f>
        <v>0.70869218061674</v>
      </c>
      <c r="M20" s="47" cm="1">
        <f t="array" ref="M20">SUMPRODUCT(M5:M14*$Y$5:$Y$14)</f>
        <v>0.67915290014684282</v>
      </c>
      <c r="N20" s="47" cm="1">
        <f t="array" ref="N20">SUMPRODUCT(N5:N14*$Y$5:$Y$14)</f>
        <v>0.76174100587371507</v>
      </c>
      <c r="O20" s="47" cm="1">
        <f t="array" ref="O20">SUMPRODUCT(O5:O14*$Y$5:$Y$14)</f>
        <v>0.80058388399412639</v>
      </c>
      <c r="P20" s="47" cm="1">
        <f t="array" ref="P20">SUMPRODUCT(P5:P14*$Y$5:$Y$14)</f>
        <v>0.72407433920704856</v>
      </c>
      <c r="Q20" s="47" cm="1">
        <f t="array" ref="Q20">SUMPRODUCT(Q5:Q14*$Y$5:$Y$14)</f>
        <v>0.60221659324522758</v>
      </c>
      <c r="R20" s="47" cm="1">
        <f t="array" ref="R20">SUMPRODUCT(R5:R14*$Y$5:$Y$14)</f>
        <v>0.42440767254038175</v>
      </c>
      <c r="S20" s="47" cm="1">
        <f t="array" ref="S20">SUMPRODUCT(S5:S14*$Y$5:$Y$14)</f>
        <v>0.29874100587371516</v>
      </c>
      <c r="T20" s="47" cm="1">
        <f t="array" ref="T20">SUMPRODUCT(T5:T14*$Y$5:$Y$14)</f>
        <v>0.23159875183553597</v>
      </c>
      <c r="U20" s="47" cm="1">
        <f t="array" ref="U20">SUMPRODUCT(U5:U14*$Y$5:$Y$14)</f>
        <v>0.12556901615271659</v>
      </c>
    </row>
  </sheetData>
  <mergeCells count="16">
    <mergeCell ref="A1:U2"/>
    <mergeCell ref="A3:B3"/>
    <mergeCell ref="W3:Y3"/>
    <mergeCell ref="W16:X16"/>
    <mergeCell ref="W4:Y4"/>
    <mergeCell ref="W7:Y7"/>
    <mergeCell ref="W5:X5"/>
    <mergeCell ref="W9:X9"/>
    <mergeCell ref="W12:Y12"/>
    <mergeCell ref="W13:X13"/>
    <mergeCell ref="W6:X6"/>
    <mergeCell ref="W8:X8"/>
    <mergeCell ref="W10:X10"/>
    <mergeCell ref="W11:X11"/>
    <mergeCell ref="W15:X15"/>
    <mergeCell ref="W14:X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DA8D-56A5-4955-936D-B47D3E2FBD04}">
  <dimension ref="A1:Y20"/>
  <sheetViews>
    <sheetView workbookViewId="0">
      <selection activeCell="C20" sqref="C20"/>
    </sheetView>
  </sheetViews>
  <sheetFormatPr defaultRowHeight="15" x14ac:dyDescent="0.25"/>
  <cols>
    <col min="1" max="1" width="34.5703125" customWidth="1"/>
    <col min="2" max="2" width="18.5703125" customWidth="1"/>
  </cols>
  <sheetData>
    <row r="1" spans="1:25" x14ac:dyDescent="0.25">
      <c r="A1" s="57" t="s">
        <v>53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5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spans="1:25" x14ac:dyDescent="0.25">
      <c r="A3" s="59" t="s">
        <v>18</v>
      </c>
      <c r="B3" s="60"/>
      <c r="C3" s="27">
        <v>0.25</v>
      </c>
      <c r="D3" s="27">
        <v>0.29166666666666702</v>
      </c>
      <c r="E3" s="27">
        <v>0.33333333333333298</v>
      </c>
      <c r="F3" s="27">
        <v>0.375</v>
      </c>
      <c r="G3" s="27">
        <v>0.41666666666666702</v>
      </c>
      <c r="H3" s="27">
        <v>0.45833333333333298</v>
      </c>
      <c r="I3" s="27">
        <v>0.5</v>
      </c>
      <c r="J3" s="27">
        <v>0.54166666666666696</v>
      </c>
      <c r="K3" s="27">
        <v>0.58333333333333304</v>
      </c>
      <c r="L3" s="27">
        <v>0.625</v>
      </c>
      <c r="M3" s="27">
        <v>0.66666666666666696</v>
      </c>
      <c r="N3" s="27">
        <v>0.70833333333333404</v>
      </c>
      <c r="O3" s="27">
        <v>0.75</v>
      </c>
      <c r="P3" s="27">
        <v>0.79166666666666696</v>
      </c>
      <c r="Q3" s="27">
        <v>0.83333333333333404</v>
      </c>
      <c r="R3" s="27">
        <v>0.875</v>
      </c>
      <c r="S3" s="27">
        <v>0.91666666666666696</v>
      </c>
      <c r="T3" s="27">
        <v>0.95833333333333404</v>
      </c>
      <c r="U3" s="28">
        <v>1</v>
      </c>
      <c r="W3" s="61" t="s">
        <v>31</v>
      </c>
      <c r="X3" s="61"/>
      <c r="Y3" s="61"/>
    </row>
    <row r="4" spans="1:25" x14ac:dyDescent="0.25">
      <c r="A4" s="50" t="s">
        <v>54</v>
      </c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28"/>
      <c r="W4" s="63" t="str">
        <f xml:space="preserve"> "Retail: " &amp; TEXT('[1]Inputs, Assumptions, &amp; Results'!$B$7,"0%")</f>
        <v>Retail: 30%</v>
      </c>
      <c r="X4" s="64"/>
      <c r="Y4" s="64"/>
    </row>
    <row r="5" spans="1:25" x14ac:dyDescent="0.25">
      <c r="A5" s="29" t="s">
        <v>54</v>
      </c>
      <c r="B5" s="30" t="s">
        <v>55</v>
      </c>
      <c r="C5" s="31">
        <v>0.01</v>
      </c>
      <c r="D5" s="31">
        <v>0.05</v>
      </c>
      <c r="E5" s="31">
        <v>0.3</v>
      </c>
      <c r="F5" s="31">
        <v>0.5</v>
      </c>
      <c r="G5" s="31">
        <v>0.7</v>
      </c>
      <c r="H5" s="31">
        <v>0.9</v>
      </c>
      <c r="I5" s="31">
        <v>0.95</v>
      </c>
      <c r="J5" s="31">
        <v>1</v>
      </c>
      <c r="K5" s="31">
        <v>1</v>
      </c>
      <c r="L5" s="31">
        <v>0.95</v>
      </c>
      <c r="M5" s="31">
        <v>0.9</v>
      </c>
      <c r="N5" s="31">
        <v>0.8</v>
      </c>
      <c r="O5" s="31">
        <v>0.75</v>
      </c>
      <c r="P5" s="31">
        <v>0.7</v>
      </c>
      <c r="Q5" s="31">
        <v>0.65</v>
      </c>
      <c r="R5" s="31">
        <v>0.5</v>
      </c>
      <c r="S5" s="31">
        <v>0.3</v>
      </c>
      <c r="T5" s="32">
        <v>0.1</v>
      </c>
      <c r="U5" s="33">
        <v>0</v>
      </c>
      <c r="W5" s="62" t="s">
        <v>36</v>
      </c>
      <c r="X5" s="62"/>
      <c r="Y5" s="13">
        <f xml:space="preserve"> '[1]Inputs, Assumptions, &amp; Results'!$B$7 * '[1]Monthly Demand'!$Y$5</f>
        <v>0.26382158590308369</v>
      </c>
    </row>
    <row r="6" spans="1:25" x14ac:dyDescent="0.25">
      <c r="A6" s="37" t="s">
        <v>56</v>
      </c>
      <c r="B6" s="34" t="s">
        <v>57</v>
      </c>
      <c r="C6" s="35">
        <v>0.1</v>
      </c>
      <c r="D6" s="35">
        <v>0.15</v>
      </c>
      <c r="E6" s="35">
        <v>0.4</v>
      </c>
      <c r="F6" s="35">
        <v>0.75</v>
      </c>
      <c r="G6" s="35">
        <v>0.85</v>
      </c>
      <c r="H6" s="35">
        <v>0.95</v>
      </c>
      <c r="I6" s="35">
        <v>1</v>
      </c>
      <c r="J6" s="35">
        <v>1</v>
      </c>
      <c r="K6" s="35">
        <v>1</v>
      </c>
      <c r="L6" s="35">
        <v>1</v>
      </c>
      <c r="M6" s="35">
        <v>1</v>
      </c>
      <c r="N6" s="35">
        <v>0.95</v>
      </c>
      <c r="O6" s="35">
        <v>0.85</v>
      </c>
      <c r="P6" s="35">
        <v>0.8</v>
      </c>
      <c r="Q6" s="35">
        <v>0.75</v>
      </c>
      <c r="R6" s="35">
        <v>0.65</v>
      </c>
      <c r="S6" s="35">
        <v>0.45</v>
      </c>
      <c r="T6" s="36">
        <v>0.15</v>
      </c>
      <c r="U6" s="33">
        <v>0</v>
      </c>
      <c r="W6" s="62" t="s">
        <v>39</v>
      </c>
      <c r="X6" s="62"/>
      <c r="Y6" s="13">
        <f xml:space="preserve"> '[1]Inputs, Assumptions, &amp; Results'!$B$7 * '[1]Monthly Demand'!$Y$4</f>
        <v>3.6178414096916287E-2</v>
      </c>
    </row>
    <row r="7" spans="1:25" x14ac:dyDescent="0.25">
      <c r="A7" s="50" t="s">
        <v>40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W7" s="64" t="str">
        <f xml:space="preserve"> "Food and Bev: " &amp; TEXT('[1]Inputs, Assumptions, &amp; Results'!$B$8 + '[1]Inputs, Assumptions, &amp; Results'!$B$9,"0%")</f>
        <v>Food and Bev: 50%</v>
      </c>
      <c r="X7" s="64"/>
      <c r="Y7" s="64"/>
    </row>
    <row r="8" spans="1:25" x14ac:dyDescent="0.25">
      <c r="A8" s="44" t="s">
        <v>41</v>
      </c>
      <c r="B8" s="34" t="s">
        <v>55</v>
      </c>
      <c r="C8" s="35">
        <v>0.1</v>
      </c>
      <c r="D8" s="35">
        <v>0.25</v>
      </c>
      <c r="E8" s="35">
        <v>0.45</v>
      </c>
      <c r="F8" s="35">
        <v>0.7</v>
      </c>
      <c r="G8" s="35">
        <v>0.9</v>
      </c>
      <c r="H8" s="35">
        <v>0.9</v>
      </c>
      <c r="I8" s="35">
        <v>1</v>
      </c>
      <c r="J8" s="35">
        <v>0.85</v>
      </c>
      <c r="K8" s="35">
        <v>0.65</v>
      </c>
      <c r="L8" s="35">
        <v>0.4</v>
      </c>
      <c r="M8" s="35">
        <v>0.45</v>
      </c>
      <c r="N8" s="35">
        <v>0.6</v>
      </c>
      <c r="O8" s="35">
        <v>0.7</v>
      </c>
      <c r="P8" s="35">
        <v>0.7</v>
      </c>
      <c r="Q8" s="35">
        <v>0.65</v>
      </c>
      <c r="R8" s="35">
        <v>0.3</v>
      </c>
      <c r="S8" s="35">
        <v>0.25</v>
      </c>
      <c r="T8" s="36">
        <v>0.15</v>
      </c>
      <c r="U8" s="33">
        <v>0.1</v>
      </c>
      <c r="W8" s="62" t="s">
        <v>42</v>
      </c>
      <c r="X8" s="62"/>
      <c r="Y8" s="19">
        <f xml:space="preserve"> '[1]Inputs, Assumptions, &amp; Results'!$B$8 * '[1]Monthly Demand'!$Y$5</f>
        <v>0.26382158590308369</v>
      </c>
    </row>
    <row r="9" spans="1:25" x14ac:dyDescent="0.25">
      <c r="A9" s="45"/>
      <c r="B9" s="34" t="s">
        <v>57</v>
      </c>
      <c r="C9" s="35">
        <v>0.5</v>
      </c>
      <c r="D9" s="35">
        <v>0.75</v>
      </c>
      <c r="E9" s="35">
        <v>0.9</v>
      </c>
      <c r="F9" s="35">
        <v>0.9</v>
      </c>
      <c r="G9" s="35">
        <v>1</v>
      </c>
      <c r="H9" s="35">
        <v>1</v>
      </c>
      <c r="I9" s="35">
        <v>1</v>
      </c>
      <c r="J9" s="35">
        <v>1</v>
      </c>
      <c r="K9" s="35">
        <v>1</v>
      </c>
      <c r="L9" s="35">
        <v>0.75</v>
      </c>
      <c r="M9" s="35">
        <v>0.75</v>
      </c>
      <c r="N9" s="35">
        <v>0.95</v>
      </c>
      <c r="O9" s="35">
        <v>0.95</v>
      </c>
      <c r="P9" s="35">
        <v>0.95</v>
      </c>
      <c r="Q9" s="35">
        <v>0.95</v>
      </c>
      <c r="R9" s="35">
        <v>0.8</v>
      </c>
      <c r="S9" s="35">
        <v>0.65</v>
      </c>
      <c r="T9" s="36">
        <v>0.65</v>
      </c>
      <c r="U9" s="33">
        <v>0.35</v>
      </c>
      <c r="W9" s="62" t="s">
        <v>43</v>
      </c>
      <c r="X9" s="62"/>
      <c r="Y9" s="19">
        <f xml:space="preserve"> '[1]Inputs, Assumptions, &amp; Results'!$B$8 * '[1]Monthly Demand'!$Y$4</f>
        <v>3.6178414096916287E-2</v>
      </c>
    </row>
    <row r="10" spans="1:25" x14ac:dyDescent="0.25">
      <c r="A10" s="38" t="s">
        <v>44</v>
      </c>
      <c r="B10" s="39" t="s">
        <v>55</v>
      </c>
      <c r="C10" s="40">
        <v>0.05</v>
      </c>
      <c r="D10" s="40">
        <v>0.1</v>
      </c>
      <c r="E10" s="40">
        <v>0.2</v>
      </c>
      <c r="F10" s="40">
        <v>0.3</v>
      </c>
      <c r="G10" s="40">
        <v>0.55000000000000004</v>
      </c>
      <c r="H10" s="40">
        <v>0.85</v>
      </c>
      <c r="I10" s="40">
        <v>1</v>
      </c>
      <c r="J10" s="40">
        <v>1</v>
      </c>
      <c r="K10" s="40">
        <v>0.9</v>
      </c>
      <c r="L10" s="40">
        <v>0.6</v>
      </c>
      <c r="M10" s="40">
        <v>0.55000000000000004</v>
      </c>
      <c r="N10" s="40">
        <v>0.6</v>
      </c>
      <c r="O10" s="40">
        <v>0.85</v>
      </c>
      <c r="P10" s="40">
        <v>0.8</v>
      </c>
      <c r="Q10" s="40">
        <v>0.5</v>
      </c>
      <c r="R10" s="40">
        <v>0.3</v>
      </c>
      <c r="S10" s="40">
        <v>0.2</v>
      </c>
      <c r="T10" s="41">
        <v>0.1</v>
      </c>
      <c r="U10" s="42">
        <v>0.05</v>
      </c>
      <c r="W10" s="62" t="s">
        <v>45</v>
      </c>
      <c r="X10" s="62"/>
      <c r="Y10" s="19">
        <f xml:space="preserve"> '[1]Inputs, Assumptions, &amp; Results'!$B$9 * '[1]Monthly Demand'!$Y$5</f>
        <v>0.1758810572687225</v>
      </c>
    </row>
    <row r="11" spans="1:25" x14ac:dyDescent="0.25">
      <c r="A11" s="43"/>
      <c r="B11" s="39" t="s">
        <v>57</v>
      </c>
      <c r="C11" s="40">
        <v>0.15</v>
      </c>
      <c r="D11" s="40">
        <v>0.2</v>
      </c>
      <c r="E11" s="40">
        <v>0.3</v>
      </c>
      <c r="F11" s="40">
        <v>0.4</v>
      </c>
      <c r="G11" s="40">
        <v>0.75</v>
      </c>
      <c r="H11" s="40">
        <v>1</v>
      </c>
      <c r="I11" s="40">
        <v>1</v>
      </c>
      <c r="J11" s="40">
        <v>1</v>
      </c>
      <c r="K11" s="40">
        <v>0.95</v>
      </c>
      <c r="L11" s="40">
        <v>0.7</v>
      </c>
      <c r="M11" s="40">
        <v>0.6</v>
      </c>
      <c r="N11" s="40">
        <v>0.7</v>
      </c>
      <c r="O11" s="40">
        <v>0.9</v>
      </c>
      <c r="P11" s="40">
        <v>0.9</v>
      </c>
      <c r="Q11" s="40">
        <v>0.6</v>
      </c>
      <c r="R11" s="40">
        <v>0.4</v>
      </c>
      <c r="S11" s="40">
        <v>0.3</v>
      </c>
      <c r="T11" s="41">
        <v>0.2</v>
      </c>
      <c r="U11" s="42">
        <v>0.2</v>
      </c>
      <c r="W11" s="62" t="s">
        <v>46</v>
      </c>
      <c r="X11" s="62"/>
      <c r="Y11" s="19">
        <f xml:space="preserve"> '[1]Inputs, Assumptions, &amp; Results'!$B$9 * '[1]Monthly Demand'!$Y$4</f>
        <v>2.4118942731277529E-2</v>
      </c>
    </row>
    <row r="12" spans="1:25" x14ac:dyDescent="0.25">
      <c r="A12" s="50" t="s">
        <v>47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W12" s="64" t="str">
        <f xml:space="preserve"> "Office" &amp; TEXT('[1]Inputs, Assumptions, &amp; Results'!$B$10 + '[1]Inputs, Assumptions, &amp; Results'!$B$11,"0%")</f>
        <v>Office20%</v>
      </c>
      <c r="X12" s="64"/>
      <c r="Y12" s="64"/>
    </row>
    <row r="13" spans="1:25" x14ac:dyDescent="0.25">
      <c r="A13" s="51" t="s">
        <v>47</v>
      </c>
      <c r="B13" s="52" t="s">
        <v>56</v>
      </c>
      <c r="C13" s="53">
        <f>AVERAGE(C15:C17)</f>
        <v>0.33333333333333331</v>
      </c>
      <c r="D13" s="53">
        <f t="shared" ref="D13:U13" si="0">AVERAGE(D15:D17)</f>
        <v>0.46666666666666662</v>
      </c>
      <c r="E13" s="53">
        <f t="shared" si="0"/>
        <v>0.73333333333333339</v>
      </c>
      <c r="F13" s="53">
        <f t="shared" si="0"/>
        <v>0.8666666666666667</v>
      </c>
      <c r="G13" s="53">
        <f t="shared" si="0"/>
        <v>0.93333333333333324</v>
      </c>
      <c r="H13" s="53">
        <f t="shared" si="0"/>
        <v>1</v>
      </c>
      <c r="I13" s="53">
        <f t="shared" si="0"/>
        <v>0.93333333333333324</v>
      </c>
      <c r="J13" s="53">
        <f t="shared" si="0"/>
        <v>0.8666666666666667</v>
      </c>
      <c r="K13" s="53">
        <f t="shared" si="0"/>
        <v>0.73333333333333339</v>
      </c>
      <c r="L13" s="53">
        <f t="shared" si="0"/>
        <v>0.6</v>
      </c>
      <c r="M13" s="53">
        <f t="shared" si="0"/>
        <v>0.46666666666666662</v>
      </c>
      <c r="N13" s="53">
        <f t="shared" si="0"/>
        <v>0.39999999999999997</v>
      </c>
      <c r="O13" s="53">
        <f t="shared" si="0"/>
        <v>0.3666666666666667</v>
      </c>
      <c r="P13" s="53">
        <f t="shared" si="0"/>
        <v>0.33333333333333331</v>
      </c>
      <c r="Q13" s="53">
        <f t="shared" si="0"/>
        <v>0.33333333333333331</v>
      </c>
      <c r="R13" s="53">
        <f t="shared" si="0"/>
        <v>0.33333333333333331</v>
      </c>
      <c r="S13" s="53">
        <f t="shared" si="0"/>
        <v>0.33333333333333331</v>
      </c>
      <c r="T13" s="53">
        <f t="shared" si="0"/>
        <v>0.33333333333333331</v>
      </c>
      <c r="U13" s="53">
        <f t="shared" si="0"/>
        <v>0.33333333333333331</v>
      </c>
      <c r="W13" s="62" t="s">
        <v>47</v>
      </c>
      <c r="X13" s="62"/>
      <c r="Y13" s="13">
        <f xml:space="preserve"> '[1]Inputs, Assumptions, &amp; Results'!$B$10</f>
        <v>0.1</v>
      </c>
    </row>
    <row r="14" spans="1:25" x14ac:dyDescent="0.25">
      <c r="A14" s="51" t="s">
        <v>49</v>
      </c>
      <c r="B14" s="52"/>
      <c r="C14" s="53">
        <f>AVERAGE(C18:C19)</f>
        <v>0</v>
      </c>
      <c r="D14" s="53">
        <f t="shared" ref="D14:U14" si="1">AVERAGE(D18:D19)</f>
        <v>0.1</v>
      </c>
      <c r="E14" s="53">
        <f t="shared" si="1"/>
        <v>0.95</v>
      </c>
      <c r="F14" s="53">
        <f t="shared" si="1"/>
        <v>0.95</v>
      </c>
      <c r="G14" s="53">
        <f t="shared" si="1"/>
        <v>1</v>
      </c>
      <c r="H14" s="53">
        <f t="shared" si="1"/>
        <v>1</v>
      </c>
      <c r="I14" s="53">
        <f t="shared" si="1"/>
        <v>0.65</v>
      </c>
      <c r="J14" s="53">
        <f t="shared" si="1"/>
        <v>0</v>
      </c>
      <c r="K14" s="53">
        <f t="shared" si="1"/>
        <v>0</v>
      </c>
      <c r="L14" s="53">
        <f t="shared" si="1"/>
        <v>0</v>
      </c>
      <c r="M14" s="53">
        <f t="shared" si="1"/>
        <v>0</v>
      </c>
      <c r="N14" s="53">
        <f t="shared" si="1"/>
        <v>0</v>
      </c>
      <c r="O14" s="53">
        <f t="shared" si="1"/>
        <v>0</v>
      </c>
      <c r="P14" s="53">
        <f t="shared" si="1"/>
        <v>0</v>
      </c>
      <c r="Q14" s="53">
        <f t="shared" si="1"/>
        <v>0</v>
      </c>
      <c r="R14" s="53">
        <f t="shared" si="1"/>
        <v>0</v>
      </c>
      <c r="S14" s="53">
        <f t="shared" si="1"/>
        <v>0</v>
      </c>
      <c r="T14" s="53">
        <f t="shared" si="1"/>
        <v>0</v>
      </c>
      <c r="U14" s="53">
        <f t="shared" si="1"/>
        <v>0</v>
      </c>
      <c r="W14" s="62" t="s">
        <v>50</v>
      </c>
      <c r="X14" s="62"/>
      <c r="Y14" s="13">
        <f xml:space="preserve"> '[1]Inputs, Assumptions, &amp; Results'!$B$11</f>
        <v>0.1</v>
      </c>
    </row>
    <row r="15" spans="1:25" hidden="1" x14ac:dyDescent="0.25">
      <c r="A15" s="38" t="s">
        <v>47</v>
      </c>
      <c r="B15" s="39" t="s">
        <v>55</v>
      </c>
      <c r="C15" s="40">
        <v>0</v>
      </c>
      <c r="D15" s="40">
        <v>0.2</v>
      </c>
      <c r="E15" s="40">
        <v>0.6</v>
      </c>
      <c r="F15" s="40">
        <v>0.8</v>
      </c>
      <c r="G15" s="40">
        <v>0.9</v>
      </c>
      <c r="H15" s="40">
        <v>1</v>
      </c>
      <c r="I15" s="40">
        <v>0.9</v>
      </c>
      <c r="J15" s="40">
        <v>0.8</v>
      </c>
      <c r="K15" s="40">
        <v>0.6</v>
      </c>
      <c r="L15" s="40">
        <v>0.4</v>
      </c>
      <c r="M15" s="40">
        <v>0.2</v>
      </c>
      <c r="N15" s="40">
        <v>0.1</v>
      </c>
      <c r="O15" s="40">
        <v>0.05</v>
      </c>
      <c r="P15" s="40">
        <v>0</v>
      </c>
      <c r="Q15" s="40">
        <v>0</v>
      </c>
      <c r="R15" s="40">
        <v>0</v>
      </c>
      <c r="S15" s="40">
        <v>0</v>
      </c>
      <c r="T15" s="41">
        <v>0</v>
      </c>
      <c r="U15" s="42">
        <v>0</v>
      </c>
      <c r="W15" s="62" t="s">
        <v>47</v>
      </c>
      <c r="X15" s="62"/>
      <c r="Y15" s="13">
        <f xml:space="preserve"> '[1]Inputs, Assumptions, &amp; Results'!$B$10</f>
        <v>0.1</v>
      </c>
    </row>
    <row r="16" spans="1:25" hidden="1" x14ac:dyDescent="0.25">
      <c r="A16" s="46"/>
      <c r="B16" s="39" t="s">
        <v>58</v>
      </c>
      <c r="C16" s="40">
        <v>0</v>
      </c>
      <c r="D16" s="40">
        <v>0.2</v>
      </c>
      <c r="E16" s="40">
        <v>0.6</v>
      </c>
      <c r="F16" s="40">
        <v>0.8</v>
      </c>
      <c r="G16" s="40">
        <v>0.9</v>
      </c>
      <c r="H16" s="40">
        <v>1</v>
      </c>
      <c r="I16" s="40">
        <v>0.9</v>
      </c>
      <c r="J16" s="40">
        <v>0.8</v>
      </c>
      <c r="K16" s="40">
        <v>0.6</v>
      </c>
      <c r="L16" s="40">
        <v>0.4</v>
      </c>
      <c r="M16" s="40">
        <v>0.2</v>
      </c>
      <c r="N16" s="40">
        <v>0.1</v>
      </c>
      <c r="O16" s="40">
        <v>0.05</v>
      </c>
      <c r="P16" s="40">
        <v>0</v>
      </c>
      <c r="Q16" s="40">
        <v>0</v>
      </c>
      <c r="R16" s="40">
        <v>0</v>
      </c>
      <c r="S16" s="40">
        <v>0</v>
      </c>
      <c r="T16" s="41">
        <v>0</v>
      </c>
      <c r="U16" s="42">
        <v>0</v>
      </c>
      <c r="W16" s="62" t="s">
        <v>50</v>
      </c>
      <c r="X16" s="62"/>
      <c r="Y16" s="13">
        <f xml:space="preserve"> '[1]Inputs, Assumptions, &amp; Results'!$B$11</f>
        <v>0.1</v>
      </c>
    </row>
    <row r="17" spans="1:21" hidden="1" x14ac:dyDescent="0.25">
      <c r="A17" s="43"/>
      <c r="B17" s="39" t="s">
        <v>59</v>
      </c>
      <c r="C17" s="40">
        <v>1</v>
      </c>
      <c r="D17" s="40">
        <v>1</v>
      </c>
      <c r="E17" s="40">
        <v>1</v>
      </c>
      <c r="F17" s="40">
        <v>1</v>
      </c>
      <c r="G17" s="40">
        <v>1</v>
      </c>
      <c r="H17" s="40">
        <v>1</v>
      </c>
      <c r="I17" s="40">
        <v>1</v>
      </c>
      <c r="J17" s="40">
        <v>1</v>
      </c>
      <c r="K17" s="40">
        <v>1</v>
      </c>
      <c r="L17" s="40">
        <v>1</v>
      </c>
      <c r="M17" s="40">
        <v>1</v>
      </c>
      <c r="N17" s="40">
        <v>1</v>
      </c>
      <c r="O17" s="40">
        <v>1</v>
      </c>
      <c r="P17" s="40">
        <v>1</v>
      </c>
      <c r="Q17" s="40">
        <v>1</v>
      </c>
      <c r="R17" s="40">
        <v>1</v>
      </c>
      <c r="S17" s="40">
        <v>1</v>
      </c>
      <c r="T17" s="41">
        <v>1</v>
      </c>
      <c r="U17" s="42">
        <v>1</v>
      </c>
    </row>
    <row r="18" spans="1:21" hidden="1" x14ac:dyDescent="0.25">
      <c r="A18" s="44" t="s">
        <v>49</v>
      </c>
      <c r="B18" s="34" t="s">
        <v>55</v>
      </c>
      <c r="C18" s="35">
        <v>0</v>
      </c>
      <c r="D18" s="35">
        <v>0</v>
      </c>
      <c r="E18" s="35">
        <v>0.9</v>
      </c>
      <c r="F18" s="35">
        <v>0.9</v>
      </c>
      <c r="G18" s="35">
        <v>1</v>
      </c>
      <c r="H18" s="35">
        <v>1</v>
      </c>
      <c r="I18" s="35">
        <v>0.3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6">
        <v>0</v>
      </c>
      <c r="U18" s="33">
        <v>0</v>
      </c>
    </row>
    <row r="19" spans="1:21" hidden="1" x14ac:dyDescent="0.25">
      <c r="A19" s="45"/>
      <c r="B19" s="34" t="s">
        <v>57</v>
      </c>
      <c r="C19" s="35">
        <v>0</v>
      </c>
      <c r="D19" s="35">
        <v>0.2</v>
      </c>
      <c r="E19" s="35">
        <v>1</v>
      </c>
      <c r="F19" s="35">
        <v>1</v>
      </c>
      <c r="G19" s="35">
        <v>1</v>
      </c>
      <c r="H19" s="35">
        <v>1</v>
      </c>
      <c r="I19" s="35">
        <v>1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6">
        <v>0</v>
      </c>
      <c r="U19" s="33">
        <v>0</v>
      </c>
    </row>
    <row r="20" spans="1:21" x14ac:dyDescent="0.25">
      <c r="C20" s="47" cm="1">
        <f t="array" ref="C20">SUMPRODUCT(C5:C14*$Y$5:$Y$14)</f>
        <v>9.647265051395007E-2</v>
      </c>
      <c r="D20" s="47" cm="1">
        <f t="array" ref="D20">SUMPRODUCT(D5:D14*$Y$5:$Y$14)</f>
        <v>0.1907856093979442</v>
      </c>
      <c r="E20" s="47" cm="1">
        <f t="array" ref="E20">SUMPRODUCT(E5:E14*$Y$5:$Y$14)</f>
        <v>0.45564335535976508</v>
      </c>
      <c r="F20" s="47" cm="1">
        <f t="array" ref="F20">SUMPRODUCT(F5:F14*$Y$5:$Y$14)</f>
        <v>0.62035884728340673</v>
      </c>
      <c r="G20" s="47" cm="1">
        <f t="array" ref="G20">SUMPRODUCT(G5:G14*$Y$5:$Y$14)</f>
        <v>0.79720172540381784</v>
      </c>
      <c r="H20" s="47" cm="1">
        <f t="array" ref="H20">SUMPRODUCT(H5:H14*$Y$5:$Y$14)</f>
        <v>0.91904460352422901</v>
      </c>
      <c r="I20" s="47" cm="1">
        <f t="array" ref="I20">SUMPRODUCT(I5:I14*$Y$5:$Y$14)</f>
        <v>0.94514225403817909</v>
      </c>
      <c r="J20" s="47" cm="1">
        <f t="array" ref="J20">SUMPRODUCT(J5:J14*$Y$5:$Y$14)</f>
        <v>0.84709342878120408</v>
      </c>
      <c r="K20" s="47" cm="1">
        <f t="array" ref="K20">SUMPRODUCT(K5:K14*$Y$5:$Y$14)</f>
        <v>0.76220172540381792</v>
      </c>
      <c r="L20" s="47" cm="1">
        <f t="array" ref="L20">SUMPRODUCT(L5:L14*$Y$5:$Y$14)</f>
        <v>0.6018832599118944</v>
      </c>
      <c r="M20" s="47" cm="1">
        <f t="array" ref="M20">SUMPRODUCT(M5:M14*$Y$5:$Y$14)</f>
        <v>0.577343979441997</v>
      </c>
      <c r="N20" s="47" cm="1">
        <f t="array" ref="N20">SUMPRODUCT(N5:N14*$Y$5:$Y$14)</f>
        <v>0.60050110132158596</v>
      </c>
      <c r="O20" s="47" cm="1">
        <f t="array" ref="O20">SUMPRODUCT(O5:O14*$Y$5:$Y$14)</f>
        <v>0.65553505873715112</v>
      </c>
      <c r="P20" s="47" cm="1">
        <f t="array" ref="P20">SUMPRODUCT(P5:P14*$Y$5:$Y$14)</f>
        <v>0.62840767254038177</v>
      </c>
      <c r="Q20" s="47" cm="1">
        <f t="array" ref="Q20">SUMPRODUCT(Q5:Q14*$Y$5:$Y$14)</f>
        <v>0.54021659324522753</v>
      </c>
      <c r="R20" s="47" cm="1">
        <f t="array" ref="R20">SUMPRODUCT(R5:R14*$Y$5:$Y$14)</f>
        <v>0.35926119676945667</v>
      </c>
      <c r="S20" s="47" cm="1">
        <f t="array" ref="S20">SUMPRODUCT(S5:S14*$Y$5:$Y$14)</f>
        <v>0.26064335535976502</v>
      </c>
      <c r="T20" s="47" cm="1">
        <f t="array" ref="T20">SUMPRODUCT(T5:T14*$Y$5:$Y$14)</f>
        <v>0.15064335535976503</v>
      </c>
      <c r="U20" s="47" cm="1">
        <f t="array" ref="U20">SUMPRODUCT(U5:U14*$Y$5:$Y$14)</f>
        <v>8.5995778267254047E-2</v>
      </c>
    </row>
  </sheetData>
  <mergeCells count="16">
    <mergeCell ref="W6:X6"/>
    <mergeCell ref="A1:U2"/>
    <mergeCell ref="A3:B3"/>
    <mergeCell ref="W3:Y3"/>
    <mergeCell ref="W4:Y4"/>
    <mergeCell ref="W5:X5"/>
    <mergeCell ref="W13:X13"/>
    <mergeCell ref="W14:X14"/>
    <mergeCell ref="W15:X15"/>
    <mergeCell ref="W16:X16"/>
    <mergeCell ref="W7:Y7"/>
    <mergeCell ref="W8:X8"/>
    <mergeCell ref="W9:X9"/>
    <mergeCell ref="W10:X10"/>
    <mergeCell ref="W11:X11"/>
    <mergeCell ref="W12:Y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BDC9-DBA3-4F00-8B1F-A879ABC87F02}">
  <dimension ref="A1:Y19"/>
  <sheetViews>
    <sheetView workbookViewId="0">
      <selection activeCell="T3" sqref="T3:V14"/>
    </sheetView>
  </sheetViews>
  <sheetFormatPr defaultRowHeight="15" x14ac:dyDescent="0.25"/>
  <cols>
    <col min="24" max="24" width="10.5703125" customWidth="1"/>
    <col min="25" max="25" width="16.85546875" customWidth="1"/>
  </cols>
  <sheetData>
    <row r="1" spans="1:25" x14ac:dyDescent="0.25">
      <c r="A1" s="65" t="s">
        <v>17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25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spans="1:25" x14ac:dyDescent="0.25">
      <c r="A3" s="67" t="s">
        <v>18</v>
      </c>
      <c r="B3" s="67"/>
      <c r="C3" s="67"/>
      <c r="D3" s="67"/>
      <c r="E3" s="68"/>
      <c r="F3" s="7" t="s">
        <v>19</v>
      </c>
      <c r="G3" s="7" t="s">
        <v>20</v>
      </c>
      <c r="H3" s="7" t="s">
        <v>21</v>
      </c>
      <c r="I3" s="7" t="s">
        <v>22</v>
      </c>
      <c r="J3" s="7" t="s">
        <v>9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  <c r="P3" s="7" t="s">
        <v>28</v>
      </c>
      <c r="Q3" s="7" t="s">
        <v>29</v>
      </c>
      <c r="R3" s="7" t="s">
        <v>30</v>
      </c>
      <c r="T3" s="61" t="s">
        <v>31</v>
      </c>
      <c r="U3" s="61"/>
      <c r="V3" s="61"/>
      <c r="X3" s="69" t="s">
        <v>32</v>
      </c>
      <c r="Y3" s="70"/>
    </row>
    <row r="4" spans="1:25" x14ac:dyDescent="0.25">
      <c r="A4" s="8" t="s">
        <v>33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T4" s="63" t="str">
        <f xml:space="preserve"> "Retail: " &amp; TEXT('[1]Inputs, Assumptions, &amp; Results'!$B$7,"0%")</f>
        <v>Retail: 30%</v>
      </c>
      <c r="U4" s="64"/>
      <c r="V4" s="64"/>
      <c r="X4" s="9" t="s">
        <v>34</v>
      </c>
      <c r="Y4" s="9">
        <f xml:space="preserve"> 1 - Y5</f>
        <v>0.12059471365638763</v>
      </c>
    </row>
    <row r="5" spans="1:25" x14ac:dyDescent="0.25">
      <c r="A5" s="10" t="s">
        <v>35</v>
      </c>
      <c r="B5" s="10"/>
      <c r="C5" s="10"/>
      <c r="D5" s="10"/>
      <c r="E5" s="11"/>
      <c r="F5" s="12">
        <v>0.59</v>
      </c>
      <c r="G5" s="12">
        <v>0.61</v>
      </c>
      <c r="H5" s="12">
        <v>0.7</v>
      </c>
      <c r="I5" s="12">
        <v>0.67</v>
      </c>
      <c r="J5" s="12">
        <v>0.72</v>
      </c>
      <c r="K5" s="12">
        <v>0.72</v>
      </c>
      <c r="L5" s="12">
        <v>0.7</v>
      </c>
      <c r="M5" s="12">
        <v>0.73</v>
      </c>
      <c r="N5" s="12">
        <v>0.66</v>
      </c>
      <c r="O5" s="12">
        <v>0.69</v>
      </c>
      <c r="P5" s="12">
        <v>0.76</v>
      </c>
      <c r="Q5" s="12">
        <v>1</v>
      </c>
      <c r="R5" s="12">
        <v>0.85</v>
      </c>
      <c r="T5" s="62" t="s">
        <v>36</v>
      </c>
      <c r="U5" s="62"/>
      <c r="V5" s="13">
        <f xml:space="preserve"> '[1]Inputs, Assumptions, &amp; Results'!$B$7 * '[1]Monthly Demand'!$Y$5</f>
        <v>0.26382158590308369</v>
      </c>
      <c r="W5" s="14"/>
      <c r="X5" s="9" t="s">
        <v>37</v>
      </c>
      <c r="Y5" s="9">
        <f xml:space="preserve"> 1597/1816</f>
        <v>0.87940528634361237</v>
      </c>
    </row>
    <row r="6" spans="1:25" x14ac:dyDescent="0.25">
      <c r="A6" s="15" t="s">
        <v>38</v>
      </c>
      <c r="B6" s="16"/>
      <c r="C6" s="16"/>
      <c r="D6" s="16"/>
      <c r="E6" s="17"/>
      <c r="F6" s="12">
        <v>0.69</v>
      </c>
      <c r="G6" s="12">
        <v>0.71</v>
      </c>
      <c r="H6" s="12">
        <v>0.79</v>
      </c>
      <c r="I6" s="12">
        <v>0.77</v>
      </c>
      <c r="J6" s="12">
        <v>0.82</v>
      </c>
      <c r="K6" s="12">
        <v>0.82</v>
      </c>
      <c r="L6" s="12">
        <v>0.8</v>
      </c>
      <c r="M6" s="12">
        <v>0.83</v>
      </c>
      <c r="N6" s="12">
        <v>0.76</v>
      </c>
      <c r="O6" s="12">
        <v>0.78</v>
      </c>
      <c r="P6" s="12">
        <v>0.86</v>
      </c>
      <c r="Q6" s="12">
        <v>1</v>
      </c>
      <c r="R6" s="12">
        <v>0.95</v>
      </c>
      <c r="T6" s="62" t="s">
        <v>39</v>
      </c>
      <c r="U6" s="62"/>
      <c r="V6" s="13">
        <f xml:space="preserve"> '[1]Inputs, Assumptions, &amp; Results'!$B$7 * '[1]Monthly Demand'!$Y$4</f>
        <v>3.6178414096916287E-2</v>
      </c>
    </row>
    <row r="7" spans="1:25" x14ac:dyDescent="0.25">
      <c r="A7" s="18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T7" s="64" t="str">
        <f xml:space="preserve"> "Food and Bev: " &amp; TEXT('[1]Inputs, Assumptions, &amp; Results'!$B$8 + '[1]Inputs, Assumptions, &amp; Results'!$B$9,"0%")</f>
        <v>Food and Bev: 50%</v>
      </c>
      <c r="U7" s="64"/>
      <c r="V7" s="64"/>
    </row>
    <row r="8" spans="1:25" x14ac:dyDescent="0.25">
      <c r="A8" s="10" t="s">
        <v>41</v>
      </c>
      <c r="B8" s="10"/>
      <c r="C8" s="10"/>
      <c r="D8" s="10"/>
      <c r="E8" s="11"/>
      <c r="F8" s="12">
        <v>0.88</v>
      </c>
      <c r="G8" s="12">
        <v>0.87</v>
      </c>
      <c r="H8" s="12">
        <v>0.98</v>
      </c>
      <c r="I8" s="12">
        <v>0.94</v>
      </c>
      <c r="J8" s="12">
        <v>0.99</v>
      </c>
      <c r="K8" s="12">
        <v>0.94</v>
      </c>
      <c r="L8" s="12">
        <v>0.96</v>
      </c>
      <c r="M8" s="12">
        <v>0.96</v>
      </c>
      <c r="N8" s="12">
        <v>0.89</v>
      </c>
      <c r="O8" s="12">
        <v>0.93</v>
      </c>
      <c r="P8" s="12">
        <v>0.89</v>
      </c>
      <c r="Q8" s="12">
        <v>1</v>
      </c>
      <c r="R8" s="12">
        <v>0.95</v>
      </c>
      <c r="T8" s="62" t="s">
        <v>42</v>
      </c>
      <c r="U8" s="62"/>
      <c r="V8" s="19">
        <f xml:space="preserve"> '[1]Inputs, Assumptions, &amp; Results'!$B$8 * '[1]Monthly Demand'!$Y$5</f>
        <v>0.26382158590308369</v>
      </c>
    </row>
    <row r="9" spans="1:25" x14ac:dyDescent="0.25">
      <c r="A9" s="15" t="s">
        <v>38</v>
      </c>
      <c r="B9" s="16"/>
      <c r="C9" s="16"/>
      <c r="D9" s="16"/>
      <c r="E9" s="17"/>
      <c r="F9" s="12">
        <v>0.99</v>
      </c>
      <c r="G9" s="12">
        <v>0.98</v>
      </c>
      <c r="H9" s="12">
        <v>1</v>
      </c>
      <c r="I9" s="12">
        <v>1</v>
      </c>
      <c r="J9" s="12">
        <v>1</v>
      </c>
      <c r="K9" s="12">
        <v>1</v>
      </c>
      <c r="L9" s="12">
        <v>1</v>
      </c>
      <c r="M9" s="12">
        <v>1</v>
      </c>
      <c r="N9" s="12">
        <v>0.99</v>
      </c>
      <c r="O9" s="12">
        <v>1</v>
      </c>
      <c r="P9" s="12">
        <v>1</v>
      </c>
      <c r="Q9" s="12">
        <v>1</v>
      </c>
      <c r="R9" s="12">
        <v>1</v>
      </c>
      <c r="T9" s="62" t="s">
        <v>43</v>
      </c>
      <c r="U9" s="62"/>
      <c r="V9" s="19">
        <f xml:space="preserve"> '[1]Inputs, Assumptions, &amp; Results'!$B$8 * '[1]Monthly Demand'!$Y$4</f>
        <v>3.6178414096916287E-2</v>
      </c>
    </row>
    <row r="10" spans="1:25" x14ac:dyDescent="0.25">
      <c r="A10" s="20" t="s">
        <v>44</v>
      </c>
      <c r="B10" s="20"/>
      <c r="C10" s="20"/>
      <c r="D10" s="20"/>
      <c r="E10" s="21"/>
      <c r="F10" s="22">
        <v>0.85</v>
      </c>
      <c r="G10" s="22">
        <v>0.85</v>
      </c>
      <c r="H10" s="22">
        <v>0.97</v>
      </c>
      <c r="I10" s="22">
        <v>0.95</v>
      </c>
      <c r="J10" s="22">
        <v>0.99</v>
      </c>
      <c r="K10" s="22">
        <v>0.98</v>
      </c>
      <c r="L10" s="22">
        <v>1</v>
      </c>
      <c r="M10" s="22">
        <v>1</v>
      </c>
      <c r="N10" s="22">
        <v>0.93</v>
      </c>
      <c r="O10" s="22">
        <v>0.96</v>
      </c>
      <c r="P10" s="22">
        <v>0.92</v>
      </c>
      <c r="Q10" s="22">
        <v>0.96</v>
      </c>
      <c r="R10" s="22">
        <v>0.95</v>
      </c>
      <c r="T10" s="62" t="s">
        <v>45</v>
      </c>
      <c r="U10" s="62"/>
      <c r="V10" s="19">
        <f xml:space="preserve"> '[1]Inputs, Assumptions, &amp; Results'!$B$9 * '[1]Monthly Demand'!$Y$5</f>
        <v>0.1758810572687225</v>
      </c>
    </row>
    <row r="11" spans="1:25" x14ac:dyDescent="0.25">
      <c r="A11" s="23" t="s">
        <v>38</v>
      </c>
      <c r="B11" s="24"/>
      <c r="C11" s="24"/>
      <c r="D11" s="24"/>
      <c r="E11" s="25"/>
      <c r="F11" s="26">
        <v>0.96</v>
      </c>
      <c r="G11" s="26">
        <v>0.96</v>
      </c>
      <c r="H11" s="26">
        <v>1</v>
      </c>
      <c r="I11" s="26">
        <v>1</v>
      </c>
      <c r="J11" s="26">
        <v>1</v>
      </c>
      <c r="K11" s="26">
        <v>1</v>
      </c>
      <c r="L11" s="26">
        <v>1</v>
      </c>
      <c r="M11" s="26">
        <v>1</v>
      </c>
      <c r="N11" s="26">
        <v>1</v>
      </c>
      <c r="O11" s="26">
        <v>1</v>
      </c>
      <c r="P11" s="26">
        <v>1</v>
      </c>
      <c r="Q11" s="26">
        <v>1</v>
      </c>
      <c r="R11" s="26">
        <v>1</v>
      </c>
      <c r="T11" s="62" t="s">
        <v>46</v>
      </c>
      <c r="U11" s="62"/>
      <c r="V11" s="19">
        <f xml:space="preserve"> '[1]Inputs, Assumptions, &amp; Results'!$B$9 * '[1]Monthly Demand'!$Y$4</f>
        <v>2.4118942731277529E-2</v>
      </c>
    </row>
    <row r="12" spans="1:25" x14ac:dyDescent="0.25">
      <c r="A12" s="18" t="s">
        <v>47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T12" s="64" t="str">
        <f xml:space="preserve"> "Office" &amp; TEXT('[1]Inputs, Assumptions, &amp; Results'!$B$10 + '[1]Inputs, Assumptions, &amp; Results'!$B$11,"0%")</f>
        <v>Office20%</v>
      </c>
      <c r="U12" s="64"/>
      <c r="V12" s="64"/>
    </row>
    <row r="13" spans="1:25" x14ac:dyDescent="0.25">
      <c r="A13" s="20" t="s">
        <v>48</v>
      </c>
      <c r="B13" s="20"/>
      <c r="C13" s="20"/>
      <c r="D13" s="20"/>
      <c r="E13" s="21"/>
      <c r="F13" s="22">
        <v>1</v>
      </c>
      <c r="G13" s="22">
        <v>1</v>
      </c>
      <c r="H13" s="22">
        <v>1</v>
      </c>
      <c r="I13" s="22">
        <v>1</v>
      </c>
      <c r="J13" s="22">
        <v>1</v>
      </c>
      <c r="K13" s="22">
        <v>1</v>
      </c>
      <c r="L13" s="22">
        <v>0.95</v>
      </c>
      <c r="M13" s="22">
        <v>0.95</v>
      </c>
      <c r="N13" s="22">
        <v>1</v>
      </c>
      <c r="O13" s="22">
        <v>1</v>
      </c>
      <c r="P13" s="22">
        <v>1</v>
      </c>
      <c r="Q13" s="22">
        <v>1</v>
      </c>
      <c r="R13" s="22">
        <v>0.8</v>
      </c>
      <c r="T13" s="62" t="s">
        <v>47</v>
      </c>
      <c r="U13" s="62"/>
      <c r="V13" s="13">
        <f xml:space="preserve"> '[1]Inputs, Assumptions, &amp; Results'!$B$10</f>
        <v>0.1</v>
      </c>
    </row>
    <row r="14" spans="1:25" x14ac:dyDescent="0.25">
      <c r="A14" s="20" t="s">
        <v>49</v>
      </c>
      <c r="B14" s="20"/>
      <c r="C14" s="20"/>
      <c r="D14" s="20"/>
      <c r="E14" s="21"/>
      <c r="F14" s="22">
        <v>1</v>
      </c>
      <c r="G14" s="22">
        <v>1</v>
      </c>
      <c r="H14" s="22">
        <v>1</v>
      </c>
      <c r="I14" s="22">
        <v>1</v>
      </c>
      <c r="J14" s="22">
        <v>1</v>
      </c>
      <c r="K14" s="22">
        <v>1</v>
      </c>
      <c r="L14" s="22">
        <v>0.95</v>
      </c>
      <c r="M14" s="22">
        <v>0.95</v>
      </c>
      <c r="N14" s="22">
        <v>1</v>
      </c>
      <c r="O14" s="22">
        <v>1</v>
      </c>
      <c r="P14" s="22">
        <v>1</v>
      </c>
      <c r="Q14" s="22">
        <v>1</v>
      </c>
      <c r="R14" s="22">
        <v>0.8</v>
      </c>
      <c r="T14" s="62" t="s">
        <v>50</v>
      </c>
      <c r="U14" s="62"/>
      <c r="V14" s="13">
        <f xml:space="preserve"> '[1]Inputs, Assumptions, &amp; Results'!$B$11</f>
        <v>0.1</v>
      </c>
    </row>
    <row r="15" spans="1:25" x14ac:dyDescent="0.25">
      <c r="F15" s="47" cm="1">
        <f t="array" ref="F15">SUMPRODUCT(F5:F14*$V$5:$V$14)</f>
        <v>0.82125055066079289</v>
      </c>
      <c r="G15" s="47" cm="1">
        <f t="array" ref="G15">SUMPRODUCT(G5:G14*$V$5:$V$14)</f>
        <v>0.82425055066079278</v>
      </c>
      <c r="H15" s="47" cm="1">
        <f t="array" ref="H15">SUMPRODUCT(H5:H14*$V$5:$V$14)</f>
        <v>0.902703193832599</v>
      </c>
      <c r="I15" s="47" cm="1">
        <f t="array" ref="I15">SUMPRODUCT(I5:I14*$V$5:$V$14)</f>
        <v>0.87999449339207048</v>
      </c>
      <c r="J15" s="47" cm="1">
        <f t="array" ref="J15">SUMPRODUCT(J5:J14*$V$5:$V$14)</f>
        <v>0.91522081497797347</v>
      </c>
      <c r="K15" s="47" cm="1">
        <f t="array" ref="K15">SUMPRODUCT(K5:K14*$V$5:$V$14)</f>
        <v>0.90027092511013207</v>
      </c>
      <c r="L15" s="47" cm="1">
        <f t="array" ref="L15">SUMPRODUCT(L5:L14*$V$5:$V$14)</f>
        <v>0.89306497797356821</v>
      </c>
      <c r="M15" s="47" cm="1">
        <f t="array" ref="M15">SUMPRODUCT(M5:M14*$V$5:$V$14)</f>
        <v>0.90206497797356822</v>
      </c>
      <c r="N15" s="47" cm="1">
        <f t="array" ref="N15">SUMPRODUCT(N5:N14*$V$5:$V$14)</f>
        <v>0.85992400881057263</v>
      </c>
      <c r="O15" s="47" cm="1">
        <f t="array" ref="O15">SUMPRODUCT(O5:O14*$V$5:$V$14)</f>
        <v>0.88475330396475771</v>
      </c>
      <c r="P15" s="47" cm="1">
        <f t="array" ref="P15">SUMPRODUCT(P5:P14*$V$5:$V$14)</f>
        <v>0.88852698237885464</v>
      </c>
      <c r="Q15" s="47" cm="1">
        <f t="array" ref="Q15">SUMPRODUCT(Q5:Q14*$V$5:$V$14)</f>
        <v>0.99296475770925108</v>
      </c>
      <c r="R15" s="47" cm="1">
        <f t="array" ref="R15">SUMPRODUCT(R5:R14*$V$5:$V$14)</f>
        <v>0.89663270925110128</v>
      </c>
    </row>
    <row r="17" spans="1:7" ht="71.099999999999994" customHeight="1" x14ac:dyDescent="0.25">
      <c r="A17" s="71" t="s">
        <v>51</v>
      </c>
      <c r="B17" s="71"/>
      <c r="C17" s="71"/>
      <c r="D17" s="71"/>
      <c r="E17" s="71"/>
      <c r="F17" s="71"/>
      <c r="G17" s="71"/>
    </row>
    <row r="19" spans="1:7" x14ac:dyDescent="0.25">
      <c r="A19" t="s">
        <v>52</v>
      </c>
    </row>
  </sheetData>
  <mergeCells count="16">
    <mergeCell ref="T12:V12"/>
    <mergeCell ref="T13:U13"/>
    <mergeCell ref="T14:U14"/>
    <mergeCell ref="A17:G17"/>
    <mergeCell ref="T6:U6"/>
    <mergeCell ref="T7:V7"/>
    <mergeCell ref="T8:U8"/>
    <mergeCell ref="T9:U9"/>
    <mergeCell ref="T10:U10"/>
    <mergeCell ref="T11:U11"/>
    <mergeCell ref="T5:U5"/>
    <mergeCell ref="A1:R2"/>
    <mergeCell ref="A3:E3"/>
    <mergeCell ref="T3:V3"/>
    <mergeCell ref="X3:Y3"/>
    <mergeCell ref="T4:V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Adjustments</vt:lpstr>
      <vt:lpstr>TOD Adjustments</vt:lpstr>
      <vt:lpstr>Weekday Raw TOD data</vt:lpstr>
      <vt:lpstr>Weekend Raw TOD data</vt:lpstr>
      <vt:lpstr>Raw Monthly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Jung, Eugene</dc:creator>
  <cp:lastModifiedBy>Jung, Eugene</cp:lastModifiedBy>
  <dcterms:created xsi:type="dcterms:W3CDTF">2026-09-29T21:47:54Z</dcterms:created>
  <dcterms:modified xsi:type="dcterms:W3CDTF">2026-10-02T00:42:54Z</dcterms:modified>
</cp:coreProperties>
</file>