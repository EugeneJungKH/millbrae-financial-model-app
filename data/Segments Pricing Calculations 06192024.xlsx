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heckCompatibility="1" defaultThemeVersion="166925"/>
  <mc:AlternateContent xmlns:mc="http://schemas.openxmlformats.org/markup-compatibility/2006">
    <mc:Choice Requires="x15">
      <x15ac:absPath xmlns:x15ac="http://schemas.microsoft.com/office/spreadsheetml/2010/11/ac" url="\\Oakfp01\ca_oak\Project\OAK_TPTO\097092002 - Millbrae Parking Plan - MVI\Analysis\Excel\Pricing Boundary\"/>
    </mc:Choice>
  </mc:AlternateContent>
  <xr:revisionPtr revIDLastSave="0" documentId="13_ncr:1_{5BDE84BC-1D65-4381-9460-DC3D54445AD4}" xr6:coauthVersionLast="47" xr6:coauthVersionMax="47" xr10:uidLastSave="{00000000-0000-0000-0000-000000000000}"/>
  <bookViews>
    <workbookView xWindow="-28920" yWindow="-120" windowWidth="29040" windowHeight="15840" firstSheet="7" activeTab="12" xr2:uid="{94348EC0-C6B0-4223-96B7-F8EC5244C83C}"/>
  </bookViews>
  <sheets>
    <sheet name="Incl" sheetId="14" r:id="rId1"/>
    <sheet name="Raw" sheetId="1" r:id="rId2"/>
    <sheet name="All" sheetId="2" r:id="rId3"/>
    <sheet name="Hourly" sheetId="12" r:id="rId4"/>
    <sheet name="Hourly (Reduction)" sheetId="27" r:id="rId5"/>
    <sheet name="Long-Term" sheetId="21" r:id="rId6"/>
    <sheet name="Space &amp; Elasticitiy" sheetId="20" r:id="rId7"/>
    <sheet name="$1.5 per hr + $0.5 Projection" sheetId="37" r:id="rId8"/>
    <sheet name="$1.5 per hr + $1 Projection" sheetId="38" r:id="rId9"/>
    <sheet name="$2 per hr + $0.5 Projection" sheetId="36" r:id="rId10"/>
    <sheet name="$2 per hr + $1 Projection" sheetId="19" r:id="rId11"/>
    <sheet name="Print" sheetId="40" r:id="rId12"/>
    <sheet name="Print (2)" sheetId="41" r:id="rId13"/>
    <sheet name="Comparison" sheetId="39" r:id="rId14"/>
    <sheet name="Assumptions" sheetId="29" r:id="rId15"/>
    <sheet name="Assumptions Research Detailed" sheetId="25" r:id="rId16"/>
    <sheet name="Assumptions Research General" sheetId="31" r:id="rId17"/>
  </sheets>
  <definedNames>
    <definedName name="_Ref155180426" localSheetId="7">'$1.5 per hr + $0.5 Projection'!#REF!</definedName>
    <definedName name="_Ref155180426" localSheetId="8">'$1.5 per hr + $1 Projection'!#REF!</definedName>
    <definedName name="_Ref155180426" localSheetId="9">'$2 per hr + $0.5 Projection'!#REF!</definedName>
    <definedName name="_Ref155180426" localSheetId="10">'$2 per hr + $1 Projection'!#REF!</definedName>
    <definedName name="_xlnm.Print_Area" localSheetId="11">Print!$A$1:$I$382</definedName>
    <definedName name="_xlnm.Print_Area" localSheetId="12">'Print (2)'!$A$1:$G$54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7" l="1"/>
  <c r="C5" i="37"/>
  <c r="C7" i="37" s="1"/>
  <c r="K5" i="20"/>
  <c r="J2" i="20"/>
  <c r="J3" i="20"/>
  <c r="D6" i="37"/>
  <c r="E6" i="37"/>
  <c r="E62" i="40" s="1"/>
  <c r="F6" i="37"/>
  <c r="F62" i="40" s="1"/>
  <c r="G6" i="37"/>
  <c r="G62" i="40" s="1"/>
  <c r="H6" i="37"/>
  <c r="I6" i="37"/>
  <c r="J6" i="37"/>
  <c r="K6" i="37"/>
  <c r="C82" i="40" s="1"/>
  <c r="L6" i="37"/>
  <c r="D82" i="40" s="1"/>
  <c r="M6" i="37"/>
  <c r="E82" i="40" s="1"/>
  <c r="N6" i="37"/>
  <c r="F82" i="40" s="1"/>
  <c r="O6" i="37"/>
  <c r="G82" i="40" s="1"/>
  <c r="P6" i="37"/>
  <c r="H82" i="40" s="1"/>
  <c r="Q6" i="37"/>
  <c r="I82" i="40" s="1"/>
  <c r="R6" i="37"/>
  <c r="B103" i="40" s="1"/>
  <c r="S6" i="37"/>
  <c r="T6" i="37"/>
  <c r="D103" i="40" s="1"/>
  <c r="U6" i="37"/>
  <c r="E103" i="40" s="1"/>
  <c r="V6" i="37"/>
  <c r="F103" i="40" s="1"/>
  <c r="W6" i="37"/>
  <c r="G103" i="40" s="1"/>
  <c r="X6" i="37"/>
  <c r="Y6" i="37"/>
  <c r="Z6" i="37"/>
  <c r="B123" i="40" s="1"/>
  <c r="AA6" i="37"/>
  <c r="C123" i="40" s="1"/>
  <c r="A3" i="12" a="1"/>
  <c r="A3" i="12" s="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3"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L3" i="2"/>
  <c r="D3" i="29"/>
  <c r="D4" i="29"/>
  <c r="D5" i="29"/>
  <c r="B235" i="40"/>
  <c r="B317" i="40"/>
  <c r="B153" i="40"/>
  <c r="B71" i="40"/>
  <c r="B369" i="40"/>
  <c r="C369" i="40"/>
  <c r="B373" i="40"/>
  <c r="C373" i="40"/>
  <c r="B374" i="40"/>
  <c r="C374" i="40"/>
  <c r="B375" i="40"/>
  <c r="C375" i="40"/>
  <c r="C366" i="40"/>
  <c r="B366" i="40"/>
  <c r="G349" i="40"/>
  <c r="B353" i="40"/>
  <c r="C353" i="40"/>
  <c r="D353" i="40"/>
  <c r="E353" i="40"/>
  <c r="G353" i="40"/>
  <c r="H353" i="40"/>
  <c r="I353" i="40"/>
  <c r="B354" i="40"/>
  <c r="C354" i="40"/>
  <c r="D354" i="40"/>
  <c r="E354" i="40"/>
  <c r="G354" i="40"/>
  <c r="H354" i="40"/>
  <c r="I354" i="40"/>
  <c r="B355" i="40"/>
  <c r="C355" i="40"/>
  <c r="D355" i="40"/>
  <c r="E355" i="40"/>
  <c r="G355" i="40"/>
  <c r="H355" i="40"/>
  <c r="I355" i="40"/>
  <c r="C346" i="40"/>
  <c r="D346" i="40"/>
  <c r="E346" i="40"/>
  <c r="F346" i="40"/>
  <c r="G346" i="40"/>
  <c r="H346" i="40"/>
  <c r="I346" i="40"/>
  <c r="B346" i="40"/>
  <c r="I328" i="40"/>
  <c r="B332" i="40"/>
  <c r="C332" i="40"/>
  <c r="E332" i="40"/>
  <c r="F332" i="40"/>
  <c r="G332" i="40"/>
  <c r="H332" i="40"/>
  <c r="I332" i="40"/>
  <c r="B333" i="40"/>
  <c r="C333" i="40"/>
  <c r="E333" i="40"/>
  <c r="F333" i="40"/>
  <c r="G333" i="40"/>
  <c r="H333" i="40"/>
  <c r="I333" i="40"/>
  <c r="B334" i="40"/>
  <c r="C334" i="40"/>
  <c r="E334" i="40"/>
  <c r="F334" i="40"/>
  <c r="G334" i="40"/>
  <c r="H334" i="40"/>
  <c r="I334" i="40"/>
  <c r="C325" i="40"/>
  <c r="D325" i="40"/>
  <c r="E325" i="40"/>
  <c r="F325" i="40"/>
  <c r="G325" i="40"/>
  <c r="H325" i="40"/>
  <c r="I325" i="40"/>
  <c r="B307" i="40"/>
  <c r="B308" i="40"/>
  <c r="C308" i="40"/>
  <c r="D308" i="40"/>
  <c r="E308" i="40"/>
  <c r="F308" i="40"/>
  <c r="H308" i="40"/>
  <c r="I308" i="40"/>
  <c r="C312" i="40"/>
  <c r="D312" i="40"/>
  <c r="E312" i="40"/>
  <c r="F312" i="40"/>
  <c r="G312" i="40"/>
  <c r="H312" i="40"/>
  <c r="I312" i="40"/>
  <c r="C313" i="40"/>
  <c r="D313" i="40"/>
  <c r="E313" i="40"/>
  <c r="F313" i="40"/>
  <c r="G313" i="40"/>
  <c r="H313" i="40"/>
  <c r="I313" i="40"/>
  <c r="C314" i="40"/>
  <c r="D314" i="40"/>
  <c r="E314" i="40"/>
  <c r="F314" i="40"/>
  <c r="G314" i="40"/>
  <c r="H314" i="40"/>
  <c r="I314" i="40"/>
  <c r="B315" i="40"/>
  <c r="C315" i="40"/>
  <c r="B316" i="40"/>
  <c r="B318" i="40"/>
  <c r="C318" i="40"/>
  <c r="C305" i="40"/>
  <c r="D305" i="40"/>
  <c r="E305" i="40"/>
  <c r="F305" i="40"/>
  <c r="G305" i="40"/>
  <c r="H305" i="40"/>
  <c r="I305" i="40"/>
  <c r="B291" i="40"/>
  <c r="C291" i="40"/>
  <c r="B292" i="40"/>
  <c r="C292" i="40"/>
  <c r="B293" i="40"/>
  <c r="C293" i="40"/>
  <c r="C284" i="40"/>
  <c r="B271" i="40"/>
  <c r="C271" i="40"/>
  <c r="D271" i="40"/>
  <c r="E271" i="40"/>
  <c r="G271" i="40"/>
  <c r="H271" i="40"/>
  <c r="I271" i="40"/>
  <c r="B272" i="40"/>
  <c r="C272" i="40"/>
  <c r="D272" i="40"/>
  <c r="E272" i="40"/>
  <c r="G272" i="40"/>
  <c r="H272" i="40"/>
  <c r="I272" i="40"/>
  <c r="B273" i="40"/>
  <c r="C273" i="40"/>
  <c r="D273" i="40"/>
  <c r="E273" i="40"/>
  <c r="G273" i="40"/>
  <c r="H273" i="40"/>
  <c r="I273" i="40"/>
  <c r="C264" i="40"/>
  <c r="D264" i="40"/>
  <c r="E264" i="40"/>
  <c r="F264" i="40"/>
  <c r="G264" i="40"/>
  <c r="H264" i="40"/>
  <c r="I264" i="40"/>
  <c r="B264" i="40"/>
  <c r="D246" i="40"/>
  <c r="E246" i="40"/>
  <c r="F246" i="40"/>
  <c r="G246" i="40"/>
  <c r="B250" i="40"/>
  <c r="C250" i="40"/>
  <c r="E250" i="40"/>
  <c r="F250" i="40"/>
  <c r="G250" i="40"/>
  <c r="H250" i="40"/>
  <c r="I250" i="40"/>
  <c r="B251" i="40"/>
  <c r="C251" i="40"/>
  <c r="E251" i="40"/>
  <c r="F251" i="40"/>
  <c r="G251" i="40"/>
  <c r="H251" i="40"/>
  <c r="I251" i="40"/>
  <c r="B252" i="40"/>
  <c r="C252" i="40"/>
  <c r="E252" i="40"/>
  <c r="F252" i="40"/>
  <c r="G252" i="40"/>
  <c r="H252" i="40"/>
  <c r="I252" i="40"/>
  <c r="C243" i="40"/>
  <c r="D243" i="40"/>
  <c r="E243" i="40"/>
  <c r="F243" i="40"/>
  <c r="G243" i="40"/>
  <c r="H243" i="40"/>
  <c r="I243" i="40"/>
  <c r="B225" i="40"/>
  <c r="B226" i="40"/>
  <c r="C226" i="40"/>
  <c r="G226" i="40"/>
  <c r="H226" i="40"/>
  <c r="C230" i="40"/>
  <c r="D230" i="40"/>
  <c r="E230" i="40"/>
  <c r="F230" i="40"/>
  <c r="G230" i="40"/>
  <c r="H230" i="40"/>
  <c r="I230" i="40"/>
  <c r="C231" i="40"/>
  <c r="D231" i="40"/>
  <c r="E231" i="40"/>
  <c r="F231" i="40"/>
  <c r="G231" i="40"/>
  <c r="H231" i="40"/>
  <c r="I231" i="40"/>
  <c r="C232" i="40"/>
  <c r="D232" i="40"/>
  <c r="E232" i="40"/>
  <c r="F232" i="40"/>
  <c r="G232" i="40"/>
  <c r="H232" i="40"/>
  <c r="I232" i="40"/>
  <c r="B233" i="40"/>
  <c r="C233" i="40"/>
  <c r="B234" i="40"/>
  <c r="B236" i="40"/>
  <c r="C236" i="40"/>
  <c r="C223" i="40"/>
  <c r="D223" i="40"/>
  <c r="E223" i="40"/>
  <c r="F223" i="40"/>
  <c r="G223" i="40"/>
  <c r="H223" i="40"/>
  <c r="I223" i="40"/>
  <c r="B205" i="40"/>
  <c r="B209" i="40"/>
  <c r="C209" i="40"/>
  <c r="B210" i="40"/>
  <c r="C210" i="40"/>
  <c r="B211" i="40"/>
  <c r="C211" i="40"/>
  <c r="C202" i="40"/>
  <c r="C185" i="40"/>
  <c r="D185" i="40"/>
  <c r="E185" i="40"/>
  <c r="H185" i="40"/>
  <c r="I185" i="40"/>
  <c r="B189" i="40"/>
  <c r="C189" i="40"/>
  <c r="D189" i="40"/>
  <c r="E189" i="40"/>
  <c r="G189" i="40"/>
  <c r="H189" i="40"/>
  <c r="I189" i="40"/>
  <c r="B190" i="40"/>
  <c r="C190" i="40"/>
  <c r="D190" i="40"/>
  <c r="E190" i="40"/>
  <c r="G190" i="40"/>
  <c r="H190" i="40"/>
  <c r="I190" i="40"/>
  <c r="B191" i="40"/>
  <c r="C191" i="40"/>
  <c r="D191" i="40"/>
  <c r="E191" i="40"/>
  <c r="G191" i="40"/>
  <c r="H191" i="40"/>
  <c r="I191" i="40"/>
  <c r="C182" i="40"/>
  <c r="D182" i="40"/>
  <c r="E182" i="40"/>
  <c r="F182" i="40"/>
  <c r="G182" i="40"/>
  <c r="H182" i="40"/>
  <c r="I182" i="40"/>
  <c r="B182" i="40"/>
  <c r="B168" i="40"/>
  <c r="C168" i="40"/>
  <c r="E168" i="40"/>
  <c r="F168" i="40"/>
  <c r="G168" i="40"/>
  <c r="H168" i="40"/>
  <c r="I168" i="40"/>
  <c r="B169" i="40"/>
  <c r="C169" i="40"/>
  <c r="E169" i="40"/>
  <c r="F169" i="40"/>
  <c r="G169" i="40"/>
  <c r="H169" i="40"/>
  <c r="I169" i="40"/>
  <c r="B170" i="40"/>
  <c r="C170" i="40"/>
  <c r="E170" i="40"/>
  <c r="F170" i="40"/>
  <c r="G170" i="40"/>
  <c r="H170" i="40"/>
  <c r="I170" i="40"/>
  <c r="C161" i="40"/>
  <c r="D161" i="40"/>
  <c r="E161" i="40"/>
  <c r="F161" i="40"/>
  <c r="G161" i="40"/>
  <c r="H161" i="40"/>
  <c r="I161" i="40"/>
  <c r="B325" i="40"/>
  <c r="B305" i="40"/>
  <c r="B284" i="40"/>
  <c r="B243" i="40"/>
  <c r="B223" i="40"/>
  <c r="B202" i="40"/>
  <c r="B161" i="40"/>
  <c r="B143" i="40"/>
  <c r="B144" i="40"/>
  <c r="C144" i="40"/>
  <c r="D144" i="40"/>
  <c r="E144" i="40"/>
  <c r="F144" i="40"/>
  <c r="G144" i="40"/>
  <c r="C148" i="40"/>
  <c r="D148" i="40"/>
  <c r="E148" i="40"/>
  <c r="F148" i="40"/>
  <c r="G148" i="40"/>
  <c r="H148" i="40"/>
  <c r="I148" i="40"/>
  <c r="C149" i="40"/>
  <c r="D149" i="40"/>
  <c r="E149" i="40"/>
  <c r="F149" i="40"/>
  <c r="G149" i="40"/>
  <c r="H149" i="40"/>
  <c r="I149" i="40"/>
  <c r="C150" i="40"/>
  <c r="D150" i="40"/>
  <c r="E150" i="40"/>
  <c r="F150" i="40"/>
  <c r="G150" i="40"/>
  <c r="H150" i="40"/>
  <c r="I150" i="40"/>
  <c r="B151" i="40"/>
  <c r="C151" i="40"/>
  <c r="B152" i="40"/>
  <c r="B154" i="40"/>
  <c r="C154" i="40"/>
  <c r="C141" i="40"/>
  <c r="D141" i="40"/>
  <c r="E141" i="40"/>
  <c r="F141" i="40"/>
  <c r="G141" i="40"/>
  <c r="H141" i="40"/>
  <c r="I141" i="40"/>
  <c r="B141" i="40"/>
  <c r="B127" i="40"/>
  <c r="C127" i="40"/>
  <c r="B128" i="40"/>
  <c r="C128" i="40"/>
  <c r="B129" i="40"/>
  <c r="C129" i="40"/>
  <c r="C120" i="40"/>
  <c r="B120" i="40"/>
  <c r="C100" i="40"/>
  <c r="D100" i="40"/>
  <c r="E100" i="40"/>
  <c r="F100" i="40"/>
  <c r="G100" i="40"/>
  <c r="H100" i="40"/>
  <c r="I100" i="40"/>
  <c r="C107" i="40"/>
  <c r="D107" i="40"/>
  <c r="E107" i="40"/>
  <c r="G107" i="40"/>
  <c r="H107" i="40"/>
  <c r="I107" i="40"/>
  <c r="C108" i="40"/>
  <c r="D108" i="40"/>
  <c r="E108" i="40"/>
  <c r="G108" i="40"/>
  <c r="H108" i="40"/>
  <c r="I108" i="40"/>
  <c r="C109" i="40"/>
  <c r="D109" i="40"/>
  <c r="E109" i="40"/>
  <c r="G109" i="40"/>
  <c r="H109" i="40"/>
  <c r="I109" i="40"/>
  <c r="B107" i="40"/>
  <c r="B108" i="40"/>
  <c r="B109" i="40"/>
  <c r="B100" i="40"/>
  <c r="B86" i="40"/>
  <c r="C86" i="40"/>
  <c r="E86" i="40"/>
  <c r="F86" i="40"/>
  <c r="G86" i="40"/>
  <c r="H86" i="40"/>
  <c r="I86" i="40"/>
  <c r="B87" i="40"/>
  <c r="C87" i="40"/>
  <c r="E87" i="40"/>
  <c r="F87" i="40"/>
  <c r="G87" i="40"/>
  <c r="H87" i="40"/>
  <c r="I87" i="40"/>
  <c r="B88" i="40"/>
  <c r="C88" i="40"/>
  <c r="E88" i="40"/>
  <c r="F88" i="40"/>
  <c r="G88" i="40"/>
  <c r="H88" i="40"/>
  <c r="I88" i="40"/>
  <c r="C79" i="40"/>
  <c r="D79" i="40"/>
  <c r="E79" i="40"/>
  <c r="F79" i="40"/>
  <c r="G79" i="40"/>
  <c r="H79" i="40"/>
  <c r="I79" i="40"/>
  <c r="B79" i="40"/>
  <c r="A75" i="40"/>
  <c r="A60" i="40"/>
  <c r="A61" i="40"/>
  <c r="B61" i="40"/>
  <c r="A62" i="40"/>
  <c r="B62" i="40"/>
  <c r="C62" i="40"/>
  <c r="A63" i="40"/>
  <c r="A65" i="40"/>
  <c r="A66" i="40"/>
  <c r="C66" i="40"/>
  <c r="D66" i="40"/>
  <c r="E66" i="40"/>
  <c r="F66" i="40"/>
  <c r="G66" i="40"/>
  <c r="H66" i="40"/>
  <c r="I66" i="40"/>
  <c r="A67" i="40"/>
  <c r="C67" i="40"/>
  <c r="D67" i="40"/>
  <c r="E67" i="40"/>
  <c r="F67" i="40"/>
  <c r="G67" i="40"/>
  <c r="H67" i="40"/>
  <c r="I67" i="40"/>
  <c r="A68" i="40"/>
  <c r="C68" i="40"/>
  <c r="D68" i="40"/>
  <c r="E68" i="40"/>
  <c r="F68" i="40"/>
  <c r="G68" i="40"/>
  <c r="H68" i="40"/>
  <c r="I68" i="40"/>
  <c r="A69" i="40"/>
  <c r="B69" i="40"/>
  <c r="C69" i="40"/>
  <c r="A70" i="40"/>
  <c r="B70" i="40"/>
  <c r="A72" i="40"/>
  <c r="B72" i="40"/>
  <c r="C72" i="40"/>
  <c r="A73" i="40"/>
  <c r="B59" i="40"/>
  <c r="C59" i="40"/>
  <c r="D59" i="40"/>
  <c r="E59" i="40"/>
  <c r="F59" i="40"/>
  <c r="G59" i="40"/>
  <c r="H59" i="40"/>
  <c r="I59" i="40"/>
  <c r="A59" i="40"/>
  <c r="E6" i="19"/>
  <c r="F6" i="19"/>
  <c r="G6" i="19"/>
  <c r="G308" i="40" s="1"/>
  <c r="H6" i="19"/>
  <c r="I6" i="19"/>
  <c r="J6" i="19"/>
  <c r="B328" i="40" s="1"/>
  <c r="K6" i="19"/>
  <c r="C328" i="40" s="1"/>
  <c r="L6" i="19"/>
  <c r="D328" i="40" s="1"/>
  <c r="M6" i="19"/>
  <c r="E328" i="40" s="1"/>
  <c r="N6" i="19"/>
  <c r="F328" i="40" s="1"/>
  <c r="O6" i="19"/>
  <c r="G328" i="40" s="1"/>
  <c r="P6" i="19"/>
  <c r="H328" i="40" s="1"/>
  <c r="Q6" i="19"/>
  <c r="R6" i="19"/>
  <c r="B349" i="40" s="1"/>
  <c r="S6" i="19"/>
  <c r="C349" i="40" s="1"/>
  <c r="T6" i="19"/>
  <c r="D349" i="40" s="1"/>
  <c r="U6" i="19"/>
  <c r="E349" i="40" s="1"/>
  <c r="V6" i="19"/>
  <c r="F349" i="40" s="1"/>
  <c r="W6" i="19"/>
  <c r="X6" i="19"/>
  <c r="H349" i="40" s="1"/>
  <c r="Y6" i="19"/>
  <c r="I349" i="40" s="1"/>
  <c r="Z6" i="19"/>
  <c r="AA6" i="19"/>
  <c r="D6" i="19"/>
  <c r="E6" i="36"/>
  <c r="E226" i="40" s="1"/>
  <c r="F6" i="36"/>
  <c r="F226" i="40" s="1"/>
  <c r="G6" i="36"/>
  <c r="H6" i="36"/>
  <c r="I6" i="36"/>
  <c r="I226" i="40" s="1"/>
  <c r="J6" i="36"/>
  <c r="B246" i="40" s="1"/>
  <c r="K6" i="36"/>
  <c r="C246" i="40" s="1"/>
  <c r="L6" i="36"/>
  <c r="M6" i="36"/>
  <c r="N6" i="36"/>
  <c r="O6" i="36"/>
  <c r="P6" i="36"/>
  <c r="H246" i="40" s="1"/>
  <c r="Q6" i="36"/>
  <c r="I246" i="40" s="1"/>
  <c r="R6" i="36"/>
  <c r="B267" i="40" s="1"/>
  <c r="S6" i="36"/>
  <c r="C267" i="40" s="1"/>
  <c r="T6" i="36"/>
  <c r="D267" i="40" s="1"/>
  <c r="U6" i="36"/>
  <c r="E267" i="40" s="1"/>
  <c r="V6" i="36"/>
  <c r="F267" i="40" s="1"/>
  <c r="W6" i="36"/>
  <c r="G267" i="40" s="1"/>
  <c r="X6" i="36"/>
  <c r="H267" i="40" s="1"/>
  <c r="Y6" i="36"/>
  <c r="I267" i="40" s="1"/>
  <c r="Z6" i="36"/>
  <c r="B287" i="40" s="1"/>
  <c r="AA6" i="36"/>
  <c r="C287" i="40" s="1"/>
  <c r="D6" i="36"/>
  <c r="D226" i="40" s="1"/>
  <c r="E6" i="38"/>
  <c r="F6" i="38"/>
  <c r="G6" i="38"/>
  <c r="H6" i="38"/>
  <c r="H144" i="40" s="1"/>
  <c r="I6" i="38"/>
  <c r="I144" i="40" s="1"/>
  <c r="J6" i="38"/>
  <c r="B164" i="40" s="1"/>
  <c r="K6" i="38"/>
  <c r="C164" i="40" s="1"/>
  <c r="L6" i="38"/>
  <c r="D164" i="40" s="1"/>
  <c r="M6" i="38"/>
  <c r="E164" i="40" s="1"/>
  <c r="N6" i="38"/>
  <c r="F164" i="40" s="1"/>
  <c r="O6" i="38"/>
  <c r="G164" i="40" s="1"/>
  <c r="P6" i="38"/>
  <c r="H164" i="40" s="1"/>
  <c r="Q6" i="38"/>
  <c r="I164" i="40" s="1"/>
  <c r="R6" i="38"/>
  <c r="B185" i="40" s="1"/>
  <c r="S6" i="38"/>
  <c r="T6" i="38"/>
  <c r="U6" i="38"/>
  <c r="V6" i="38"/>
  <c r="F185" i="40" s="1"/>
  <c r="W6" i="38"/>
  <c r="G185" i="40" s="1"/>
  <c r="X6" i="38"/>
  <c r="Y6" i="38"/>
  <c r="Z6" i="38"/>
  <c r="AA6" i="38"/>
  <c r="C205" i="40" s="1"/>
  <c r="D6" i="38"/>
  <c r="H62" i="40"/>
  <c r="I62" i="40"/>
  <c r="B82" i="40"/>
  <c r="C103" i="40"/>
  <c r="H103" i="40"/>
  <c r="I103" i="40"/>
  <c r="D62" i="40"/>
  <c r="Z3" i="2" l="1"/>
  <c r="AF3" i="2"/>
  <c r="S6" i="2"/>
  <c r="B7" i="19"/>
  <c r="B309" i="40" s="1"/>
  <c r="B7" i="36"/>
  <c r="B7" i="38"/>
  <c r="B7" i="37"/>
  <c r="F16" i="37"/>
  <c r="F72" i="40" s="1"/>
  <c r="B12" i="37"/>
  <c r="B66" i="40"/>
  <c r="AA16" i="38"/>
  <c r="C215" i="40" s="1"/>
  <c r="Z16" i="38"/>
  <c r="B215" i="40" s="1"/>
  <c r="Y16" i="38"/>
  <c r="I195" i="40" s="1"/>
  <c r="X16" i="38"/>
  <c r="H195" i="40" s="1"/>
  <c r="W16" i="38"/>
  <c r="G195" i="40" s="1"/>
  <c r="V16" i="38"/>
  <c r="F195" i="40" s="1"/>
  <c r="U16" i="38"/>
  <c r="E195" i="40" s="1"/>
  <c r="T16" i="38"/>
  <c r="D195" i="40" s="1"/>
  <c r="S16" i="38"/>
  <c r="C195" i="40" s="1"/>
  <c r="R16" i="38"/>
  <c r="B195" i="40" s="1"/>
  <c r="Q16" i="38"/>
  <c r="I174" i="40" s="1"/>
  <c r="P16" i="38"/>
  <c r="H174" i="40" s="1"/>
  <c r="O16" i="38"/>
  <c r="G174" i="40" s="1"/>
  <c r="N16" i="38"/>
  <c r="F174" i="40" s="1"/>
  <c r="M16" i="38"/>
  <c r="E174" i="40" s="1"/>
  <c r="L16" i="38"/>
  <c r="D174" i="40" s="1"/>
  <c r="K16" i="38"/>
  <c r="C174" i="40" s="1"/>
  <c r="J16" i="38"/>
  <c r="B174" i="40" s="1"/>
  <c r="I16" i="38"/>
  <c r="I154" i="40" s="1"/>
  <c r="H16" i="38"/>
  <c r="H154" i="40" s="1"/>
  <c r="G16" i="38"/>
  <c r="G154" i="40" s="1"/>
  <c r="F16" i="38"/>
  <c r="F154" i="40" s="1"/>
  <c r="E16" i="38"/>
  <c r="E154" i="40" s="1"/>
  <c r="D16" i="38"/>
  <c r="D154" i="40" s="1"/>
  <c r="AA13" i="38"/>
  <c r="C212" i="40" s="1"/>
  <c r="B12" i="38"/>
  <c r="B11" i="38"/>
  <c r="B10" i="38"/>
  <c r="AA16" i="37"/>
  <c r="C133" i="40" s="1"/>
  <c r="Z16" i="37"/>
  <c r="B133" i="40" s="1"/>
  <c r="Y16" i="37"/>
  <c r="I113" i="40" s="1"/>
  <c r="X16" i="37"/>
  <c r="H113" i="40" s="1"/>
  <c r="W16" i="37"/>
  <c r="G113" i="40" s="1"/>
  <c r="V16" i="37"/>
  <c r="F113" i="40" s="1"/>
  <c r="U16" i="37"/>
  <c r="E113" i="40" s="1"/>
  <c r="T16" i="37"/>
  <c r="D113" i="40" s="1"/>
  <c r="S16" i="37"/>
  <c r="C113" i="40" s="1"/>
  <c r="R16" i="37"/>
  <c r="B113" i="40" s="1"/>
  <c r="Q16" i="37"/>
  <c r="I92" i="40" s="1"/>
  <c r="P16" i="37"/>
  <c r="H92" i="40" s="1"/>
  <c r="O16" i="37"/>
  <c r="G92" i="40" s="1"/>
  <c r="N16" i="37"/>
  <c r="F92" i="40" s="1"/>
  <c r="M16" i="37"/>
  <c r="E92" i="40" s="1"/>
  <c r="L16" i="37"/>
  <c r="D92" i="40" s="1"/>
  <c r="K16" i="37"/>
  <c r="C92" i="40" s="1"/>
  <c r="J16" i="37"/>
  <c r="B92" i="40" s="1"/>
  <c r="I16" i="37"/>
  <c r="I72" i="40" s="1"/>
  <c r="H16" i="37"/>
  <c r="H72" i="40" s="1"/>
  <c r="G16" i="37"/>
  <c r="G72" i="40" s="1"/>
  <c r="E16" i="37"/>
  <c r="E72" i="40" s="1"/>
  <c r="D16" i="37"/>
  <c r="D72" i="40" s="1"/>
  <c r="AA13" i="37"/>
  <c r="C130" i="40" s="1"/>
  <c r="B11" i="37"/>
  <c r="AA16" i="36"/>
  <c r="C297" i="40" s="1"/>
  <c r="Z16" i="36"/>
  <c r="B297" i="40" s="1"/>
  <c r="Y16" i="36"/>
  <c r="I277" i="40" s="1"/>
  <c r="X16" i="36"/>
  <c r="H277" i="40" s="1"/>
  <c r="W16" i="36"/>
  <c r="G277" i="40" s="1"/>
  <c r="V16" i="36"/>
  <c r="F277" i="40" s="1"/>
  <c r="U16" i="36"/>
  <c r="E277" i="40" s="1"/>
  <c r="T16" i="36"/>
  <c r="D277" i="40" s="1"/>
  <c r="S16" i="36"/>
  <c r="C277" i="40" s="1"/>
  <c r="R16" i="36"/>
  <c r="B277" i="40" s="1"/>
  <c r="Q16" i="36"/>
  <c r="I256" i="40" s="1"/>
  <c r="P16" i="36"/>
  <c r="H256" i="40" s="1"/>
  <c r="O16" i="36"/>
  <c r="G256" i="40" s="1"/>
  <c r="N16" i="36"/>
  <c r="F256" i="40" s="1"/>
  <c r="M16" i="36"/>
  <c r="E256" i="40" s="1"/>
  <c r="L16" i="36"/>
  <c r="D256" i="40" s="1"/>
  <c r="K16" i="36"/>
  <c r="C256" i="40" s="1"/>
  <c r="J16" i="36"/>
  <c r="B256" i="40" s="1"/>
  <c r="I16" i="36"/>
  <c r="I236" i="40" s="1"/>
  <c r="H16" i="36"/>
  <c r="H236" i="40" s="1"/>
  <c r="G16" i="36"/>
  <c r="G236" i="40" s="1"/>
  <c r="F16" i="36"/>
  <c r="F236" i="40" s="1"/>
  <c r="E16" i="36"/>
  <c r="E236" i="40" s="1"/>
  <c r="D16" i="36"/>
  <c r="D236" i="40" s="1"/>
  <c r="H13" i="36"/>
  <c r="H233" i="40" s="1"/>
  <c r="B12" i="36"/>
  <c r="B11" i="36"/>
  <c r="B10" i="36"/>
  <c r="B230" i="40" s="1"/>
  <c r="L11" i="36" l="1"/>
  <c r="D251" i="40" s="1"/>
  <c r="B231" i="40"/>
  <c r="L12" i="36"/>
  <c r="D252" i="40" s="1"/>
  <c r="B232" i="40"/>
  <c r="B23" i="36"/>
  <c r="B227" i="40"/>
  <c r="V12" i="38"/>
  <c r="F191" i="40" s="1"/>
  <c r="B150" i="40"/>
  <c r="L10" i="38"/>
  <c r="D168" i="40" s="1"/>
  <c r="B148" i="40"/>
  <c r="V11" i="38"/>
  <c r="F190" i="40" s="1"/>
  <c r="B149" i="40"/>
  <c r="B23" i="38"/>
  <c r="B145" i="40"/>
  <c r="V12" i="37"/>
  <c r="F109" i="40" s="1"/>
  <c r="B68" i="40"/>
  <c r="B23" i="37"/>
  <c r="B63" i="40"/>
  <c r="V11" i="37"/>
  <c r="F108" i="40" s="1"/>
  <c r="B67" i="40"/>
  <c r="B17" i="36"/>
  <c r="B17" i="37"/>
  <c r="T13" i="38"/>
  <c r="R13" i="38"/>
  <c r="V11" i="36"/>
  <c r="F272" i="40" s="1"/>
  <c r="P13" i="38"/>
  <c r="Q13" i="38"/>
  <c r="U13" i="38"/>
  <c r="V13" i="38"/>
  <c r="F192" i="40" s="1"/>
  <c r="J13" i="37"/>
  <c r="O13" i="37"/>
  <c r="P13" i="37"/>
  <c r="Q13" i="37"/>
  <c r="L13" i="37"/>
  <c r="D89" i="40" s="1"/>
  <c r="T13" i="37"/>
  <c r="I13" i="37"/>
  <c r="M13" i="37"/>
  <c r="N13" i="37"/>
  <c r="H13" i="37"/>
  <c r="K13" i="37"/>
  <c r="H13" i="38"/>
  <c r="I13" i="38"/>
  <c r="J13" i="38"/>
  <c r="K13" i="38"/>
  <c r="L13" i="38"/>
  <c r="D171" i="40" s="1"/>
  <c r="M13" i="38"/>
  <c r="N13" i="38"/>
  <c r="O13" i="38"/>
  <c r="V13" i="36"/>
  <c r="F274" i="40" s="1"/>
  <c r="S13" i="36"/>
  <c r="T13" i="36"/>
  <c r="U13" i="36"/>
  <c r="B17" i="38"/>
  <c r="B155" i="40" s="1"/>
  <c r="L11" i="38"/>
  <c r="D169" i="40" s="1"/>
  <c r="S13" i="38"/>
  <c r="W13" i="38"/>
  <c r="L12" i="38"/>
  <c r="D170" i="40" s="1"/>
  <c r="D13" i="38"/>
  <c r="X13" i="38"/>
  <c r="V10" i="38"/>
  <c r="F189" i="40" s="1"/>
  <c r="E13" i="38"/>
  <c r="Y13" i="38"/>
  <c r="F13" i="38"/>
  <c r="Z13" i="38"/>
  <c r="G13" i="38"/>
  <c r="L11" i="37"/>
  <c r="D87" i="40" s="1"/>
  <c r="R13" i="37"/>
  <c r="S13" i="37"/>
  <c r="L12" i="37"/>
  <c r="D88" i="40" s="1"/>
  <c r="U13" i="37"/>
  <c r="V10" i="37"/>
  <c r="F107" i="40" s="1"/>
  <c r="V13" i="37"/>
  <c r="F110" i="40" s="1"/>
  <c r="L10" i="37"/>
  <c r="D86" i="40" s="1"/>
  <c r="W13" i="37"/>
  <c r="D13" i="37"/>
  <c r="X13" i="37"/>
  <c r="E13" i="37"/>
  <c r="Y13" i="37"/>
  <c r="F13" i="37"/>
  <c r="Z13" i="37"/>
  <c r="G13" i="37"/>
  <c r="B19" i="36"/>
  <c r="J13" i="36"/>
  <c r="D13" i="36"/>
  <c r="K13" i="36"/>
  <c r="M13" i="36"/>
  <c r="W13" i="36"/>
  <c r="N13" i="36"/>
  <c r="V12" i="36"/>
  <c r="F273" i="40" s="1"/>
  <c r="L13" i="36"/>
  <c r="D253" i="40" s="1"/>
  <c r="L10" i="36"/>
  <c r="D250" i="40" s="1"/>
  <c r="O13" i="36"/>
  <c r="X13" i="36"/>
  <c r="I13" i="36"/>
  <c r="V10" i="36"/>
  <c r="F271" i="40" s="1"/>
  <c r="P13" i="36"/>
  <c r="Q13" i="36"/>
  <c r="R13" i="36"/>
  <c r="F13" i="36"/>
  <c r="Z13" i="36"/>
  <c r="Y13" i="36"/>
  <c r="G13" i="36"/>
  <c r="AA13" i="36"/>
  <c r="E13" i="36"/>
  <c r="Y29" i="2"/>
  <c r="B23" i="19"/>
  <c r="I233" i="40" l="1"/>
  <c r="E274" i="40"/>
  <c r="H253" i="40"/>
  <c r="H274" i="40"/>
  <c r="C274" i="40"/>
  <c r="G274" i="40"/>
  <c r="B274" i="40"/>
  <c r="G253" i="40"/>
  <c r="D274" i="40"/>
  <c r="F253" i="40"/>
  <c r="E253" i="40"/>
  <c r="D233" i="40"/>
  <c r="G233" i="40"/>
  <c r="B253" i="40"/>
  <c r="E233" i="40"/>
  <c r="B25" i="36"/>
  <c r="B4" i="39" s="1"/>
  <c r="B10" i="39" s="1"/>
  <c r="B239" i="40"/>
  <c r="I253" i="40"/>
  <c r="C253" i="40"/>
  <c r="C294" i="40"/>
  <c r="I274" i="40"/>
  <c r="B294" i="40"/>
  <c r="F233" i="40"/>
  <c r="B24" i="36"/>
  <c r="B237" i="40"/>
  <c r="I192" i="40"/>
  <c r="I151" i="40"/>
  <c r="H192" i="40"/>
  <c r="H151" i="40"/>
  <c r="D151" i="40"/>
  <c r="E151" i="40"/>
  <c r="G192" i="40"/>
  <c r="F171" i="40"/>
  <c r="F151" i="40"/>
  <c r="B192" i="40"/>
  <c r="B171" i="40"/>
  <c r="D192" i="40"/>
  <c r="C192" i="40"/>
  <c r="G171" i="40"/>
  <c r="E171" i="40"/>
  <c r="E192" i="40"/>
  <c r="G151" i="40"/>
  <c r="I171" i="40"/>
  <c r="B212" i="40"/>
  <c r="C171" i="40"/>
  <c r="H171" i="40"/>
  <c r="G89" i="40"/>
  <c r="B130" i="40"/>
  <c r="I110" i="40"/>
  <c r="I89" i="40"/>
  <c r="H89" i="40"/>
  <c r="B110" i="40"/>
  <c r="B89" i="40"/>
  <c r="B24" i="37"/>
  <c r="B73" i="40"/>
  <c r="C110" i="40"/>
  <c r="C89" i="40"/>
  <c r="E89" i="40"/>
  <c r="F89" i="40"/>
  <c r="F69" i="40"/>
  <c r="G110" i="40"/>
  <c r="I69" i="40"/>
  <c r="D110" i="40"/>
  <c r="G69" i="40"/>
  <c r="E69" i="40"/>
  <c r="H69" i="40"/>
  <c r="H110" i="40"/>
  <c r="D69" i="40"/>
  <c r="E110" i="40"/>
  <c r="B19" i="37"/>
  <c r="B19" i="38"/>
  <c r="B24" i="38"/>
  <c r="D10" i="29"/>
  <c r="D9" i="29"/>
  <c r="D8" i="29"/>
  <c r="B12" i="19"/>
  <c r="B10" i="19"/>
  <c r="B312" i="40" l="1"/>
  <c r="B314" i="40"/>
  <c r="B25" i="38"/>
  <c r="B3" i="39" s="1"/>
  <c r="B9" i="39" s="1"/>
  <c r="B157" i="40"/>
  <c r="B25" i="37"/>
  <c r="B2" i="39" s="1"/>
  <c r="B8" i="39" s="1"/>
  <c r="B75" i="40"/>
  <c r="D13" i="19"/>
  <c r="D4" i="31"/>
  <c r="C2" i="31"/>
  <c r="D2" i="31" s="1"/>
  <c r="D3" i="31"/>
  <c r="D315" i="40" l="1"/>
  <c r="D6" i="29"/>
  <c r="D7" i="29"/>
  <c r="D2" i="29"/>
  <c r="B11" i="19"/>
  <c r="I18" i="20"/>
  <c r="I19" i="20"/>
  <c r="U4" i="2"/>
  <c r="AC4" i="2" s="1"/>
  <c r="U5" i="2"/>
  <c r="U6" i="2"/>
  <c r="AE6" i="2" s="1"/>
  <c r="U7" i="2"/>
  <c r="AE7" i="2" s="1"/>
  <c r="U8" i="2"/>
  <c r="AE8" i="2" s="1"/>
  <c r="U9" i="2"/>
  <c r="AE9" i="2" s="1"/>
  <c r="U10" i="2"/>
  <c r="AD10" i="2" s="1"/>
  <c r="U11" i="2"/>
  <c r="AD11" i="2" s="1"/>
  <c r="U12" i="2"/>
  <c r="AD12" i="2" s="1"/>
  <c r="U13" i="2"/>
  <c r="AE13" i="2" s="1"/>
  <c r="U14" i="2"/>
  <c r="AE14" i="2" s="1"/>
  <c r="U15" i="2"/>
  <c r="AE15" i="2" s="1"/>
  <c r="U16" i="2"/>
  <c r="AE16" i="2" s="1"/>
  <c r="U17" i="2"/>
  <c r="AE17" i="2" s="1"/>
  <c r="U18" i="2"/>
  <c r="AE18" i="2" s="1"/>
  <c r="U19" i="2"/>
  <c r="AE19" i="2" s="1"/>
  <c r="U20" i="2"/>
  <c r="U21" i="2"/>
  <c r="U22" i="2"/>
  <c r="AE22" i="2" s="1"/>
  <c r="U23" i="2"/>
  <c r="AD23" i="2" s="1"/>
  <c r="U24" i="2"/>
  <c r="AE24" i="2" s="1"/>
  <c r="U25" i="2"/>
  <c r="AE25" i="2" s="1"/>
  <c r="U26" i="2"/>
  <c r="AE26" i="2" s="1"/>
  <c r="U27" i="2"/>
  <c r="AE27" i="2" s="1"/>
  <c r="U28" i="2"/>
  <c r="AE28" i="2" s="1"/>
  <c r="U29" i="2"/>
  <c r="AE29" i="2" s="1"/>
  <c r="U30" i="2"/>
  <c r="AE30" i="2" s="1"/>
  <c r="U31" i="2"/>
  <c r="AD31" i="2" s="1"/>
  <c r="U32" i="2"/>
  <c r="AE32" i="2" s="1"/>
  <c r="U33" i="2"/>
  <c r="AE33" i="2" s="1"/>
  <c r="U34" i="2"/>
  <c r="AE34" i="2" s="1"/>
  <c r="U35" i="2"/>
  <c r="AE35" i="2" s="1"/>
  <c r="U36" i="2"/>
  <c r="AE36" i="2" s="1"/>
  <c r="U37" i="2"/>
  <c r="AE37" i="2" s="1"/>
  <c r="U38" i="2"/>
  <c r="AE38" i="2" s="1"/>
  <c r="U39" i="2"/>
  <c r="AE39" i="2" s="1"/>
  <c r="U40" i="2"/>
  <c r="U41" i="2"/>
  <c r="AE41" i="2" s="1"/>
  <c r="U42" i="2"/>
  <c r="AE42" i="2" s="1"/>
  <c r="U43" i="2"/>
  <c r="AE43" i="2" s="1"/>
  <c r="U44" i="2"/>
  <c r="AE44" i="2" s="1"/>
  <c r="U45" i="2"/>
  <c r="U46" i="2"/>
  <c r="AE46" i="2" s="1"/>
  <c r="U47" i="2"/>
  <c r="AE47" i="2" s="1"/>
  <c r="U48" i="2"/>
  <c r="AE48" i="2" s="1"/>
  <c r="U49" i="2"/>
  <c r="AD49" i="2" s="1"/>
  <c r="U50" i="2"/>
  <c r="AE50" i="2" s="1"/>
  <c r="U51" i="2"/>
  <c r="AE51" i="2" s="1"/>
  <c r="U52" i="2"/>
  <c r="AE52" i="2" s="1"/>
  <c r="U53" i="2"/>
  <c r="AD53" i="2" s="1"/>
  <c r="U54" i="2"/>
  <c r="AE54" i="2" s="1"/>
  <c r="U55" i="2"/>
  <c r="AE55" i="2" s="1"/>
  <c r="U56" i="2"/>
  <c r="AE56" i="2" s="1"/>
  <c r="U57" i="2"/>
  <c r="AE57" i="2" s="1"/>
  <c r="U58" i="2"/>
  <c r="AE58" i="2" s="1"/>
  <c r="U59" i="2"/>
  <c r="AE59" i="2" s="1"/>
  <c r="U60" i="2"/>
  <c r="U61" i="2"/>
  <c r="AD61" i="2" s="1"/>
  <c r="U62" i="2"/>
  <c r="AE62" i="2" s="1"/>
  <c r="U63" i="2"/>
  <c r="AE63" i="2" s="1"/>
  <c r="U64" i="2"/>
  <c r="AE64" i="2" s="1"/>
  <c r="U65" i="2"/>
  <c r="AE65" i="2" s="1"/>
  <c r="U66" i="2"/>
  <c r="AE66" i="2" s="1"/>
  <c r="U67" i="2"/>
  <c r="AE67" i="2" s="1"/>
  <c r="U68" i="2"/>
  <c r="AE68" i="2" s="1"/>
  <c r="U69" i="2"/>
  <c r="AE69" i="2" s="1"/>
  <c r="U70" i="2"/>
  <c r="AE70" i="2" s="1"/>
  <c r="U71" i="2"/>
  <c r="AE71" i="2" s="1"/>
  <c r="U72" i="2"/>
  <c r="AE72" i="2" s="1"/>
  <c r="U73" i="2"/>
  <c r="AE73" i="2" s="1"/>
  <c r="U74" i="2"/>
  <c r="AE74" i="2" s="1"/>
  <c r="U75" i="2"/>
  <c r="AE75" i="2" s="1"/>
  <c r="U76" i="2"/>
  <c r="AE76" i="2" s="1"/>
  <c r="U77" i="2"/>
  <c r="AE77" i="2" s="1"/>
  <c r="U78" i="2"/>
  <c r="AE78" i="2" s="1"/>
  <c r="U79" i="2"/>
  <c r="AE79" i="2" s="1"/>
  <c r="U80" i="2"/>
  <c r="U81" i="2"/>
  <c r="AE81" i="2" s="1"/>
  <c r="U82" i="2"/>
  <c r="AE82" i="2" s="1"/>
  <c r="U83" i="2"/>
  <c r="AE83" i="2" s="1"/>
  <c r="U84" i="2"/>
  <c r="AE84" i="2" s="1"/>
  <c r="U85" i="2"/>
  <c r="U86" i="2"/>
  <c r="AE86" i="2" s="1"/>
  <c r="U87" i="2"/>
  <c r="AE87" i="2" s="1"/>
  <c r="U88" i="2"/>
  <c r="AE88" i="2" s="1"/>
  <c r="U89" i="2"/>
  <c r="AD89" i="2" s="1"/>
  <c r="U90" i="2"/>
  <c r="AE90" i="2" s="1"/>
  <c r="U91" i="2"/>
  <c r="AD91" i="2" s="1"/>
  <c r="U92" i="2"/>
  <c r="AE92" i="2" s="1"/>
  <c r="U93" i="2"/>
  <c r="AE93" i="2" s="1"/>
  <c r="U94" i="2"/>
  <c r="AE94" i="2" s="1"/>
  <c r="U95" i="2"/>
  <c r="AE95" i="2" s="1"/>
  <c r="U96" i="2"/>
  <c r="AE96" i="2" s="1"/>
  <c r="U97" i="2"/>
  <c r="AE97" i="2" s="1"/>
  <c r="U98" i="2"/>
  <c r="AE98" i="2" s="1"/>
  <c r="U99" i="2"/>
  <c r="AE99" i="2" s="1"/>
  <c r="U100" i="2"/>
  <c r="AD100" i="2" s="1"/>
  <c r="U101" i="2"/>
  <c r="AE101" i="2" s="1"/>
  <c r="U102" i="2"/>
  <c r="AE102" i="2" s="1"/>
  <c r="U103" i="2"/>
  <c r="AE103" i="2" s="1"/>
  <c r="U104" i="2"/>
  <c r="AE104" i="2" s="1"/>
  <c r="U105" i="2"/>
  <c r="AE105" i="2" s="1"/>
  <c r="U106" i="2"/>
  <c r="AE106" i="2" s="1"/>
  <c r="U107" i="2"/>
  <c r="AE107" i="2" s="1"/>
  <c r="U108" i="2"/>
  <c r="AE108" i="2" s="1"/>
  <c r="U109" i="2"/>
  <c r="AE109" i="2" s="1"/>
  <c r="U110" i="2"/>
  <c r="AE110" i="2" s="1"/>
  <c r="U111" i="2"/>
  <c r="AE111" i="2" s="1"/>
  <c r="U112" i="2"/>
  <c r="AE112" i="2" s="1"/>
  <c r="U113" i="2"/>
  <c r="AE113" i="2" s="1"/>
  <c r="U114" i="2"/>
  <c r="AE114" i="2" s="1"/>
  <c r="U115" i="2"/>
  <c r="AE115" i="2" s="1"/>
  <c r="U116" i="2"/>
  <c r="AE116" i="2" s="1"/>
  <c r="U117" i="2"/>
  <c r="AE117" i="2" s="1"/>
  <c r="U118" i="2"/>
  <c r="AE118" i="2" s="1"/>
  <c r="U119" i="2"/>
  <c r="AE119" i="2" s="1"/>
  <c r="U120" i="2"/>
  <c r="AD120" i="2" s="1"/>
  <c r="U121" i="2"/>
  <c r="AD121" i="2" s="1"/>
  <c r="U122" i="2"/>
  <c r="AE122" i="2" s="1"/>
  <c r="U123" i="2"/>
  <c r="AE123" i="2" s="1"/>
  <c r="U124" i="2"/>
  <c r="AE124" i="2" s="1"/>
  <c r="U125" i="2"/>
  <c r="U126" i="2"/>
  <c r="AE126" i="2" s="1"/>
  <c r="U127" i="2"/>
  <c r="AE127" i="2" s="1"/>
  <c r="U128" i="2"/>
  <c r="AE128" i="2" s="1"/>
  <c r="U129" i="2"/>
  <c r="AD129" i="2" s="1"/>
  <c r="U130" i="2"/>
  <c r="AE130" i="2" s="1"/>
  <c r="U131" i="2"/>
  <c r="AE131" i="2" s="1"/>
  <c r="U132" i="2"/>
  <c r="AE132" i="2" s="1"/>
  <c r="U133" i="2"/>
  <c r="AE133" i="2" s="1"/>
  <c r="U134" i="2"/>
  <c r="AE134" i="2" s="1"/>
  <c r="U135" i="2"/>
  <c r="AE135" i="2" s="1"/>
  <c r="U136" i="2"/>
  <c r="AE136" i="2" s="1"/>
  <c r="U137" i="2"/>
  <c r="AE137" i="2" s="1"/>
  <c r="U138" i="2"/>
  <c r="AE138" i="2" s="1"/>
  <c r="U139" i="2"/>
  <c r="AE139" i="2" s="1"/>
  <c r="U140" i="2"/>
  <c r="U141" i="2"/>
  <c r="AD141" i="2" s="1"/>
  <c r="U142" i="2"/>
  <c r="AE142" i="2" s="1"/>
  <c r="U143" i="2"/>
  <c r="AE143" i="2" s="1"/>
  <c r="U144" i="2"/>
  <c r="AE144" i="2" s="1"/>
  <c r="U145" i="2"/>
  <c r="AD145" i="2" s="1"/>
  <c r="U146" i="2"/>
  <c r="AE146" i="2" s="1"/>
  <c r="U147" i="2"/>
  <c r="AE147" i="2" s="1"/>
  <c r="U148" i="2"/>
  <c r="AE148" i="2" s="1"/>
  <c r="U149" i="2"/>
  <c r="AE149" i="2" s="1"/>
  <c r="U150" i="2"/>
  <c r="AE150" i="2" s="1"/>
  <c r="U151" i="2"/>
  <c r="AE151" i="2" s="1"/>
  <c r="U152" i="2"/>
  <c r="AE152" i="2" s="1"/>
  <c r="U153" i="2"/>
  <c r="AD153" i="2" s="1"/>
  <c r="U154" i="2"/>
  <c r="AE154" i="2" s="1"/>
  <c r="U155" i="2"/>
  <c r="AE155" i="2" s="1"/>
  <c r="U156" i="2"/>
  <c r="AE156" i="2" s="1"/>
  <c r="U157" i="2"/>
  <c r="AE157" i="2" s="1"/>
  <c r="U158" i="2"/>
  <c r="AE158" i="2" s="1"/>
  <c r="U159" i="2"/>
  <c r="AE159" i="2" s="1"/>
  <c r="U160" i="2"/>
  <c r="U161" i="2"/>
  <c r="AD161" i="2" s="1"/>
  <c r="U162" i="2"/>
  <c r="AE162" i="2" s="1"/>
  <c r="U163" i="2"/>
  <c r="AE163" i="2" s="1"/>
  <c r="U164" i="2"/>
  <c r="AE164" i="2" s="1"/>
  <c r="U165" i="2"/>
  <c r="U166" i="2"/>
  <c r="AE166" i="2" s="1"/>
  <c r="U167" i="2"/>
  <c r="AE167" i="2" s="1"/>
  <c r="U168" i="2"/>
  <c r="AE168" i="2" s="1"/>
  <c r="U169" i="2"/>
  <c r="AE169" i="2" s="1"/>
  <c r="U170" i="2"/>
  <c r="AD170" i="2" s="1"/>
  <c r="U171" i="2"/>
  <c r="AE171" i="2" s="1"/>
  <c r="U172" i="2"/>
  <c r="AE172" i="2" s="1"/>
  <c r="U173" i="2"/>
  <c r="AE173" i="2" s="1"/>
  <c r="U174" i="2"/>
  <c r="AE174" i="2" s="1"/>
  <c r="U175" i="2"/>
  <c r="AE175" i="2" s="1"/>
  <c r="U176" i="2"/>
  <c r="AE176" i="2" s="1"/>
  <c r="U177" i="2"/>
  <c r="AE177" i="2" s="1"/>
  <c r="U178" i="2"/>
  <c r="AE178" i="2" s="1"/>
  <c r="U179" i="2"/>
  <c r="AE179" i="2" s="1"/>
  <c r="U180" i="2"/>
  <c r="U181" i="2"/>
  <c r="AE181" i="2" s="1"/>
  <c r="U182" i="2"/>
  <c r="AE182" i="2" s="1"/>
  <c r="U183" i="2"/>
  <c r="AE183" i="2" s="1"/>
  <c r="U184" i="2"/>
  <c r="AE184" i="2" s="1"/>
  <c r="U185" i="2"/>
  <c r="U186" i="2"/>
  <c r="AE186" i="2" s="1"/>
  <c r="U187" i="2"/>
  <c r="AE187" i="2" s="1"/>
  <c r="U188" i="2"/>
  <c r="AE188" i="2" s="1"/>
  <c r="U189" i="2"/>
  <c r="AD189" i="2" s="1"/>
  <c r="U190" i="2"/>
  <c r="AD190" i="2" s="1"/>
  <c r="U191" i="2"/>
  <c r="AE191" i="2" s="1"/>
  <c r="U192" i="2"/>
  <c r="AD192" i="2" s="1"/>
  <c r="U193" i="2"/>
  <c r="AD193" i="2" s="1"/>
  <c r="U194" i="2"/>
  <c r="AE194" i="2" s="1"/>
  <c r="U195" i="2"/>
  <c r="AE195" i="2" s="1"/>
  <c r="U196" i="2"/>
  <c r="AE196" i="2" s="1"/>
  <c r="U197" i="2"/>
  <c r="AE197" i="2" s="1"/>
  <c r="U198" i="2"/>
  <c r="AE198" i="2" s="1"/>
  <c r="U199" i="2"/>
  <c r="AE199" i="2" s="1"/>
  <c r="U200" i="2"/>
  <c r="U201" i="2"/>
  <c r="U202" i="2"/>
  <c r="AE202" i="2" s="1"/>
  <c r="U203" i="2"/>
  <c r="AE203" i="2" s="1"/>
  <c r="U204" i="2"/>
  <c r="AE204" i="2" s="1"/>
  <c r="U205" i="2"/>
  <c r="U206" i="2"/>
  <c r="AE206" i="2" s="1"/>
  <c r="U207" i="2"/>
  <c r="AE207" i="2" s="1"/>
  <c r="U208" i="2"/>
  <c r="AE208" i="2" s="1"/>
  <c r="U209" i="2"/>
  <c r="AE209" i="2" s="1"/>
  <c r="U210" i="2"/>
  <c r="AD210" i="2" s="1"/>
  <c r="U211" i="2"/>
  <c r="AE211" i="2" s="1"/>
  <c r="U212" i="2"/>
  <c r="AE212" i="2" s="1"/>
  <c r="U213" i="2"/>
  <c r="AD213" i="2" s="1"/>
  <c r="U214" i="2"/>
  <c r="AE214" i="2" s="1"/>
  <c r="U215" i="2"/>
  <c r="AE215" i="2" s="1"/>
  <c r="U216" i="2"/>
  <c r="AE216" i="2" s="1"/>
  <c r="U217" i="2"/>
  <c r="AE217" i="2" s="1"/>
  <c r="U218" i="2"/>
  <c r="AE218" i="2" s="1"/>
  <c r="U219" i="2"/>
  <c r="AE219" i="2" s="1"/>
  <c r="U220" i="2"/>
  <c r="U221" i="2"/>
  <c r="AD221" i="2" s="1"/>
  <c r="U222" i="2"/>
  <c r="AE222" i="2" s="1"/>
  <c r="U223" i="2"/>
  <c r="AE223" i="2" s="1"/>
  <c r="U224" i="2"/>
  <c r="AE224" i="2" s="1"/>
  <c r="U225" i="2"/>
  <c r="U226" i="2"/>
  <c r="AE226" i="2" s="1"/>
  <c r="U227" i="2"/>
  <c r="AE227" i="2" s="1"/>
  <c r="U228" i="2"/>
  <c r="AE228" i="2" s="1"/>
  <c r="U229" i="2"/>
  <c r="AD229" i="2" s="1"/>
  <c r="U230" i="2"/>
  <c r="AE230" i="2" s="1"/>
  <c r="U231" i="2"/>
  <c r="AE231" i="2" s="1"/>
  <c r="U232" i="2"/>
  <c r="AD232" i="2" s="1"/>
  <c r="U233" i="2"/>
  <c r="AE233" i="2" s="1"/>
  <c r="U234" i="2"/>
  <c r="AE234" i="2" s="1"/>
  <c r="U235" i="2"/>
  <c r="AE235" i="2" s="1"/>
  <c r="U236" i="2"/>
  <c r="AE236" i="2" s="1"/>
  <c r="U237" i="2"/>
  <c r="AE237" i="2" s="1"/>
  <c r="U238" i="2"/>
  <c r="AE238" i="2" s="1"/>
  <c r="U239" i="2"/>
  <c r="AE239" i="2" s="1"/>
  <c r="U240" i="2"/>
  <c r="U241" i="2"/>
  <c r="U242" i="2"/>
  <c r="AE242" i="2" s="1"/>
  <c r="U243" i="2"/>
  <c r="AE243" i="2" s="1"/>
  <c r="U244" i="2"/>
  <c r="AE244" i="2" s="1"/>
  <c r="U245" i="2"/>
  <c r="AE245" i="2" s="1"/>
  <c r="U246" i="2"/>
  <c r="AE246" i="2" s="1"/>
  <c r="U247" i="2"/>
  <c r="AE247" i="2" s="1"/>
  <c r="U248" i="2"/>
  <c r="AE248" i="2" s="1"/>
  <c r="U249" i="2"/>
  <c r="AE249" i="2" s="1"/>
  <c r="U250" i="2"/>
  <c r="AE250" i="2" s="1"/>
  <c r="U251" i="2"/>
  <c r="AE251" i="2" s="1"/>
  <c r="U252" i="2"/>
  <c r="AE252" i="2" s="1"/>
  <c r="U253" i="2"/>
  <c r="AD253" i="2" s="1"/>
  <c r="U254" i="2"/>
  <c r="AE254" i="2" s="1"/>
  <c r="U255" i="2"/>
  <c r="AE255" i="2" s="1"/>
  <c r="U256" i="2"/>
  <c r="AE256" i="2" s="1"/>
  <c r="U257" i="2"/>
  <c r="AE257" i="2" s="1"/>
  <c r="U258" i="2"/>
  <c r="AE258" i="2" s="1"/>
  <c r="U259" i="2"/>
  <c r="AE259" i="2" s="1"/>
  <c r="U260" i="2"/>
  <c r="U261" i="2"/>
  <c r="AD261" i="2" s="1"/>
  <c r="U262" i="2"/>
  <c r="AE262" i="2" s="1"/>
  <c r="U263" i="2"/>
  <c r="AE263" i="2" s="1"/>
  <c r="U264" i="2"/>
  <c r="AE264" i="2" s="1"/>
  <c r="U265" i="2"/>
  <c r="U266" i="2"/>
  <c r="AE266" i="2" s="1"/>
  <c r="U267" i="2"/>
  <c r="AE267" i="2" s="1"/>
  <c r="U268" i="2"/>
  <c r="U269" i="2"/>
  <c r="U270" i="2"/>
  <c r="AD270" i="2" s="1"/>
  <c r="U271" i="2"/>
  <c r="U272" i="2"/>
  <c r="U273" i="2"/>
  <c r="U274" i="2"/>
  <c r="U3" i="2"/>
  <c r="Y6" i="2"/>
  <c r="Y7" i="2"/>
  <c r="Y8" i="2"/>
  <c r="Y9" i="2"/>
  <c r="Y10" i="2"/>
  <c r="Y11" i="2"/>
  <c r="Y12" i="2"/>
  <c r="Y13" i="2"/>
  <c r="Y14" i="2"/>
  <c r="Y15" i="2"/>
  <c r="Y16" i="2"/>
  <c r="Y17" i="2"/>
  <c r="Y18" i="2"/>
  <c r="Y19" i="2"/>
  <c r="Y20" i="2"/>
  <c r="Y21" i="2"/>
  <c r="Y22" i="2"/>
  <c r="Y23" i="2"/>
  <c r="Y24" i="2"/>
  <c r="Y25" i="2"/>
  <c r="Y26" i="2"/>
  <c r="Y27" i="2"/>
  <c r="Y28"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70"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70" i="2"/>
  <c r="E16" i="19"/>
  <c r="F16" i="19"/>
  <c r="G16" i="19"/>
  <c r="H16" i="19"/>
  <c r="I16" i="19"/>
  <c r="J16" i="19"/>
  <c r="K16" i="19"/>
  <c r="L16" i="19"/>
  <c r="M16" i="19"/>
  <c r="N16" i="19"/>
  <c r="O16" i="19"/>
  <c r="P16" i="19"/>
  <c r="Q16" i="19"/>
  <c r="R16" i="19"/>
  <c r="S16" i="19"/>
  <c r="T16" i="19"/>
  <c r="U16" i="19"/>
  <c r="V16" i="19"/>
  <c r="W16" i="19"/>
  <c r="X16" i="19"/>
  <c r="Y16" i="19"/>
  <c r="Z16" i="19"/>
  <c r="AA16" i="19"/>
  <c r="D16" i="19"/>
  <c r="I4" i="20"/>
  <c r="I5" i="20"/>
  <c r="H338" i="40" l="1"/>
  <c r="F338" i="40"/>
  <c r="D338" i="40"/>
  <c r="G338" i="40"/>
  <c r="E338" i="40"/>
  <c r="C338" i="40"/>
  <c r="B338" i="40"/>
  <c r="C379" i="40"/>
  <c r="F318" i="40"/>
  <c r="I359" i="40"/>
  <c r="B313" i="40"/>
  <c r="I318" i="40"/>
  <c r="D318" i="40"/>
  <c r="E318" i="40"/>
  <c r="H359" i="40"/>
  <c r="G359" i="40"/>
  <c r="D359" i="40"/>
  <c r="H318" i="40"/>
  <c r="G318" i="40"/>
  <c r="B379" i="40"/>
  <c r="F359" i="40"/>
  <c r="E359" i="40"/>
  <c r="C359" i="40"/>
  <c r="B359" i="40"/>
  <c r="I338" i="40"/>
  <c r="AA137" i="2"/>
  <c r="AD252" i="2"/>
  <c r="AG252" i="2" s="1"/>
  <c r="AD233" i="2"/>
  <c r="AG233" i="2" s="1"/>
  <c r="AD231" i="2"/>
  <c r="AG231" i="2" s="1"/>
  <c r="AD9" i="2"/>
  <c r="AG9" i="2" s="1"/>
  <c r="AD230" i="2"/>
  <c r="AG230" i="2" s="1"/>
  <c r="AE210" i="2"/>
  <c r="AG210" i="2" s="1"/>
  <c r="AE193" i="2"/>
  <c r="AG193" i="2" s="1"/>
  <c r="AE189" i="2"/>
  <c r="AG189" i="2" s="1"/>
  <c r="AE170" i="2"/>
  <c r="AF170" i="2" s="1"/>
  <c r="AE91" i="2"/>
  <c r="AG91" i="2" s="1"/>
  <c r="AD251" i="2"/>
  <c r="AG251" i="2" s="1"/>
  <c r="AE192" i="2"/>
  <c r="AG192" i="2" s="1"/>
  <c r="AD169" i="2"/>
  <c r="AG169" i="2" s="1"/>
  <c r="AE89" i="2"/>
  <c r="AG89" i="2" s="1"/>
  <c r="AE53" i="2"/>
  <c r="AF53" i="2" s="1"/>
  <c r="AD152" i="2"/>
  <c r="AG152" i="2" s="1"/>
  <c r="AE49" i="2"/>
  <c r="AG49" i="2" s="1"/>
  <c r="AD151" i="2"/>
  <c r="AG151" i="2" s="1"/>
  <c r="AD133" i="2"/>
  <c r="AG133" i="2" s="1"/>
  <c r="AD132" i="2"/>
  <c r="AG132" i="2" s="1"/>
  <c r="AD93" i="2"/>
  <c r="AF93" i="2" s="1"/>
  <c r="AD50" i="2"/>
  <c r="AG50" i="2" s="1"/>
  <c r="AD33" i="2"/>
  <c r="AG33" i="2" s="1"/>
  <c r="AD32" i="2"/>
  <c r="AG32" i="2" s="1"/>
  <c r="AD30" i="2"/>
  <c r="AG30" i="2" s="1"/>
  <c r="AD13" i="2"/>
  <c r="AG13" i="2" s="1"/>
  <c r="AD212" i="2"/>
  <c r="AG212" i="2" s="1"/>
  <c r="AD211" i="2"/>
  <c r="AG211" i="2" s="1"/>
  <c r="AE270" i="2"/>
  <c r="AG270" i="2" s="1"/>
  <c r="AD92" i="2"/>
  <c r="AG92" i="2" s="1"/>
  <c r="AE253" i="2"/>
  <c r="AF253" i="2" s="1"/>
  <c r="AE153" i="2"/>
  <c r="AG153" i="2" s="1"/>
  <c r="AD209" i="2"/>
  <c r="AF209" i="2" s="1"/>
  <c r="AD90" i="2"/>
  <c r="AF90" i="2" s="1"/>
  <c r="AE141" i="2"/>
  <c r="AG141" i="2" s="1"/>
  <c r="AE31" i="2"/>
  <c r="AG31" i="2" s="1"/>
  <c r="AD73" i="2"/>
  <c r="AG73" i="2" s="1"/>
  <c r="AE232" i="2"/>
  <c r="AG232" i="2" s="1"/>
  <c r="AD72" i="2"/>
  <c r="AG72" i="2" s="1"/>
  <c r="AE12" i="2"/>
  <c r="AG12" i="2" s="1"/>
  <c r="AD181" i="2"/>
  <c r="AF181" i="2" s="1"/>
  <c r="AE11" i="2"/>
  <c r="AF11" i="2" s="1"/>
  <c r="AD173" i="2"/>
  <c r="AG173" i="2" s="1"/>
  <c r="AE229" i="2"/>
  <c r="AF229" i="2" s="1"/>
  <c r="AE129" i="2"/>
  <c r="AG129" i="2" s="1"/>
  <c r="AE10" i="2"/>
  <c r="AG10" i="2" s="1"/>
  <c r="AD172" i="2"/>
  <c r="AG172" i="2" s="1"/>
  <c r="AD52" i="2"/>
  <c r="AG52" i="2" s="1"/>
  <c r="AE213" i="2"/>
  <c r="AG213" i="2" s="1"/>
  <c r="AE121" i="2"/>
  <c r="AG121" i="2" s="1"/>
  <c r="AD51" i="2"/>
  <c r="AG51" i="2" s="1"/>
  <c r="AE190" i="2"/>
  <c r="AG190" i="2" s="1"/>
  <c r="AD130" i="2"/>
  <c r="AG130" i="2" s="1"/>
  <c r="AD98" i="2"/>
  <c r="AF98" i="2" s="1"/>
  <c r="AE145" i="2"/>
  <c r="AG145" i="2" s="1"/>
  <c r="AE100" i="2"/>
  <c r="AG100" i="2" s="1"/>
  <c r="AD185" i="2"/>
  <c r="AD140" i="2"/>
  <c r="AD138" i="2"/>
  <c r="AG138" i="2" s="1"/>
  <c r="AE185" i="2"/>
  <c r="AE140" i="2"/>
  <c r="AD225" i="2"/>
  <c r="AD180" i="2"/>
  <c r="AD178" i="2"/>
  <c r="AG178" i="2" s="1"/>
  <c r="AD45" i="2"/>
  <c r="AE225" i="2"/>
  <c r="AE180" i="2"/>
  <c r="AD265" i="2"/>
  <c r="AD220" i="2"/>
  <c r="AD131" i="2"/>
  <c r="AF131" i="2" s="1"/>
  <c r="AD41" i="2"/>
  <c r="AG41" i="2" s="1"/>
  <c r="AE221" i="2"/>
  <c r="AG221" i="2" s="1"/>
  <c r="AE45" i="2"/>
  <c r="AD85" i="2"/>
  <c r="AE220" i="2"/>
  <c r="AD218" i="2"/>
  <c r="AG218" i="2" s="1"/>
  <c r="AD40" i="2"/>
  <c r="AE265" i="2"/>
  <c r="AD260" i="2"/>
  <c r="AD171" i="2"/>
  <c r="AG171" i="2" s="1"/>
  <c r="AD81" i="2"/>
  <c r="AF81" i="2" s="1"/>
  <c r="AD38" i="2"/>
  <c r="AF38" i="2" s="1"/>
  <c r="AE261" i="2"/>
  <c r="AF261" i="2" s="1"/>
  <c r="AE85" i="2"/>
  <c r="AE40" i="2"/>
  <c r="AD258" i="2"/>
  <c r="AG258" i="2" s="1"/>
  <c r="AD125" i="2"/>
  <c r="AD80" i="2"/>
  <c r="AE260" i="2"/>
  <c r="AD78" i="2"/>
  <c r="AF78" i="2" s="1"/>
  <c r="AE125" i="2"/>
  <c r="AE80" i="2"/>
  <c r="AD165" i="2"/>
  <c r="AD118" i="2"/>
  <c r="AG118" i="2" s="1"/>
  <c r="AE165" i="2"/>
  <c r="AE120" i="2"/>
  <c r="AG120" i="2" s="1"/>
  <c r="AD250" i="2"/>
  <c r="AF250" i="2" s="1"/>
  <c r="AD205" i="2"/>
  <c r="AD160" i="2"/>
  <c r="AD113" i="2"/>
  <c r="AG113" i="2" s="1"/>
  <c r="AD71" i="2"/>
  <c r="AG71" i="2" s="1"/>
  <c r="AD29" i="2"/>
  <c r="AG29" i="2" s="1"/>
  <c r="AE161" i="2"/>
  <c r="AF161" i="2" s="1"/>
  <c r="AD249" i="2"/>
  <c r="AG249" i="2" s="1"/>
  <c r="AD201" i="2"/>
  <c r="AD158" i="2"/>
  <c r="AG158" i="2" s="1"/>
  <c r="AD112" i="2"/>
  <c r="AG112" i="2" s="1"/>
  <c r="AD70" i="2"/>
  <c r="AG70" i="2" s="1"/>
  <c r="AD25" i="2"/>
  <c r="AG25" i="2" s="1"/>
  <c r="AE205" i="2"/>
  <c r="AE160" i="2"/>
  <c r="AA200" i="2"/>
  <c r="AD245" i="2"/>
  <c r="AG245" i="2" s="1"/>
  <c r="AD200" i="2"/>
  <c r="AD111" i="2"/>
  <c r="AD69" i="2"/>
  <c r="AG69" i="2" s="1"/>
  <c r="AD21" i="2"/>
  <c r="AE201" i="2"/>
  <c r="AD241" i="2"/>
  <c r="AD198" i="2"/>
  <c r="AG198" i="2" s="1"/>
  <c r="AD110" i="2"/>
  <c r="AF110" i="2" s="1"/>
  <c r="AD65" i="2"/>
  <c r="AF65" i="2" s="1"/>
  <c r="AD20" i="2"/>
  <c r="AE200" i="2"/>
  <c r="AE21" i="2"/>
  <c r="AD240" i="2"/>
  <c r="AD109" i="2"/>
  <c r="AF109" i="2" s="1"/>
  <c r="AD18" i="2"/>
  <c r="AF18" i="2" s="1"/>
  <c r="AE241" i="2"/>
  <c r="AE20" i="2"/>
  <c r="AD238" i="2"/>
  <c r="AG238" i="2" s="1"/>
  <c r="AD150" i="2"/>
  <c r="AG150" i="2" s="1"/>
  <c r="AD105" i="2"/>
  <c r="AF105" i="2" s="1"/>
  <c r="AD60" i="2"/>
  <c r="AE240" i="2"/>
  <c r="AE61" i="2"/>
  <c r="AF61" i="2" s="1"/>
  <c r="AD191" i="2"/>
  <c r="AG191" i="2" s="1"/>
  <c r="AD149" i="2"/>
  <c r="AG149" i="2" s="1"/>
  <c r="AD101" i="2"/>
  <c r="AF101" i="2" s="1"/>
  <c r="AD58" i="2"/>
  <c r="AF58" i="2" s="1"/>
  <c r="AE60" i="2"/>
  <c r="AD256" i="2"/>
  <c r="AF256" i="2" s="1"/>
  <c r="AD236" i="2"/>
  <c r="AG236" i="2" s="1"/>
  <c r="AD216" i="2"/>
  <c r="AF216" i="2" s="1"/>
  <c r="AD196" i="2"/>
  <c r="AF196" i="2" s="1"/>
  <c r="AD176" i="2"/>
  <c r="AG176" i="2" s="1"/>
  <c r="AD156" i="2"/>
  <c r="AG156" i="2" s="1"/>
  <c r="AD136" i="2"/>
  <c r="AG136" i="2" s="1"/>
  <c r="AD116" i="2"/>
  <c r="AG116" i="2" s="1"/>
  <c r="AD96" i="2"/>
  <c r="AF96" i="2" s="1"/>
  <c r="AD76" i="2"/>
  <c r="AG76" i="2" s="1"/>
  <c r="AD56" i="2"/>
  <c r="AG56" i="2" s="1"/>
  <c r="AD36" i="2"/>
  <c r="AF36" i="2" s="1"/>
  <c r="AD16" i="2"/>
  <c r="AG16" i="2" s="1"/>
  <c r="Z223" i="2"/>
  <c r="AD255" i="2"/>
  <c r="AG255" i="2" s="1"/>
  <c r="AD235" i="2"/>
  <c r="AF235" i="2" s="1"/>
  <c r="AD215" i="2"/>
  <c r="AF215" i="2" s="1"/>
  <c r="AD195" i="2"/>
  <c r="AF195" i="2" s="1"/>
  <c r="AD175" i="2"/>
  <c r="AG175" i="2" s="1"/>
  <c r="AD155" i="2"/>
  <c r="AF155" i="2" s="1"/>
  <c r="AD135" i="2"/>
  <c r="AG135" i="2" s="1"/>
  <c r="AD115" i="2"/>
  <c r="AG115" i="2" s="1"/>
  <c r="AD95" i="2"/>
  <c r="AF95" i="2" s="1"/>
  <c r="AD75" i="2"/>
  <c r="AF75" i="2" s="1"/>
  <c r="AD55" i="2"/>
  <c r="AG55" i="2" s="1"/>
  <c r="AD35" i="2"/>
  <c r="AG35" i="2" s="1"/>
  <c r="AD15" i="2"/>
  <c r="AG15" i="2" s="1"/>
  <c r="AD254" i="2"/>
  <c r="AF254" i="2" s="1"/>
  <c r="AD234" i="2"/>
  <c r="AF234" i="2" s="1"/>
  <c r="AD214" i="2"/>
  <c r="AG214" i="2" s="1"/>
  <c r="AD194" i="2"/>
  <c r="AG194" i="2" s="1"/>
  <c r="AD174" i="2"/>
  <c r="AG174" i="2" s="1"/>
  <c r="AD154" i="2"/>
  <c r="AG154" i="2" s="1"/>
  <c r="AD134" i="2"/>
  <c r="AG134" i="2" s="1"/>
  <c r="AD114" i="2"/>
  <c r="AG114" i="2" s="1"/>
  <c r="AD94" i="2"/>
  <c r="AF94" i="2" s="1"/>
  <c r="AD74" i="2"/>
  <c r="AF74" i="2" s="1"/>
  <c r="AD54" i="2"/>
  <c r="AF54" i="2" s="1"/>
  <c r="AD34" i="2"/>
  <c r="AF34" i="2" s="1"/>
  <c r="AD14" i="2"/>
  <c r="AF14" i="2" s="1"/>
  <c r="AD248" i="2"/>
  <c r="AF248" i="2" s="1"/>
  <c r="AD228" i="2"/>
  <c r="AF228" i="2" s="1"/>
  <c r="AD208" i="2"/>
  <c r="AG208" i="2" s="1"/>
  <c r="AD188" i="2"/>
  <c r="AG188" i="2" s="1"/>
  <c r="AD168" i="2"/>
  <c r="AG168" i="2" s="1"/>
  <c r="AD148" i="2"/>
  <c r="AG148" i="2" s="1"/>
  <c r="AD128" i="2"/>
  <c r="AG128" i="2" s="1"/>
  <c r="AD108" i="2"/>
  <c r="AG108" i="2" s="1"/>
  <c r="AD88" i="2"/>
  <c r="AG88" i="2" s="1"/>
  <c r="AD68" i="2"/>
  <c r="AG68" i="2" s="1"/>
  <c r="AD48" i="2"/>
  <c r="AF48" i="2" s="1"/>
  <c r="AD28" i="2"/>
  <c r="AG28" i="2" s="1"/>
  <c r="AD8" i="2"/>
  <c r="AG8" i="2" s="1"/>
  <c r="AD267" i="2"/>
  <c r="AG267" i="2" s="1"/>
  <c r="AD247" i="2"/>
  <c r="AG247" i="2" s="1"/>
  <c r="AD227" i="2"/>
  <c r="AG227" i="2" s="1"/>
  <c r="AD207" i="2"/>
  <c r="AG207" i="2" s="1"/>
  <c r="AD187" i="2"/>
  <c r="AF187" i="2" s="1"/>
  <c r="AD167" i="2"/>
  <c r="AF167" i="2" s="1"/>
  <c r="AD147" i="2"/>
  <c r="AF147" i="2" s="1"/>
  <c r="AD127" i="2"/>
  <c r="AG127" i="2" s="1"/>
  <c r="AD107" i="2"/>
  <c r="AF107" i="2" s="1"/>
  <c r="AD87" i="2"/>
  <c r="AG87" i="2" s="1"/>
  <c r="AD67" i="2"/>
  <c r="AG67" i="2" s="1"/>
  <c r="AD47" i="2"/>
  <c r="AF47" i="2" s="1"/>
  <c r="AD27" i="2"/>
  <c r="AF27" i="2" s="1"/>
  <c r="AD7" i="2"/>
  <c r="AF7" i="2" s="1"/>
  <c r="AD266" i="2"/>
  <c r="AG266" i="2" s="1"/>
  <c r="AD246" i="2"/>
  <c r="AF246" i="2" s="1"/>
  <c r="AD226" i="2"/>
  <c r="AG226" i="2" s="1"/>
  <c r="AD206" i="2"/>
  <c r="AF206" i="2" s="1"/>
  <c r="AD186" i="2"/>
  <c r="AG186" i="2" s="1"/>
  <c r="AD166" i="2"/>
  <c r="AD146" i="2"/>
  <c r="AF146" i="2" s="1"/>
  <c r="AD126" i="2"/>
  <c r="AG126" i="2" s="1"/>
  <c r="AD106" i="2"/>
  <c r="AF106" i="2" s="1"/>
  <c r="AD86" i="2"/>
  <c r="AG86" i="2" s="1"/>
  <c r="AD66" i="2"/>
  <c r="AG66" i="2" s="1"/>
  <c r="AD46" i="2"/>
  <c r="AG46" i="2" s="1"/>
  <c r="AD26" i="2"/>
  <c r="AF26" i="2" s="1"/>
  <c r="AD6" i="2"/>
  <c r="AF6" i="2" s="1"/>
  <c r="AD264" i="2"/>
  <c r="AF264" i="2" s="1"/>
  <c r="AD244" i="2"/>
  <c r="AG244" i="2" s="1"/>
  <c r="AD224" i="2"/>
  <c r="AG224" i="2" s="1"/>
  <c r="AD204" i="2"/>
  <c r="AG204" i="2" s="1"/>
  <c r="AD184" i="2"/>
  <c r="AD164" i="2"/>
  <c r="AG164" i="2" s="1"/>
  <c r="AD144" i="2"/>
  <c r="AG144" i="2" s="1"/>
  <c r="AD124" i="2"/>
  <c r="AG124" i="2" s="1"/>
  <c r="AD104" i="2"/>
  <c r="AF104" i="2" s="1"/>
  <c r="AD84" i="2"/>
  <c r="AG84" i="2" s="1"/>
  <c r="AD64" i="2"/>
  <c r="AF64" i="2" s="1"/>
  <c r="AD44" i="2"/>
  <c r="AG44" i="2" s="1"/>
  <c r="AD24" i="2"/>
  <c r="AG4" i="2"/>
  <c r="AD43" i="2"/>
  <c r="AF43" i="2" s="1"/>
  <c r="AE23" i="2"/>
  <c r="AG23" i="2" s="1"/>
  <c r="AD263" i="2"/>
  <c r="AG263" i="2" s="1"/>
  <c r="AD243" i="2"/>
  <c r="AF243" i="2" s="1"/>
  <c r="AD223" i="2"/>
  <c r="AG223" i="2" s="1"/>
  <c r="AD203" i="2"/>
  <c r="AF203" i="2" s="1"/>
  <c r="AD183" i="2"/>
  <c r="AF183" i="2" s="1"/>
  <c r="AD163" i="2"/>
  <c r="AG163" i="2" s="1"/>
  <c r="AD143" i="2"/>
  <c r="AG143" i="2" s="1"/>
  <c r="AD123" i="2"/>
  <c r="AG123" i="2" s="1"/>
  <c r="AD103" i="2"/>
  <c r="AG103" i="2" s="1"/>
  <c r="AD83" i="2"/>
  <c r="AF83" i="2" s="1"/>
  <c r="AD63" i="2"/>
  <c r="AF63" i="2" s="1"/>
  <c r="AD262" i="2"/>
  <c r="AG262" i="2" s="1"/>
  <c r="AD242" i="2"/>
  <c r="AG242" i="2" s="1"/>
  <c r="AD222" i="2"/>
  <c r="AG222" i="2" s="1"/>
  <c r="AD202" i="2"/>
  <c r="AG202" i="2" s="1"/>
  <c r="AD182" i="2"/>
  <c r="AG182" i="2" s="1"/>
  <c r="AD162" i="2"/>
  <c r="AG162" i="2" s="1"/>
  <c r="AD142" i="2"/>
  <c r="AF142" i="2" s="1"/>
  <c r="AD122" i="2"/>
  <c r="AF122" i="2" s="1"/>
  <c r="AD102" i="2"/>
  <c r="AG102" i="2" s="1"/>
  <c r="AD82" i="2"/>
  <c r="AG82" i="2" s="1"/>
  <c r="AD62" i="2"/>
  <c r="AF62" i="2" s="1"/>
  <c r="AD42" i="2"/>
  <c r="AG42" i="2" s="1"/>
  <c r="AD22" i="2"/>
  <c r="AF22" i="2" s="1"/>
  <c r="Z83" i="2"/>
  <c r="AD259" i="2"/>
  <c r="AG259" i="2" s="1"/>
  <c r="AD239" i="2"/>
  <c r="AD219" i="2"/>
  <c r="AG219" i="2" s="1"/>
  <c r="AD199" i="2"/>
  <c r="AG199" i="2" s="1"/>
  <c r="AD179" i="2"/>
  <c r="AG179" i="2" s="1"/>
  <c r="AD159" i="2"/>
  <c r="AG159" i="2" s="1"/>
  <c r="AD139" i="2"/>
  <c r="AF139" i="2" s="1"/>
  <c r="AD119" i="2"/>
  <c r="AG119" i="2" s="1"/>
  <c r="AD99" i="2"/>
  <c r="AF99" i="2" s="1"/>
  <c r="AD79" i="2"/>
  <c r="AG79" i="2" s="1"/>
  <c r="AD59" i="2"/>
  <c r="AG59" i="2" s="1"/>
  <c r="AD39" i="2"/>
  <c r="AG39" i="2" s="1"/>
  <c r="AD19" i="2"/>
  <c r="AG19" i="2" s="1"/>
  <c r="AD257" i="2"/>
  <c r="AF257" i="2" s="1"/>
  <c r="AD237" i="2"/>
  <c r="AF237" i="2" s="1"/>
  <c r="AD217" i="2"/>
  <c r="AF217" i="2" s="1"/>
  <c r="AD197" i="2"/>
  <c r="AF197" i="2" s="1"/>
  <c r="AD177" i="2"/>
  <c r="AG177" i="2" s="1"/>
  <c r="AD157" i="2"/>
  <c r="AG157" i="2" s="1"/>
  <c r="AD137" i="2"/>
  <c r="AG137" i="2" s="1"/>
  <c r="AD117" i="2"/>
  <c r="AG117" i="2" s="1"/>
  <c r="AD97" i="2"/>
  <c r="AF97" i="2" s="1"/>
  <c r="AD77" i="2"/>
  <c r="AG77" i="2" s="1"/>
  <c r="AD57" i="2"/>
  <c r="AG57" i="2" s="1"/>
  <c r="AD37" i="2"/>
  <c r="AG37" i="2" s="1"/>
  <c r="AD17" i="2"/>
  <c r="AF17" i="2" s="1"/>
  <c r="AF233" i="2"/>
  <c r="AA192" i="2"/>
  <c r="AA252" i="2"/>
  <c r="AA132" i="2"/>
  <c r="Z52" i="2"/>
  <c r="AA210" i="2"/>
  <c r="AA190" i="2"/>
  <c r="AA110" i="2"/>
  <c r="AA90" i="2"/>
  <c r="Z42" i="2"/>
  <c r="AA112" i="2"/>
  <c r="Z209" i="2"/>
  <c r="Z189" i="2"/>
  <c r="Z169" i="2"/>
  <c r="Z129" i="2"/>
  <c r="Z69" i="2"/>
  <c r="Z29" i="2"/>
  <c r="Z9" i="2"/>
  <c r="AF23" i="2"/>
  <c r="AG131" i="2"/>
  <c r="AA199" i="2"/>
  <c r="Z87" i="2"/>
  <c r="Z219" i="2"/>
  <c r="Z115" i="2"/>
  <c r="AA160" i="2"/>
  <c r="AA100" i="2"/>
  <c r="Z151" i="2"/>
  <c r="AA208" i="2"/>
  <c r="AA128" i="2"/>
  <c r="AA68" i="2"/>
  <c r="AA168" i="2"/>
  <c r="AA28" i="2"/>
  <c r="AA148" i="2"/>
  <c r="AA88" i="2"/>
  <c r="AA8" i="2"/>
  <c r="Z7" i="2"/>
  <c r="Z174" i="2"/>
  <c r="Z154" i="2"/>
  <c r="Z114" i="2"/>
  <c r="Z94" i="2"/>
  <c r="AA188" i="2"/>
  <c r="AA108" i="2"/>
  <c r="AA48" i="2"/>
  <c r="Z207" i="2"/>
  <c r="Z27" i="2"/>
  <c r="AA264" i="2"/>
  <c r="AA244" i="2"/>
  <c r="AA224" i="2"/>
  <c r="AA204" i="2"/>
  <c r="AA184" i="2"/>
  <c r="AA164" i="2"/>
  <c r="AA144" i="2"/>
  <c r="AA124" i="2"/>
  <c r="AA104" i="2"/>
  <c r="AA84" i="2"/>
  <c r="AA64" i="2"/>
  <c r="AA44" i="2"/>
  <c r="AA24" i="2"/>
  <c r="AA4" i="2"/>
  <c r="AA262" i="2"/>
  <c r="Z102" i="2"/>
  <c r="AA42" i="2"/>
  <c r="Z22" i="2"/>
  <c r="AA267" i="2"/>
  <c r="AA127" i="2"/>
  <c r="AA67" i="2"/>
  <c r="AA92" i="2"/>
  <c r="AA180" i="2"/>
  <c r="AA140" i="2"/>
  <c r="AA80" i="2"/>
  <c r="Z236" i="2"/>
  <c r="Z36" i="2"/>
  <c r="AA235" i="2"/>
  <c r="AA115" i="2"/>
  <c r="AA55" i="2"/>
  <c r="Z235" i="2"/>
  <c r="Z156" i="2"/>
  <c r="Z96" i="2"/>
  <c r="Z56" i="2"/>
  <c r="Z255" i="2"/>
  <c r="Z195" i="2"/>
  <c r="AA155" i="2"/>
  <c r="AA95" i="2"/>
  <c r="AA39" i="2"/>
  <c r="AA59" i="2"/>
  <c r="AA227" i="2"/>
  <c r="Z239" i="2"/>
  <c r="AA247" i="2"/>
  <c r="AA107" i="2"/>
  <c r="AA47" i="2"/>
  <c r="Z8" i="2"/>
  <c r="Z159" i="2"/>
  <c r="AA207" i="2"/>
  <c r="AA219" i="2"/>
  <c r="AA167" i="2"/>
  <c r="AA27" i="2"/>
  <c r="Z212" i="2"/>
  <c r="AA52" i="2"/>
  <c r="AA187" i="2"/>
  <c r="AA87" i="2"/>
  <c r="AA232" i="2"/>
  <c r="Z72" i="2"/>
  <c r="AA147" i="2"/>
  <c r="AA7" i="2"/>
  <c r="Z112" i="2"/>
  <c r="AA56" i="2"/>
  <c r="Z51" i="2"/>
  <c r="AA259" i="2"/>
  <c r="AA239" i="2"/>
  <c r="AA179" i="2"/>
  <c r="Z139" i="2"/>
  <c r="Z119" i="2"/>
  <c r="Z99" i="2"/>
  <c r="Z79" i="2"/>
  <c r="Z59" i="2"/>
  <c r="Z39" i="2"/>
  <c r="Z19" i="2"/>
  <c r="Z179" i="2"/>
  <c r="Z48" i="2"/>
  <c r="AA218" i="2"/>
  <c r="AA158" i="2"/>
  <c r="Z157" i="2"/>
  <c r="Z57" i="2"/>
  <c r="AA225" i="2"/>
  <c r="AA165" i="2"/>
  <c r="AA105" i="2"/>
  <c r="AA45" i="2"/>
  <c r="AA159" i="2"/>
  <c r="Z204" i="2"/>
  <c r="Z124" i="2"/>
  <c r="Z64" i="2"/>
  <c r="Z28" i="2"/>
  <c r="AA254" i="2"/>
  <c r="AA234" i="2"/>
  <c r="AA214" i="2"/>
  <c r="AA194" i="2"/>
  <c r="AA174" i="2"/>
  <c r="AA154" i="2"/>
  <c r="AA134" i="2"/>
  <c r="AA114" i="2"/>
  <c r="AA94" i="2"/>
  <c r="AA74" i="2"/>
  <c r="AA54" i="2"/>
  <c r="AA34" i="2"/>
  <c r="AA14" i="2"/>
  <c r="Z254" i="2"/>
  <c r="Z148" i="2"/>
  <c r="Z24" i="2"/>
  <c r="Z237" i="2"/>
  <c r="Z137" i="2"/>
  <c r="Z37" i="2"/>
  <c r="AA245" i="2"/>
  <c r="AA185" i="2"/>
  <c r="AA145" i="2"/>
  <c r="AA85" i="2"/>
  <c r="AA25" i="2"/>
  <c r="Z264" i="2"/>
  <c r="Z184" i="2"/>
  <c r="Z144" i="2"/>
  <c r="Z84" i="2"/>
  <c r="Z262" i="2"/>
  <c r="AA139" i="2"/>
  <c r="AA253" i="2"/>
  <c r="AA193" i="2"/>
  <c r="Z252" i="2"/>
  <c r="Z147" i="2"/>
  <c r="Z14" i="2"/>
  <c r="AA238" i="2"/>
  <c r="AA178" i="2"/>
  <c r="AA177" i="2"/>
  <c r="AA265" i="2"/>
  <c r="AA205" i="2"/>
  <c r="AA125" i="2"/>
  <c r="AA65" i="2"/>
  <c r="AA5" i="2"/>
  <c r="Z164" i="2"/>
  <c r="Z44" i="2"/>
  <c r="AA212" i="2"/>
  <c r="AA172" i="2"/>
  <c r="AA152" i="2"/>
  <c r="Z132" i="2"/>
  <c r="Z92" i="2"/>
  <c r="AA72" i="2"/>
  <c r="Z32" i="2"/>
  <c r="AA12" i="2"/>
  <c r="AA260" i="2"/>
  <c r="AA240" i="2"/>
  <c r="AA220" i="2"/>
  <c r="AA120" i="2"/>
  <c r="AA60" i="2"/>
  <c r="AA40" i="2"/>
  <c r="AA20" i="2"/>
  <c r="Z244" i="2"/>
  <c r="Z134" i="2"/>
  <c r="Z12" i="2"/>
  <c r="Z232" i="2"/>
  <c r="Z224" i="2"/>
  <c r="Z4" i="2"/>
  <c r="Z104" i="2"/>
  <c r="Z218" i="2"/>
  <c r="Z11" i="2"/>
  <c r="Z71" i="2"/>
  <c r="Z250" i="2"/>
  <c r="Z210" i="2"/>
  <c r="Z190" i="2"/>
  <c r="Z110" i="2"/>
  <c r="Z90" i="2"/>
  <c r="Z199" i="2"/>
  <c r="Z68" i="2"/>
  <c r="AA32" i="2"/>
  <c r="Z211" i="2"/>
  <c r="Z111" i="2"/>
  <c r="Z249" i="2"/>
  <c r="Z229" i="2"/>
  <c r="Z149" i="2"/>
  <c r="Z109" i="2"/>
  <c r="Z89" i="2"/>
  <c r="Z49" i="2"/>
  <c r="Z192" i="2"/>
  <c r="Z54" i="2"/>
  <c r="AA22" i="2"/>
  <c r="Z191" i="2"/>
  <c r="Z91" i="2"/>
  <c r="AA213" i="2"/>
  <c r="Z213" i="2"/>
  <c r="Z173" i="2"/>
  <c r="AA173" i="2"/>
  <c r="Z133" i="2"/>
  <c r="AA133" i="2"/>
  <c r="Z93" i="2"/>
  <c r="AA93" i="2"/>
  <c r="Z53" i="2"/>
  <c r="AA53" i="2"/>
  <c r="Z13" i="2"/>
  <c r="AA13" i="2"/>
  <c r="AA231" i="2"/>
  <c r="Z231" i="2"/>
  <c r="AA233" i="2"/>
  <c r="Z233" i="2"/>
  <c r="Z153" i="2"/>
  <c r="AA153" i="2"/>
  <c r="Z113" i="2"/>
  <c r="AA113" i="2"/>
  <c r="Z73" i="2"/>
  <c r="AA73" i="2"/>
  <c r="Z33" i="2"/>
  <c r="AA33" i="2"/>
  <c r="Z253" i="2"/>
  <c r="AA3" i="2"/>
  <c r="AA251" i="2"/>
  <c r="Z251" i="2"/>
  <c r="Z263" i="2"/>
  <c r="AA263" i="2"/>
  <c r="Z243" i="2"/>
  <c r="AA243" i="2"/>
  <c r="Z183" i="2"/>
  <c r="AA183" i="2"/>
  <c r="Z63" i="2"/>
  <c r="AA63" i="2"/>
  <c r="Z43" i="2"/>
  <c r="AA43" i="2"/>
  <c r="Z23" i="2"/>
  <c r="AA23" i="2"/>
  <c r="AA242" i="2"/>
  <c r="Z242" i="2"/>
  <c r="AA222" i="2"/>
  <c r="Z222" i="2"/>
  <c r="Z202" i="2"/>
  <c r="AA202" i="2"/>
  <c r="AA182" i="2"/>
  <c r="Z182" i="2"/>
  <c r="AA162" i="2"/>
  <c r="Z162" i="2"/>
  <c r="Z142" i="2"/>
  <c r="AA142" i="2"/>
  <c r="Z122" i="2"/>
  <c r="AA122" i="2"/>
  <c r="AA83" i="2"/>
  <c r="Z143" i="2"/>
  <c r="AA143" i="2"/>
  <c r="Z193" i="2"/>
  <c r="Z203" i="2"/>
  <c r="AA203" i="2"/>
  <c r="AA223" i="2"/>
  <c r="Z123" i="2"/>
  <c r="AA123" i="2"/>
  <c r="Z163" i="2"/>
  <c r="AA163" i="2"/>
  <c r="Z103" i="2"/>
  <c r="AA103" i="2"/>
  <c r="AA228" i="2"/>
  <c r="Z228" i="2"/>
  <c r="AA102" i="2"/>
  <c r="Z178" i="2"/>
  <c r="Z95" i="2"/>
  <c r="AA96" i="2"/>
  <c r="AA248" i="2"/>
  <c r="Z248" i="2"/>
  <c r="Z265" i="2"/>
  <c r="Z245" i="2"/>
  <c r="Z225" i="2"/>
  <c r="Z205" i="2"/>
  <c r="Z185" i="2"/>
  <c r="Z165" i="2"/>
  <c r="Z145" i="2"/>
  <c r="Z125" i="2"/>
  <c r="Z105" i="2"/>
  <c r="Z85" i="2"/>
  <c r="Z65" i="2"/>
  <c r="Z45" i="2"/>
  <c r="Z25" i="2"/>
  <c r="Z5" i="2"/>
  <c r="Z238" i="2"/>
  <c r="Z177" i="2"/>
  <c r="AA195" i="2"/>
  <c r="Z82" i="2"/>
  <c r="AA82" i="2"/>
  <c r="AA62" i="2"/>
  <c r="Z62" i="2"/>
  <c r="Z270" i="2"/>
  <c r="AA270" i="2"/>
  <c r="Z230" i="2"/>
  <c r="AA230" i="2"/>
  <c r="Z170" i="2"/>
  <c r="AA170" i="2"/>
  <c r="Z150" i="2"/>
  <c r="AA150" i="2"/>
  <c r="Z130" i="2"/>
  <c r="AA130" i="2"/>
  <c r="AA70" i="2"/>
  <c r="Z70" i="2"/>
  <c r="AA50" i="2"/>
  <c r="Z50" i="2"/>
  <c r="AA30" i="2"/>
  <c r="Z30" i="2"/>
  <c r="AA10" i="2"/>
  <c r="Z10" i="2"/>
  <c r="AA261" i="2"/>
  <c r="Z261" i="2"/>
  <c r="AA241" i="2"/>
  <c r="Z241" i="2"/>
  <c r="AA221" i="2"/>
  <c r="Z221" i="2"/>
  <c r="AA201" i="2"/>
  <c r="Z201" i="2"/>
  <c r="AA181" i="2"/>
  <c r="Z181" i="2"/>
  <c r="Z158" i="2"/>
  <c r="Z155" i="2"/>
  <c r="AA255" i="2"/>
  <c r="AA57" i="2"/>
  <c r="AA258" i="2"/>
  <c r="Z258" i="2"/>
  <c r="AA198" i="2"/>
  <c r="Z198" i="2"/>
  <c r="Z138" i="2"/>
  <c r="AA138" i="2"/>
  <c r="Z118" i="2"/>
  <c r="AA118" i="2"/>
  <c r="Z98" i="2"/>
  <c r="AA98" i="2"/>
  <c r="Z78" i="2"/>
  <c r="AA78" i="2"/>
  <c r="Z58" i="2"/>
  <c r="AA58" i="2"/>
  <c r="Z38" i="2"/>
  <c r="AA38" i="2"/>
  <c r="Z18" i="2"/>
  <c r="AA18" i="2"/>
  <c r="Z55" i="2"/>
  <c r="AA250" i="2"/>
  <c r="AA157" i="2"/>
  <c r="AA257" i="2"/>
  <c r="Z257" i="2"/>
  <c r="AA217" i="2"/>
  <c r="Z217" i="2"/>
  <c r="Z197" i="2"/>
  <c r="AA197" i="2"/>
  <c r="Z117" i="2"/>
  <c r="AA117" i="2"/>
  <c r="Z97" i="2"/>
  <c r="AA97" i="2"/>
  <c r="Z77" i="2"/>
  <c r="AA77" i="2"/>
  <c r="Z17" i="2"/>
  <c r="AA17" i="2"/>
  <c r="AA156" i="2"/>
  <c r="Z256" i="2"/>
  <c r="AA256" i="2"/>
  <c r="Z216" i="2"/>
  <c r="AA216" i="2"/>
  <c r="Z196" i="2"/>
  <c r="AA196" i="2"/>
  <c r="Z176" i="2"/>
  <c r="AA176" i="2"/>
  <c r="Z136" i="2"/>
  <c r="AA136" i="2"/>
  <c r="Z116" i="2"/>
  <c r="AA116" i="2"/>
  <c r="Z76" i="2"/>
  <c r="AA76" i="2"/>
  <c r="Z16" i="2"/>
  <c r="AA16" i="2"/>
  <c r="AA237" i="2"/>
  <c r="AA37" i="2"/>
  <c r="AA215" i="2"/>
  <c r="Z215" i="2"/>
  <c r="AA175" i="2"/>
  <c r="Z175" i="2"/>
  <c r="AA135" i="2"/>
  <c r="Z135" i="2"/>
  <c r="AA75" i="2"/>
  <c r="Z75" i="2"/>
  <c r="AA35" i="2"/>
  <c r="Z35" i="2"/>
  <c r="AA15" i="2"/>
  <c r="Z15" i="2"/>
  <c r="AA236" i="2"/>
  <c r="AA36" i="2"/>
  <c r="AA141" i="2"/>
  <c r="Z141" i="2"/>
  <c r="AA101" i="2"/>
  <c r="Z101" i="2"/>
  <c r="AA61" i="2"/>
  <c r="Z61" i="2"/>
  <c r="AA21" i="2"/>
  <c r="Z21" i="2"/>
  <c r="Z188" i="2"/>
  <c r="Z152" i="2"/>
  <c r="Z67" i="2"/>
  <c r="Z260" i="2"/>
  <c r="Z240" i="2"/>
  <c r="Z220" i="2"/>
  <c r="Z200" i="2"/>
  <c r="Z180" i="2"/>
  <c r="Z160" i="2"/>
  <c r="Z140" i="2"/>
  <c r="Z120" i="2"/>
  <c r="Z100" i="2"/>
  <c r="Z80" i="2"/>
  <c r="Z60" i="2"/>
  <c r="Z40" i="2"/>
  <c r="Z20" i="2"/>
  <c r="Z187" i="2"/>
  <c r="Z108" i="2"/>
  <c r="AA99" i="2"/>
  <c r="AA161" i="2"/>
  <c r="Z161" i="2"/>
  <c r="AA121" i="2"/>
  <c r="Z121" i="2"/>
  <c r="AA81" i="2"/>
  <c r="Z81" i="2"/>
  <c r="AA41" i="2"/>
  <c r="Z41" i="2"/>
  <c r="Z247" i="2"/>
  <c r="Z214" i="2"/>
  <c r="Z107" i="2"/>
  <c r="Z208" i="2"/>
  <c r="Z267" i="2"/>
  <c r="Z234" i="2"/>
  <c r="Z172" i="2"/>
  <c r="Z47" i="2"/>
  <c r="AA79" i="2"/>
  <c r="AA211" i="2"/>
  <c r="AA191" i="2"/>
  <c r="AA171" i="2"/>
  <c r="AA151" i="2"/>
  <c r="AA131" i="2"/>
  <c r="AA111" i="2"/>
  <c r="AA91" i="2"/>
  <c r="AA71" i="2"/>
  <c r="AA51" i="2"/>
  <c r="AA31" i="2"/>
  <c r="AA11" i="2"/>
  <c r="Z171" i="2"/>
  <c r="Z131" i="2"/>
  <c r="Z88" i="2"/>
  <c r="AA19" i="2"/>
  <c r="AA249" i="2"/>
  <c r="AA229" i="2"/>
  <c r="AA209" i="2"/>
  <c r="AA189" i="2"/>
  <c r="AA169" i="2"/>
  <c r="AA149" i="2"/>
  <c r="AA129" i="2"/>
  <c r="AA109" i="2"/>
  <c r="AA89" i="2"/>
  <c r="AA69" i="2"/>
  <c r="AA49" i="2"/>
  <c r="AA29" i="2"/>
  <c r="AA9" i="2"/>
  <c r="Z259" i="2"/>
  <c r="Z168" i="2"/>
  <c r="Z128" i="2"/>
  <c r="Z167" i="2"/>
  <c r="Z127" i="2"/>
  <c r="Z34" i="2"/>
  <c r="AA119" i="2"/>
  <c r="AA266" i="2"/>
  <c r="Z266" i="2"/>
  <c r="AA246" i="2"/>
  <c r="Z246" i="2"/>
  <c r="AA226" i="2"/>
  <c r="Z226" i="2"/>
  <c r="AA206" i="2"/>
  <c r="Z206" i="2"/>
  <c r="AA186" i="2"/>
  <c r="Z186" i="2"/>
  <c r="AA166" i="2"/>
  <c r="Z166" i="2"/>
  <c r="AA146" i="2"/>
  <c r="Z146" i="2"/>
  <c r="AA126" i="2"/>
  <c r="Z126" i="2"/>
  <c r="AA106" i="2"/>
  <c r="Z106" i="2"/>
  <c r="AA86" i="2"/>
  <c r="Z86" i="2"/>
  <c r="AA66" i="2"/>
  <c r="Z66" i="2"/>
  <c r="AA46" i="2"/>
  <c r="Z46" i="2"/>
  <c r="AA26" i="2"/>
  <c r="Z26" i="2"/>
  <c r="AA6" i="2"/>
  <c r="Z6" i="2"/>
  <c r="Z227" i="2"/>
  <c r="Z194" i="2"/>
  <c r="Z74" i="2"/>
  <c r="Z31" i="2"/>
  <c r="A263" i="2"/>
  <c r="B263" i="2"/>
  <c r="C263" i="2"/>
  <c r="D263" i="2"/>
  <c r="E263" i="2"/>
  <c r="F263" i="2"/>
  <c r="AC263" i="2" s="1"/>
  <c r="G263" i="2"/>
  <c r="H263" i="2"/>
  <c r="L263" i="2"/>
  <c r="M263" i="2"/>
  <c r="N263" i="2"/>
  <c r="AI263" i="2" s="1"/>
  <c r="O263" i="2"/>
  <c r="AJ263" i="2" s="1"/>
  <c r="P263" i="2"/>
  <c r="Q263" i="2"/>
  <c r="S263" i="2"/>
  <c r="T263" i="2"/>
  <c r="A264" i="2"/>
  <c r="B264" i="2"/>
  <c r="C264" i="2"/>
  <c r="D264" i="2"/>
  <c r="E264" i="2"/>
  <c r="F264" i="2"/>
  <c r="AC264" i="2" s="1"/>
  <c r="G264" i="2"/>
  <c r="H264" i="2"/>
  <c r="L264" i="2"/>
  <c r="M264" i="2"/>
  <c r="N264" i="2"/>
  <c r="AI264" i="2" s="1"/>
  <c r="O264" i="2"/>
  <c r="AJ264" i="2" s="1"/>
  <c r="P264" i="2"/>
  <c r="Q264" i="2"/>
  <c r="S264" i="2"/>
  <c r="T264" i="2"/>
  <c r="A265" i="2"/>
  <c r="B265" i="2"/>
  <c r="C265" i="2"/>
  <c r="D265" i="2"/>
  <c r="E265" i="2"/>
  <c r="F265" i="2"/>
  <c r="AC265" i="2" s="1"/>
  <c r="G265" i="2"/>
  <c r="H265" i="2"/>
  <c r="L265" i="2"/>
  <c r="M265" i="2"/>
  <c r="N265" i="2"/>
  <c r="AI265" i="2" s="1"/>
  <c r="O265" i="2"/>
  <c r="AJ265" i="2" s="1"/>
  <c r="P265" i="2"/>
  <c r="Q265" i="2"/>
  <c r="S265" i="2"/>
  <c r="T265" i="2"/>
  <c r="A266" i="2"/>
  <c r="B266" i="2"/>
  <c r="C266" i="2"/>
  <c r="D266" i="2"/>
  <c r="E266" i="2"/>
  <c r="F266" i="2"/>
  <c r="AC266" i="2" s="1"/>
  <c r="G266" i="2"/>
  <c r="H266" i="2"/>
  <c r="L266" i="2"/>
  <c r="M266" i="2"/>
  <c r="N266" i="2"/>
  <c r="AI266" i="2" s="1"/>
  <c r="O266" i="2"/>
  <c r="AJ266" i="2" s="1"/>
  <c r="P266" i="2"/>
  <c r="Q266" i="2"/>
  <c r="S266" i="2"/>
  <c r="T266" i="2"/>
  <c r="A267" i="2"/>
  <c r="B267" i="2"/>
  <c r="C267" i="2"/>
  <c r="D267" i="2"/>
  <c r="E267" i="2"/>
  <c r="F267" i="2"/>
  <c r="AC267" i="2" s="1"/>
  <c r="G267" i="2"/>
  <c r="H267" i="2"/>
  <c r="L267" i="2"/>
  <c r="M267" i="2"/>
  <c r="N267" i="2"/>
  <c r="AI267" i="2" s="1"/>
  <c r="O267" i="2"/>
  <c r="AJ267" i="2" s="1"/>
  <c r="P267" i="2"/>
  <c r="Q267" i="2"/>
  <c r="S267" i="2"/>
  <c r="T267" i="2"/>
  <c r="A268" i="2"/>
  <c r="B268" i="2"/>
  <c r="C268" i="2"/>
  <c r="D268" i="2"/>
  <c r="E268" i="2"/>
  <c r="F268" i="2"/>
  <c r="AC268" i="2" s="1"/>
  <c r="H268" i="2"/>
  <c r="L268" i="2"/>
  <c r="S268" i="2"/>
  <c r="T268" i="2"/>
  <c r="A269" i="2"/>
  <c r="B269" i="2"/>
  <c r="C269" i="2"/>
  <c r="D269" i="2"/>
  <c r="E269" i="2"/>
  <c r="F269" i="2"/>
  <c r="AC269" i="2" s="1"/>
  <c r="H269" i="2"/>
  <c r="L269" i="2"/>
  <c r="S269" i="2"/>
  <c r="T269" i="2"/>
  <c r="A270" i="2"/>
  <c r="B270" i="2"/>
  <c r="C270" i="2"/>
  <c r="D270" i="2"/>
  <c r="E270" i="2"/>
  <c r="F270" i="2"/>
  <c r="AC270" i="2" s="1"/>
  <c r="G270" i="2"/>
  <c r="H270" i="2"/>
  <c r="L270" i="2"/>
  <c r="M270" i="2"/>
  <c r="N270" i="2"/>
  <c r="AI270" i="2" s="1"/>
  <c r="O270" i="2"/>
  <c r="AJ270" i="2" s="1"/>
  <c r="P270" i="2"/>
  <c r="Q270" i="2"/>
  <c r="S270" i="2"/>
  <c r="T270" i="2"/>
  <c r="A271" i="2"/>
  <c r="B271" i="2"/>
  <c r="C271" i="2"/>
  <c r="D271" i="2"/>
  <c r="E271" i="2"/>
  <c r="F271" i="2"/>
  <c r="G271" i="2"/>
  <c r="H271" i="2"/>
  <c r="L271" i="2"/>
  <c r="M271" i="2"/>
  <c r="N271" i="2"/>
  <c r="AI271" i="2" s="1"/>
  <c r="O271" i="2"/>
  <c r="AJ271" i="2" s="1"/>
  <c r="P271" i="2"/>
  <c r="Q271" i="2"/>
  <c r="S271" i="2"/>
  <c r="T271" i="2"/>
  <c r="A272" i="2"/>
  <c r="B272" i="2"/>
  <c r="C272" i="2"/>
  <c r="D272" i="2"/>
  <c r="E272" i="2"/>
  <c r="F272" i="2"/>
  <c r="G272" i="2"/>
  <c r="H272" i="2"/>
  <c r="L272" i="2"/>
  <c r="M272" i="2"/>
  <c r="N272" i="2"/>
  <c r="O272" i="2"/>
  <c r="P272" i="2"/>
  <c r="Q272" i="2"/>
  <c r="S272" i="2"/>
  <c r="T272" i="2"/>
  <c r="A273" i="2"/>
  <c r="B273" i="2"/>
  <c r="C273" i="2"/>
  <c r="D273" i="2"/>
  <c r="E273" i="2"/>
  <c r="F273" i="2"/>
  <c r="G273" i="2"/>
  <c r="H273" i="2"/>
  <c r="L273" i="2"/>
  <c r="M273" i="2"/>
  <c r="N273" i="2"/>
  <c r="O273" i="2"/>
  <c r="P273" i="2"/>
  <c r="Q273" i="2"/>
  <c r="S273" i="2"/>
  <c r="T273" i="2"/>
  <c r="A274" i="2"/>
  <c r="B274" i="2"/>
  <c r="C274" i="2"/>
  <c r="D274" i="2"/>
  <c r="E274" i="2"/>
  <c r="F274" i="2"/>
  <c r="G274" i="2"/>
  <c r="H274" i="2"/>
  <c r="L274" i="2"/>
  <c r="M274" i="2"/>
  <c r="N274" i="2"/>
  <c r="O274" i="2"/>
  <c r="P274" i="2"/>
  <c r="Q274" i="2"/>
  <c r="S274" i="2"/>
  <c r="T274" i="2"/>
  <c r="N233" i="2"/>
  <c r="AI233" i="2" s="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3" i="2"/>
  <c r="S4" i="2"/>
  <c r="S5"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3" i="2"/>
  <c r="CR1" i="1"/>
  <c r="CR4" i="1"/>
  <c r="CR5" i="1"/>
  <c r="CR6" i="1"/>
  <c r="CR7" i="1"/>
  <c r="CR8" i="1"/>
  <c r="CR9" i="1"/>
  <c r="CR10" i="1"/>
  <c r="CR11" i="1"/>
  <c r="CR12" i="1"/>
  <c r="CR13" i="1"/>
  <c r="CR14" i="1"/>
  <c r="CR15" i="1"/>
  <c r="CR16" i="1"/>
  <c r="CR17" i="1"/>
  <c r="CR18" i="1"/>
  <c r="CR19" i="1"/>
  <c r="CR20" i="1"/>
  <c r="CR21" i="1"/>
  <c r="CR22" i="1"/>
  <c r="CR23" i="1"/>
  <c r="CR24" i="1"/>
  <c r="CR25" i="1"/>
  <c r="CR26" i="1"/>
  <c r="CR27" i="1"/>
  <c r="CR28" i="1"/>
  <c r="CR29" i="1"/>
  <c r="CR30" i="1"/>
  <c r="CR31" i="1"/>
  <c r="CR32" i="1"/>
  <c r="CR33" i="1"/>
  <c r="CR34" i="1"/>
  <c r="CR35" i="1"/>
  <c r="CR36" i="1"/>
  <c r="CR37" i="1"/>
  <c r="CR38" i="1"/>
  <c r="CR39" i="1"/>
  <c r="CR40" i="1"/>
  <c r="CR41" i="1"/>
  <c r="CR42" i="1"/>
  <c r="CR43" i="1"/>
  <c r="CR44" i="1"/>
  <c r="CR45" i="1"/>
  <c r="CR46" i="1"/>
  <c r="CR47" i="1"/>
  <c r="CR48" i="1"/>
  <c r="CR49" i="1"/>
  <c r="CR50" i="1"/>
  <c r="CR51" i="1"/>
  <c r="CR52" i="1"/>
  <c r="CR53" i="1"/>
  <c r="CR54" i="1"/>
  <c r="CR55" i="1"/>
  <c r="CR56" i="1"/>
  <c r="CR57" i="1"/>
  <c r="CR58" i="1"/>
  <c r="CR59" i="1"/>
  <c r="CR60" i="1"/>
  <c r="CR61" i="1"/>
  <c r="CR62" i="1"/>
  <c r="CR63" i="1"/>
  <c r="CR64" i="1"/>
  <c r="CR65" i="1"/>
  <c r="CR66" i="1"/>
  <c r="CR67" i="1"/>
  <c r="CR68" i="1"/>
  <c r="CR69" i="1"/>
  <c r="CR70" i="1"/>
  <c r="CR71" i="1"/>
  <c r="CR72" i="1"/>
  <c r="CR73" i="1"/>
  <c r="CR74" i="1"/>
  <c r="CR75" i="1"/>
  <c r="CR76" i="1"/>
  <c r="CR77" i="1"/>
  <c r="CR78" i="1"/>
  <c r="CR79" i="1"/>
  <c r="CR80" i="1"/>
  <c r="CR81" i="1"/>
  <c r="CR82" i="1"/>
  <c r="CR83" i="1"/>
  <c r="CR84" i="1"/>
  <c r="CR85" i="1"/>
  <c r="CR86" i="1"/>
  <c r="CR87" i="1"/>
  <c r="CR88" i="1"/>
  <c r="CR89" i="1"/>
  <c r="CR90" i="1"/>
  <c r="CR91" i="1"/>
  <c r="CR92" i="1"/>
  <c r="CR93" i="1"/>
  <c r="CR94" i="1"/>
  <c r="CR95" i="1"/>
  <c r="CR96" i="1"/>
  <c r="CR97" i="1"/>
  <c r="CR98" i="1"/>
  <c r="CR99" i="1"/>
  <c r="CR100" i="1"/>
  <c r="CR101" i="1"/>
  <c r="CR102" i="1"/>
  <c r="CR103" i="1"/>
  <c r="CR104" i="1"/>
  <c r="CR105" i="1"/>
  <c r="CR106" i="1"/>
  <c r="CR107" i="1"/>
  <c r="CR108" i="1"/>
  <c r="CR109" i="1"/>
  <c r="CR110" i="1"/>
  <c r="CR111" i="1"/>
  <c r="CR112" i="1"/>
  <c r="CR113" i="1"/>
  <c r="CR114" i="1"/>
  <c r="CR115" i="1"/>
  <c r="CR116" i="1"/>
  <c r="CR117" i="1"/>
  <c r="CR118" i="1"/>
  <c r="CR119" i="1"/>
  <c r="CR120" i="1"/>
  <c r="CR121" i="1"/>
  <c r="CR122" i="1"/>
  <c r="CR123" i="1"/>
  <c r="CR124" i="1"/>
  <c r="CR125" i="1"/>
  <c r="CR126" i="1"/>
  <c r="CR127" i="1"/>
  <c r="CR128" i="1"/>
  <c r="CR129" i="1"/>
  <c r="CR130" i="1"/>
  <c r="CR131" i="1"/>
  <c r="CR132" i="1"/>
  <c r="CR133" i="1"/>
  <c r="CR134" i="1"/>
  <c r="CR135" i="1"/>
  <c r="CR136" i="1"/>
  <c r="CR137" i="1"/>
  <c r="CR138" i="1"/>
  <c r="CR139" i="1"/>
  <c r="CR140" i="1"/>
  <c r="CR141" i="1"/>
  <c r="CR142" i="1"/>
  <c r="CR143" i="1"/>
  <c r="CR144" i="1"/>
  <c r="CR145" i="1"/>
  <c r="CR146" i="1"/>
  <c r="CR147" i="1"/>
  <c r="CR148" i="1"/>
  <c r="CR149" i="1"/>
  <c r="CR150" i="1"/>
  <c r="CR151" i="1"/>
  <c r="CR152" i="1"/>
  <c r="CR153" i="1"/>
  <c r="CR154" i="1"/>
  <c r="CR155" i="1"/>
  <c r="CR156" i="1"/>
  <c r="CR157" i="1"/>
  <c r="CR158" i="1"/>
  <c r="CR159" i="1"/>
  <c r="CR160" i="1"/>
  <c r="CR161" i="1"/>
  <c r="CR162" i="1"/>
  <c r="CR163" i="1"/>
  <c r="CR164" i="1"/>
  <c r="CR165" i="1"/>
  <c r="CR166" i="1"/>
  <c r="CR167" i="1"/>
  <c r="CR168" i="1"/>
  <c r="CR169" i="1"/>
  <c r="CR170" i="1"/>
  <c r="CR171" i="1"/>
  <c r="CR172" i="1"/>
  <c r="CR173" i="1"/>
  <c r="CR174" i="1"/>
  <c r="CR175" i="1"/>
  <c r="CR176" i="1"/>
  <c r="CR177" i="1"/>
  <c r="CR178" i="1"/>
  <c r="CR179" i="1"/>
  <c r="CR180" i="1"/>
  <c r="CR181" i="1"/>
  <c r="CR182" i="1"/>
  <c r="CR183" i="1"/>
  <c r="CR184" i="1"/>
  <c r="CR185" i="1"/>
  <c r="CR186" i="1"/>
  <c r="CR187" i="1"/>
  <c r="CR188" i="1"/>
  <c r="CR189" i="1"/>
  <c r="CR190" i="1"/>
  <c r="CR191" i="1"/>
  <c r="CR192" i="1"/>
  <c r="CR193" i="1"/>
  <c r="CR194" i="1"/>
  <c r="CR195" i="1"/>
  <c r="CR196" i="1"/>
  <c r="CR197" i="1"/>
  <c r="CR198" i="1"/>
  <c r="CR199" i="1"/>
  <c r="CR200" i="1"/>
  <c r="CR201" i="1"/>
  <c r="CR202" i="1"/>
  <c r="CR203" i="1"/>
  <c r="CR204" i="1"/>
  <c r="CR205" i="1"/>
  <c r="CR206" i="1"/>
  <c r="CR207" i="1"/>
  <c r="CR208" i="1"/>
  <c r="CR209" i="1"/>
  <c r="CR210" i="1"/>
  <c r="CR211" i="1"/>
  <c r="CR212" i="1"/>
  <c r="CR213" i="1"/>
  <c r="CR214" i="1"/>
  <c r="CR215" i="1"/>
  <c r="CR216" i="1"/>
  <c r="CR217" i="1"/>
  <c r="CR218" i="1"/>
  <c r="CR219" i="1"/>
  <c r="CR220" i="1"/>
  <c r="CR221" i="1"/>
  <c r="CR222" i="1"/>
  <c r="CR223" i="1"/>
  <c r="CR224" i="1"/>
  <c r="CR225" i="1"/>
  <c r="CR226" i="1"/>
  <c r="CR227" i="1"/>
  <c r="CR228" i="1"/>
  <c r="CR229" i="1"/>
  <c r="CR230" i="1"/>
  <c r="CR231" i="1"/>
  <c r="CR232" i="1"/>
  <c r="CR233" i="1"/>
  <c r="CR234" i="1"/>
  <c r="CR235" i="1"/>
  <c r="CR236" i="1"/>
  <c r="CR237" i="1"/>
  <c r="CR238" i="1"/>
  <c r="CR239" i="1"/>
  <c r="CR240" i="1"/>
  <c r="CR241" i="1"/>
  <c r="CR242" i="1"/>
  <c r="CR243" i="1"/>
  <c r="CR244" i="1"/>
  <c r="CR245" i="1"/>
  <c r="CR246" i="1"/>
  <c r="CR247" i="1"/>
  <c r="CR248" i="1"/>
  <c r="CR249" i="1"/>
  <c r="CR250" i="1"/>
  <c r="CR251" i="1"/>
  <c r="CR252" i="1"/>
  <c r="CR253" i="1"/>
  <c r="CR254" i="1"/>
  <c r="CR255" i="1"/>
  <c r="CR256" i="1"/>
  <c r="CR257" i="1"/>
  <c r="CR258" i="1"/>
  <c r="CR259" i="1"/>
  <c r="CR260" i="1"/>
  <c r="CR261" i="1"/>
  <c r="CR262" i="1"/>
  <c r="CR263" i="1"/>
  <c r="CR264" i="1"/>
  <c r="CR265" i="1"/>
  <c r="L11" i="19"/>
  <c r="L12" i="19"/>
  <c r="V10" i="19"/>
  <c r="CR268" i="1"/>
  <c r="CR269" i="1"/>
  <c r="CR270" i="1"/>
  <c r="CR271" i="1"/>
  <c r="H220" i="2"/>
  <c r="BJ270" i="1"/>
  <c r="BG270" i="1"/>
  <c r="O268" i="2" s="1"/>
  <c r="AJ268" i="2" s="1"/>
  <c r="AB270" i="1"/>
  <c r="AG270" i="1"/>
  <c r="G268" i="2"/>
  <c r="AM270" i="1"/>
  <c r="AN270" i="1"/>
  <c r="AO270" i="1"/>
  <c r="AP270" i="1"/>
  <c r="AQ270" i="1"/>
  <c r="AR270" i="1"/>
  <c r="AS270" i="1"/>
  <c r="AT270" i="1"/>
  <c r="AU270" i="1"/>
  <c r="AV270" i="1"/>
  <c r="AW270" i="1"/>
  <c r="AX270" i="1"/>
  <c r="AY270" i="1"/>
  <c r="AZ270" i="1"/>
  <c r="BA270" i="1"/>
  <c r="BB270" i="1"/>
  <c r="BC270" i="1"/>
  <c r="BD270" i="1"/>
  <c r="BE270" i="1"/>
  <c r="BF270" i="1"/>
  <c r="BH270" i="1"/>
  <c r="M268" i="2" s="1"/>
  <c r="BK270" i="1"/>
  <c r="BL270" i="1"/>
  <c r="BM270" i="1"/>
  <c r="BN270" i="1"/>
  <c r="BO270" i="1"/>
  <c r="BP270" i="1"/>
  <c r="BQ270" i="1"/>
  <c r="BR270" i="1"/>
  <c r="BS270" i="1"/>
  <c r="BT270" i="1"/>
  <c r="BU270" i="1"/>
  <c r="BV270" i="1"/>
  <c r="BW270" i="1"/>
  <c r="BX270" i="1"/>
  <c r="BY270" i="1"/>
  <c r="BZ270" i="1"/>
  <c r="CA270" i="1"/>
  <c r="CB270" i="1"/>
  <c r="CC270" i="1"/>
  <c r="CD270" i="1"/>
  <c r="N268" i="2" s="1"/>
  <c r="AI268" i="2" s="1"/>
  <c r="AB271" i="1"/>
  <c r="AG271" i="1"/>
  <c r="AK271" i="1"/>
  <c r="AL271" i="1"/>
  <c r="G269" i="2" s="1"/>
  <c r="AM271" i="1"/>
  <c r="AN271" i="1"/>
  <c r="AO271" i="1"/>
  <c r="AP271" i="1"/>
  <c r="AQ271" i="1"/>
  <c r="AR271" i="1"/>
  <c r="AS271" i="1"/>
  <c r="AT271" i="1"/>
  <c r="AU271" i="1"/>
  <c r="AV271" i="1"/>
  <c r="AW271" i="1"/>
  <c r="AX271" i="1"/>
  <c r="AY271" i="1"/>
  <c r="AZ271" i="1"/>
  <c r="BA271" i="1"/>
  <c r="BB271" i="1"/>
  <c r="BC271" i="1"/>
  <c r="BD271" i="1"/>
  <c r="BE271" i="1"/>
  <c r="BF271" i="1"/>
  <c r="BG271" i="1"/>
  <c r="O269" i="2" s="1"/>
  <c r="AJ269" i="2" s="1"/>
  <c r="BH271" i="1"/>
  <c r="M269" i="2" s="1"/>
  <c r="BJ271" i="1"/>
  <c r="BK271" i="1"/>
  <c r="BL271" i="1"/>
  <c r="BM271" i="1"/>
  <c r="BN271" i="1"/>
  <c r="BO271" i="1"/>
  <c r="BP271" i="1"/>
  <c r="BQ271" i="1"/>
  <c r="BR271" i="1"/>
  <c r="BS271" i="1"/>
  <c r="BT271" i="1"/>
  <c r="BU271" i="1"/>
  <c r="BV271" i="1"/>
  <c r="BW271" i="1"/>
  <c r="BX271" i="1"/>
  <c r="BY271" i="1"/>
  <c r="BZ271" i="1"/>
  <c r="CA271" i="1"/>
  <c r="CB271" i="1"/>
  <c r="CC271" i="1"/>
  <c r="CD271" i="1"/>
  <c r="N269" i="2" s="1"/>
  <c r="AI269" i="2" s="1"/>
  <c r="X270" i="1"/>
  <c r="X271" i="1"/>
  <c r="AF175" i="2" l="1"/>
  <c r="AG155" i="2"/>
  <c r="AG167" i="2"/>
  <c r="AG215" i="2"/>
  <c r="AF263" i="2"/>
  <c r="D333" i="40"/>
  <c r="F353" i="40"/>
  <c r="D334" i="40"/>
  <c r="AF29" i="2"/>
  <c r="AG34" i="2"/>
  <c r="AF158" i="2"/>
  <c r="AF178" i="2"/>
  <c r="AF44" i="2"/>
  <c r="AF127" i="2"/>
  <c r="AF25" i="2"/>
  <c r="AG209" i="2"/>
  <c r="AF102" i="2"/>
  <c r="AF32" i="2"/>
  <c r="AG147" i="2"/>
  <c r="AF207" i="2"/>
  <c r="AG217" i="2"/>
  <c r="AF82" i="2"/>
  <c r="AF169" i="2"/>
  <c r="AG98" i="2"/>
  <c r="AF51" i="2"/>
  <c r="AG229" i="2"/>
  <c r="AG240" i="2"/>
  <c r="AG220" i="2"/>
  <c r="AF252" i="2"/>
  <c r="AF45" i="2"/>
  <c r="AG195" i="2"/>
  <c r="AF193" i="2"/>
  <c r="AG170" i="2"/>
  <c r="AG237" i="2"/>
  <c r="AF126" i="2"/>
  <c r="AG65" i="2"/>
  <c r="AF156" i="2"/>
  <c r="AF251" i="2"/>
  <c r="AG161" i="2"/>
  <c r="AF221" i="2"/>
  <c r="AF200" i="2"/>
  <c r="AF115" i="2"/>
  <c r="AG90" i="2"/>
  <c r="AF176" i="2"/>
  <c r="AF70" i="2"/>
  <c r="AG253" i="2"/>
  <c r="AF230" i="2"/>
  <c r="AG53" i="2"/>
  <c r="AF112" i="2"/>
  <c r="AG228" i="2"/>
  <c r="AF52" i="2"/>
  <c r="AF121" i="2"/>
  <c r="AG187" i="2"/>
  <c r="AG261" i="2"/>
  <c r="AG85" i="2"/>
  <c r="AF258" i="2"/>
  <c r="AF227" i="2"/>
  <c r="AF210" i="2"/>
  <c r="AF211" i="2"/>
  <c r="AF108" i="2"/>
  <c r="AF189" i="2"/>
  <c r="AG80" i="2"/>
  <c r="AF202" i="2"/>
  <c r="AG54" i="2"/>
  <c r="AG248" i="2"/>
  <c r="AG14" i="2"/>
  <c r="AF41" i="2"/>
  <c r="AG45" i="2"/>
  <c r="AF49" i="2"/>
  <c r="AF192" i="2"/>
  <c r="AF141" i="2"/>
  <c r="AG125" i="2"/>
  <c r="AF151" i="2"/>
  <c r="AF220" i="2"/>
  <c r="AG107" i="2"/>
  <c r="AF218" i="2"/>
  <c r="AF80" i="2"/>
  <c r="AG109" i="2"/>
  <c r="AF92" i="2"/>
  <c r="AG26" i="2"/>
  <c r="AF91" i="2"/>
  <c r="AF270" i="2"/>
  <c r="AG105" i="2"/>
  <c r="AG62" i="2"/>
  <c r="AF85" i="2"/>
  <c r="AG6" i="2"/>
  <c r="AG160" i="2"/>
  <c r="AF213" i="2"/>
  <c r="AF145" i="2"/>
  <c r="AF172" i="2"/>
  <c r="AG21" i="2"/>
  <c r="AG265" i="2"/>
  <c r="AF31" i="2"/>
  <c r="AG40" i="2"/>
  <c r="AG196" i="2"/>
  <c r="AF148" i="2"/>
  <c r="AG7" i="2"/>
  <c r="AG75" i="2"/>
  <c r="AF231" i="2"/>
  <c r="AF73" i="2"/>
  <c r="AF182" i="2"/>
  <c r="AF153" i="2"/>
  <c r="AF89" i="2"/>
  <c r="AF87" i="2"/>
  <c r="AF9" i="2"/>
  <c r="AF245" i="2"/>
  <c r="AF190" i="2"/>
  <c r="AF35" i="2"/>
  <c r="AF130" i="2"/>
  <c r="AF163" i="2"/>
  <c r="AF188" i="2"/>
  <c r="AF133" i="2"/>
  <c r="AF123" i="2"/>
  <c r="AF117" i="2"/>
  <c r="AF152" i="2"/>
  <c r="AG234" i="2"/>
  <c r="AF79" i="2"/>
  <c r="AG165" i="2"/>
  <c r="AG93" i="2"/>
  <c r="AG96" i="2"/>
  <c r="AF232" i="2"/>
  <c r="AG200" i="2"/>
  <c r="AF88" i="2"/>
  <c r="AF150" i="2"/>
  <c r="AG97" i="2"/>
  <c r="AF4" i="2"/>
  <c r="AG197" i="2"/>
  <c r="AF72" i="2"/>
  <c r="AF100" i="2"/>
  <c r="AF50" i="2"/>
  <c r="AF132" i="2"/>
  <c r="AF225" i="2"/>
  <c r="AF12" i="2"/>
  <c r="AF59" i="2"/>
  <c r="AG142" i="2"/>
  <c r="AF241" i="2"/>
  <c r="AG106" i="2"/>
  <c r="AG201" i="2"/>
  <c r="AG205" i="2"/>
  <c r="AF260" i="2"/>
  <c r="AG185" i="2"/>
  <c r="AF171" i="2"/>
  <c r="AF134" i="2"/>
  <c r="AF214" i="2"/>
  <c r="AG101" i="2"/>
  <c r="AF113" i="2"/>
  <c r="AF222" i="2"/>
  <c r="AF140" i="2"/>
  <c r="AF165" i="2"/>
  <c r="AF198" i="2"/>
  <c r="AF10" i="2"/>
  <c r="AF77" i="2"/>
  <c r="AF129" i="2"/>
  <c r="AF160" i="2"/>
  <c r="AF238" i="2"/>
  <c r="AG241" i="2"/>
  <c r="AF125" i="2"/>
  <c r="AG110" i="2"/>
  <c r="AF119" i="2"/>
  <c r="AF247" i="2"/>
  <c r="AG81" i="2"/>
  <c r="AG99" i="2"/>
  <c r="AF255" i="2"/>
  <c r="AG58" i="2"/>
  <c r="AF33" i="2"/>
  <c r="AF30" i="2"/>
  <c r="AG95" i="2"/>
  <c r="AF13" i="2"/>
  <c r="AF15" i="2"/>
  <c r="AF212" i="2"/>
  <c r="AG146" i="2"/>
  <c r="AF114" i="2"/>
  <c r="AG183" i="2"/>
  <c r="AF267" i="2"/>
  <c r="AG235" i="2"/>
  <c r="AF76" i="2"/>
  <c r="AF71" i="2"/>
  <c r="AG5" i="2"/>
  <c r="AF5" i="2"/>
  <c r="AF226" i="2"/>
  <c r="AF240" i="2"/>
  <c r="AF173" i="2"/>
  <c r="AG61" i="2"/>
  <c r="AF201" i="2"/>
  <c r="AG60" i="2"/>
  <c r="AF159" i="2"/>
  <c r="AF138" i="2"/>
  <c r="AG48" i="2"/>
  <c r="AF185" i="2"/>
  <c r="AF205" i="2"/>
  <c r="AF21" i="2"/>
  <c r="AF177" i="2"/>
  <c r="AG257" i="2"/>
  <c r="AG181" i="2"/>
  <c r="AF164" i="2"/>
  <c r="AF67" i="2"/>
  <c r="AG250" i="2"/>
  <c r="AF223" i="2"/>
  <c r="P268" i="2"/>
  <c r="AF174" i="2"/>
  <c r="AG63" i="2"/>
  <c r="AE268" i="2"/>
  <c r="AD268" i="2"/>
  <c r="AG246" i="2"/>
  <c r="AF28" i="2"/>
  <c r="AF103" i="2"/>
  <c r="AG260" i="2"/>
  <c r="AF168" i="2"/>
  <c r="AF199" i="2"/>
  <c r="AF154" i="2"/>
  <c r="AF265" i="2"/>
  <c r="AF191" i="2"/>
  <c r="AF120" i="2"/>
  <c r="AG11" i="2"/>
  <c r="AF55" i="2"/>
  <c r="AG20" i="2"/>
  <c r="AF40" i="2"/>
  <c r="AF179" i="2"/>
  <c r="AF16" i="2"/>
  <c r="AG180" i="2"/>
  <c r="AF57" i="2"/>
  <c r="AF69" i="2"/>
  <c r="AG206" i="2"/>
  <c r="AF124" i="2"/>
  <c r="AG225" i="2"/>
  <c r="AG140" i="2"/>
  <c r="P269" i="2"/>
  <c r="AE269" i="2"/>
  <c r="AF262" i="2"/>
  <c r="AF186" i="2"/>
  <c r="X269" i="2"/>
  <c r="AD269" i="2"/>
  <c r="AG111" i="2"/>
  <c r="AF111" i="2"/>
  <c r="Y268" i="2"/>
  <c r="AG83" i="2"/>
  <c r="AG122" i="2"/>
  <c r="AF249" i="2"/>
  <c r="AG243" i="2"/>
  <c r="AF60" i="2"/>
  <c r="AG139" i="2"/>
  <c r="Y269" i="2"/>
  <c r="AF118" i="2"/>
  <c r="Q268" i="2"/>
  <c r="AF157" i="2"/>
  <c r="AF116" i="2"/>
  <c r="AG78" i="2"/>
  <c r="AF149" i="2"/>
  <c r="AF136" i="2"/>
  <c r="X268" i="2"/>
  <c r="Q269" i="2"/>
  <c r="AF20" i="2"/>
  <c r="AF162" i="2"/>
  <c r="AG38" i="2"/>
  <c r="AG47" i="2"/>
  <c r="AF180" i="2"/>
  <c r="AF42" i="2"/>
  <c r="AF135" i="2"/>
  <c r="AG256" i="2"/>
  <c r="AF46" i="2"/>
  <c r="AG18" i="2"/>
  <c r="AF39" i="2"/>
  <c r="AF224" i="2"/>
  <c r="AG22" i="2"/>
  <c r="AF128" i="2"/>
  <c r="AF66" i="2"/>
  <c r="AF266" i="2"/>
  <c r="AF208" i="2"/>
  <c r="AF236" i="2"/>
  <c r="AF194" i="2"/>
  <c r="AF68" i="2"/>
  <c r="AF204" i="2"/>
  <c r="AF37" i="2"/>
  <c r="AF219" i="2"/>
  <c r="AG254" i="2"/>
  <c r="AG17" i="2"/>
  <c r="AF137" i="2"/>
  <c r="AG94" i="2"/>
  <c r="AG27" i="2"/>
  <c r="AF84" i="2"/>
  <c r="AG36" i="2"/>
  <c r="AG3" i="2"/>
  <c r="AG43" i="2"/>
  <c r="AG74" i="2"/>
  <c r="AF242" i="2"/>
  <c r="AF86" i="2"/>
  <c r="AG64" i="2"/>
  <c r="AF19" i="2"/>
  <c r="AF56" i="2"/>
  <c r="AG203" i="2"/>
  <c r="AF8" i="2"/>
  <c r="AF144" i="2"/>
  <c r="AG104" i="2"/>
  <c r="AG24" i="2"/>
  <c r="AF24" i="2"/>
  <c r="AG216" i="2"/>
  <c r="AF244" i="2"/>
  <c r="AF143" i="2"/>
  <c r="AF166" i="2"/>
  <c r="AG166" i="2"/>
  <c r="AF259" i="2"/>
  <c r="AG264" i="2"/>
  <c r="AG239" i="2"/>
  <c r="AF239" i="2"/>
  <c r="AG184" i="2"/>
  <c r="AF184" i="2"/>
  <c r="I269" i="2"/>
  <c r="AK269" i="2"/>
  <c r="AL269" i="2"/>
  <c r="AL264" i="2"/>
  <c r="AK264" i="2"/>
  <c r="AL270" i="2"/>
  <c r="AK270" i="2"/>
  <c r="AL265" i="2"/>
  <c r="AK265" i="2"/>
  <c r="AL271" i="2"/>
  <c r="AK271" i="2"/>
  <c r="AK266" i="2"/>
  <c r="AL266" i="2"/>
  <c r="AK267" i="2"/>
  <c r="AL267" i="2"/>
  <c r="AK268" i="2"/>
  <c r="AL268" i="2"/>
  <c r="AL263" i="2"/>
  <c r="AK263" i="2"/>
  <c r="R65" i="2" a="1"/>
  <c r="R65" i="2" s="1"/>
  <c r="R250" i="2" a="1"/>
  <c r="R250" i="2" s="1"/>
  <c r="R230" i="2" a="1"/>
  <c r="R230" i="2" s="1"/>
  <c r="R190" i="2" a="1"/>
  <c r="R190" i="2" s="1"/>
  <c r="R249" i="2" a="1"/>
  <c r="R249" i="2" s="1"/>
  <c r="R169" i="2" a="1"/>
  <c r="R169" i="2" s="1"/>
  <c r="R49" i="2" a="1"/>
  <c r="R49" i="2" s="1"/>
  <c r="R149" i="2" a="1"/>
  <c r="R149" i="2" s="1"/>
  <c r="R29" i="2" a="1"/>
  <c r="R29" i="2" s="1"/>
  <c r="R248" i="2" a="1"/>
  <c r="R248" i="2" s="1"/>
  <c r="R228" i="2" a="1"/>
  <c r="R228" i="2" s="1"/>
  <c r="R208" i="2" a="1"/>
  <c r="R208" i="2" s="1"/>
  <c r="R188" i="2" a="1"/>
  <c r="R188" i="2" s="1"/>
  <c r="R148" i="2" a="1"/>
  <c r="R148" i="2" s="1"/>
  <c r="R108" i="2" a="1"/>
  <c r="R108" i="2" s="1"/>
  <c r="R88" i="2" a="1"/>
  <c r="R88" i="2" s="1"/>
  <c r="R48" i="2" a="1"/>
  <c r="R48" i="2" s="1"/>
  <c r="R243" i="2" a="1"/>
  <c r="R243" i="2" s="1"/>
  <c r="R163" i="2" a="1"/>
  <c r="R163" i="2" s="1"/>
  <c r="R143" i="2" a="1"/>
  <c r="R143" i="2" s="1"/>
  <c r="R123" i="2" a="1"/>
  <c r="R123" i="2" s="1"/>
  <c r="R103" i="2" a="1"/>
  <c r="R103" i="2" s="1"/>
  <c r="R83" i="2" a="1"/>
  <c r="R83" i="2" s="1"/>
  <c r="R63" i="2" a="1"/>
  <c r="R63" i="2" s="1"/>
  <c r="R43" i="2" a="1"/>
  <c r="R43" i="2" s="1"/>
  <c r="R23" i="2" a="1"/>
  <c r="R23" i="2" s="1"/>
  <c r="R160" i="2" a="1"/>
  <c r="R160" i="2" s="1"/>
  <c r="R246" i="2" a="1"/>
  <c r="R246" i="2" s="1"/>
  <c r="R126" i="2" a="1"/>
  <c r="R126" i="2" s="1"/>
  <c r="R185" i="2" a="1"/>
  <c r="R185" i="2" s="1"/>
  <c r="R82" i="2" a="1"/>
  <c r="R82" i="2" s="1"/>
  <c r="R61" i="2" a="1"/>
  <c r="R61" i="2" s="1"/>
  <c r="R240" i="2" a="1"/>
  <c r="R240" i="2" s="1"/>
  <c r="R259" i="2" a="1"/>
  <c r="R259" i="2" s="1"/>
  <c r="R59" i="2" a="1"/>
  <c r="R59" i="2" s="1"/>
  <c r="R258" i="2" a="1"/>
  <c r="R258" i="2" s="1"/>
  <c r="R218" i="2" a="1"/>
  <c r="R218" i="2" s="1"/>
  <c r="R158" i="2" a="1"/>
  <c r="R158" i="2" s="1"/>
  <c r="R138" i="2" a="1"/>
  <c r="R138" i="2" s="1"/>
  <c r="R98" i="2" a="1"/>
  <c r="R98" i="2" s="1"/>
  <c r="R18" i="2" a="1"/>
  <c r="R18" i="2" s="1"/>
  <c r="R147" i="2" a="1"/>
  <c r="R147" i="2" s="1"/>
  <c r="R67" i="2" a="1"/>
  <c r="R67" i="2" s="1"/>
  <c r="R125" i="2" a="1"/>
  <c r="R125" i="2" s="1"/>
  <c r="R4" i="2" a="1"/>
  <c r="R4" i="2" s="1"/>
  <c r="R142" i="2" a="1"/>
  <c r="R142" i="2" s="1"/>
  <c r="R221" i="2" a="1"/>
  <c r="R221" i="2" s="1"/>
  <c r="R121" i="2" a="1"/>
  <c r="R121" i="2" s="1"/>
  <c r="R41" i="2" a="1"/>
  <c r="R41" i="2" s="1"/>
  <c r="R120" i="2" a="1"/>
  <c r="R120" i="2" s="1"/>
  <c r="R80" i="2" a="1"/>
  <c r="R80" i="2" s="1"/>
  <c r="R40" i="2" a="1"/>
  <c r="R40" i="2" s="1"/>
  <c r="R79" i="2" a="1"/>
  <c r="R79" i="2" s="1"/>
  <c r="R237" i="2" a="1"/>
  <c r="R237" i="2" s="1"/>
  <c r="R97" i="2" a="1"/>
  <c r="R97" i="2" s="1"/>
  <c r="R57" i="2" a="1"/>
  <c r="R57" i="2" s="1"/>
  <c r="R37" i="2" a="1"/>
  <c r="R37" i="2" s="1"/>
  <c r="I273" i="2"/>
  <c r="R270" i="2" a="1"/>
  <c r="R270" i="2" s="1"/>
  <c r="R265" i="2" a="1"/>
  <c r="R265" i="2" s="1"/>
  <c r="I263" i="2"/>
  <c r="R107" i="2" a="1"/>
  <c r="R107" i="2" s="1"/>
  <c r="R27" i="2" a="1"/>
  <c r="R27" i="2" s="1"/>
  <c r="R25" i="2" a="1"/>
  <c r="R25" i="2" s="1"/>
  <c r="R262" i="2" a="1"/>
  <c r="R262" i="2" s="1"/>
  <c r="R162" i="2" a="1"/>
  <c r="R162" i="2" s="1"/>
  <c r="R42" i="2" a="1"/>
  <c r="R42" i="2" s="1"/>
  <c r="R241" i="2" a="1"/>
  <c r="R241" i="2" s="1"/>
  <c r="R176" i="2" a="1"/>
  <c r="R176" i="2" s="1"/>
  <c r="R156" i="2" a="1"/>
  <c r="R156" i="2" s="1"/>
  <c r="R136" i="2" a="1"/>
  <c r="R136" i="2" s="1"/>
  <c r="R116" i="2" a="1"/>
  <c r="R116" i="2" s="1"/>
  <c r="R96" i="2" a="1"/>
  <c r="R96" i="2" s="1"/>
  <c r="R76" i="2" a="1"/>
  <c r="R76" i="2" s="1"/>
  <c r="R36" i="2" a="1"/>
  <c r="R36" i="2" s="1"/>
  <c r="R16" i="2" a="1"/>
  <c r="R16" i="2" s="1"/>
  <c r="R46" i="2" a="1"/>
  <c r="R46" i="2" s="1"/>
  <c r="R182" i="2" a="1"/>
  <c r="R182" i="2" s="1"/>
  <c r="R196" i="2" a="1"/>
  <c r="R196" i="2" s="1"/>
  <c r="R255" i="2" a="1"/>
  <c r="R255" i="2" s="1"/>
  <c r="R235" i="2" a="1"/>
  <c r="R235" i="2" s="1"/>
  <c r="R215" i="2" a="1"/>
  <c r="R215" i="2" s="1"/>
  <c r="R195" i="2" a="1"/>
  <c r="R195" i="2" s="1"/>
  <c r="R75" i="2" a="1"/>
  <c r="R75" i="2" s="1"/>
  <c r="R145" i="2" a="1"/>
  <c r="R145" i="2" s="1"/>
  <c r="R254" i="2" a="1"/>
  <c r="R254" i="2" s="1"/>
  <c r="R214" i="2" a="1"/>
  <c r="R214" i="2" s="1"/>
  <c r="R174" i="2" a="1"/>
  <c r="R174" i="2" s="1"/>
  <c r="R154" i="2" a="1"/>
  <c r="R154" i="2" s="1"/>
  <c r="R134" i="2" a="1"/>
  <c r="R134" i="2" s="1"/>
  <c r="R114" i="2" a="1"/>
  <c r="R114" i="2" s="1"/>
  <c r="R74" i="2" a="1"/>
  <c r="R74" i="2" s="1"/>
  <c r="R54" i="2" a="1"/>
  <c r="R54" i="2" s="1"/>
  <c r="R34" i="2" a="1"/>
  <c r="R34" i="2" s="1"/>
  <c r="R14" i="2" a="1"/>
  <c r="R14" i="2" s="1"/>
  <c r="R166" i="2" a="1"/>
  <c r="R166" i="2" s="1"/>
  <c r="R122" i="2" a="1"/>
  <c r="R122" i="2" s="1"/>
  <c r="R261" i="2" a="1"/>
  <c r="R261" i="2" s="1"/>
  <c r="R236" i="2" a="1"/>
  <c r="R236" i="2" s="1"/>
  <c r="R234" i="2" a="1"/>
  <c r="R234" i="2" s="1"/>
  <c r="R194" i="2" a="1"/>
  <c r="R194" i="2" s="1"/>
  <c r="R94" i="2" a="1"/>
  <c r="R94" i="2" s="1"/>
  <c r="R253" i="2" a="1"/>
  <c r="R253" i="2" s="1"/>
  <c r="R213" i="2" a="1"/>
  <c r="R213" i="2" s="1"/>
  <c r="R193" i="2" a="1"/>
  <c r="R193" i="2" s="1"/>
  <c r="R173" i="2" a="1"/>
  <c r="R173" i="2" s="1"/>
  <c r="R153" i="2" a="1"/>
  <c r="R153" i="2" s="1"/>
  <c r="R133" i="2" a="1"/>
  <c r="R133" i="2" s="1"/>
  <c r="R73" i="2" a="1"/>
  <c r="R73" i="2" s="1"/>
  <c r="R53" i="2" a="1"/>
  <c r="R53" i="2" s="1"/>
  <c r="R33" i="2" a="1"/>
  <c r="R33" i="2" s="1"/>
  <c r="R13" i="2" a="1"/>
  <c r="R13" i="2" s="1"/>
  <c r="R227" i="2" a="1"/>
  <c r="R227" i="2" s="1"/>
  <c r="R146" i="2" a="1"/>
  <c r="R146" i="2" s="1"/>
  <c r="R26" i="2" a="1"/>
  <c r="R26" i="2" s="1"/>
  <c r="R184" i="2" a="1"/>
  <c r="R184" i="2" s="1"/>
  <c r="R84" i="2" a="1"/>
  <c r="R84" i="2" s="1"/>
  <c r="R62" i="2" a="1"/>
  <c r="R62" i="2" s="1"/>
  <c r="R232" i="2" a="1"/>
  <c r="R232" i="2" s="1"/>
  <c r="R112" i="2" a="1"/>
  <c r="R112" i="2" s="1"/>
  <c r="R92" i="2" a="1"/>
  <c r="R92" i="2" s="1"/>
  <c r="R72" i="2" a="1"/>
  <c r="R72" i="2" s="1"/>
  <c r="R32" i="2" a="1"/>
  <c r="R32" i="2" s="1"/>
  <c r="R12" i="2" a="1"/>
  <c r="R12" i="2" s="1"/>
  <c r="R247" i="2" a="1"/>
  <c r="R247" i="2" s="1"/>
  <c r="R226" i="2" a="1"/>
  <c r="R226" i="2" s="1"/>
  <c r="R192" i="2" a="1"/>
  <c r="R192" i="2" s="1"/>
  <c r="R91" i="2" a="1"/>
  <c r="R91" i="2" s="1"/>
  <c r="R155" i="2" a="1"/>
  <c r="R155" i="2" s="1"/>
  <c r="R135" i="2" a="1"/>
  <c r="R135" i="2" s="1"/>
  <c r="R87" i="2" a="1"/>
  <c r="R87" i="2" s="1"/>
  <c r="R7" i="2" a="1"/>
  <c r="R7" i="2" s="1"/>
  <c r="R206" i="2" a="1"/>
  <c r="R206" i="2" s="1"/>
  <c r="R186" i="2" a="1"/>
  <c r="R186" i="2" s="1"/>
  <c r="R106" i="2" a="1"/>
  <c r="R106" i="2" s="1"/>
  <c r="R86" i="2" a="1"/>
  <c r="R86" i="2" s="1"/>
  <c r="R66" i="2" a="1"/>
  <c r="R66" i="2" s="1"/>
  <c r="R6" i="2" a="1"/>
  <c r="R6" i="2" s="1"/>
  <c r="R272" i="2" a="1"/>
  <c r="R272" i="2" s="1"/>
  <c r="R267" i="2" a="1"/>
  <c r="R267" i="2" s="1"/>
  <c r="I265" i="2"/>
  <c r="R17" i="2" a="1"/>
  <c r="R17" i="2" s="1"/>
  <c r="R205" i="2" a="1"/>
  <c r="R205" i="2" s="1"/>
  <c r="R45" i="2" a="1"/>
  <c r="R45" i="2" s="1"/>
  <c r="R5" i="2" a="1"/>
  <c r="R5" i="2" s="1"/>
  <c r="R119" i="2" a="1"/>
  <c r="R119" i="2" s="1"/>
  <c r="R177" i="2" a="1"/>
  <c r="R177" i="2" s="1"/>
  <c r="R207" i="2" a="1"/>
  <c r="R207" i="2" s="1"/>
  <c r="R167" i="2" a="1"/>
  <c r="R167" i="2" s="1"/>
  <c r="R127" i="2" a="1"/>
  <c r="R127" i="2" s="1"/>
  <c r="R105" i="2" a="1"/>
  <c r="R105" i="2" s="1"/>
  <c r="R244" i="2" a="1"/>
  <c r="R244" i="2" s="1"/>
  <c r="R124" i="2" a="1"/>
  <c r="R124" i="2" s="1"/>
  <c r="R183" i="2" a="1"/>
  <c r="R183" i="2" s="1"/>
  <c r="R225" i="2" a="1"/>
  <c r="R225" i="2" s="1"/>
  <c r="R224" i="2" a="1"/>
  <c r="R224" i="2" s="1"/>
  <c r="R24" i="2" a="1"/>
  <c r="R24" i="2" s="1"/>
  <c r="R3" i="2" a="1"/>
  <c r="R3" i="2" s="1"/>
  <c r="R223" i="2" a="1"/>
  <c r="R223" i="2" s="1"/>
  <c r="R242" i="2" a="1"/>
  <c r="R242" i="2" s="1"/>
  <c r="R222" i="2" a="1"/>
  <c r="R222" i="2" s="1"/>
  <c r="R202" i="2" a="1"/>
  <c r="R202" i="2" s="1"/>
  <c r="R102" i="2" a="1"/>
  <c r="R102" i="2" s="1"/>
  <c r="R22" i="2" a="1"/>
  <c r="R22" i="2" s="1"/>
  <c r="R273" i="2" a="1"/>
  <c r="R273" i="2" s="1"/>
  <c r="R268" i="2" a="1"/>
  <c r="R268" i="2" s="1"/>
  <c r="R263" i="2" a="1"/>
  <c r="R263" i="2" s="1"/>
  <c r="R219" i="2" a="1"/>
  <c r="R219" i="2" s="1"/>
  <c r="R99" i="2" a="1"/>
  <c r="R99" i="2" s="1"/>
  <c r="R217" i="2" a="1"/>
  <c r="R217" i="2" s="1"/>
  <c r="R245" i="2" a="1"/>
  <c r="R245" i="2" s="1"/>
  <c r="R165" i="2" a="1"/>
  <c r="R165" i="2" s="1"/>
  <c r="R85" i="2" a="1"/>
  <c r="R85" i="2" s="1"/>
  <c r="R204" i="2" a="1"/>
  <c r="R204" i="2" s="1"/>
  <c r="R144" i="2" a="1"/>
  <c r="R144" i="2" s="1"/>
  <c r="R64" i="2" a="1"/>
  <c r="R64" i="2" s="1"/>
  <c r="R201" i="2" a="1"/>
  <c r="R201" i="2" s="1"/>
  <c r="R181" i="2" a="1"/>
  <c r="R181" i="2" s="1"/>
  <c r="R161" i="2" a="1"/>
  <c r="R161" i="2" s="1"/>
  <c r="R141" i="2" a="1"/>
  <c r="R141" i="2" s="1"/>
  <c r="R101" i="2" a="1"/>
  <c r="R101" i="2" s="1"/>
  <c r="R81" i="2" a="1"/>
  <c r="R81" i="2" s="1"/>
  <c r="R21" i="2" a="1"/>
  <c r="R21" i="2" s="1"/>
  <c r="R159" i="2" a="1"/>
  <c r="R159" i="2" s="1"/>
  <c r="R137" i="2" a="1"/>
  <c r="R137" i="2" s="1"/>
  <c r="R187" i="2" a="1"/>
  <c r="R187" i="2" s="1"/>
  <c r="R47" i="2" a="1"/>
  <c r="R47" i="2" s="1"/>
  <c r="R164" i="2" a="1"/>
  <c r="R164" i="2" s="1"/>
  <c r="R104" i="2" a="1"/>
  <c r="R104" i="2" s="1"/>
  <c r="R44" i="2" a="1"/>
  <c r="R44" i="2" s="1"/>
  <c r="R203" i="2" a="1"/>
  <c r="R203" i="2" s="1"/>
  <c r="R260" i="2" a="1"/>
  <c r="R260" i="2" s="1"/>
  <c r="R220" i="2" a="1"/>
  <c r="R220" i="2" s="1"/>
  <c r="R200" i="2" a="1"/>
  <c r="R200" i="2" s="1"/>
  <c r="R180" i="2" a="1"/>
  <c r="R180" i="2" s="1"/>
  <c r="R140" i="2" a="1"/>
  <c r="R140" i="2" s="1"/>
  <c r="R100" i="2" a="1"/>
  <c r="R100" i="2" s="1"/>
  <c r="R60" i="2" a="1"/>
  <c r="R60" i="2" s="1"/>
  <c r="R20" i="2" a="1"/>
  <c r="R20" i="2" s="1"/>
  <c r="R39" i="2" a="1"/>
  <c r="R39" i="2" s="1"/>
  <c r="R239" i="2" a="1"/>
  <c r="R239" i="2" s="1"/>
  <c r="R238" i="2" a="1"/>
  <c r="R238" i="2" s="1"/>
  <c r="R198" i="2" a="1"/>
  <c r="R198" i="2" s="1"/>
  <c r="R178" i="2" a="1"/>
  <c r="R178" i="2" s="1"/>
  <c r="R118" i="2" a="1"/>
  <c r="R118" i="2" s="1"/>
  <c r="R78" i="2" a="1"/>
  <c r="R78" i="2" s="1"/>
  <c r="R58" i="2" a="1"/>
  <c r="R58" i="2" s="1"/>
  <c r="R38" i="2" a="1"/>
  <c r="R38" i="2" s="1"/>
  <c r="R274" i="2" a="1"/>
  <c r="R274" i="2" s="1"/>
  <c r="I272" i="2"/>
  <c r="R269" i="2" a="1"/>
  <c r="R269" i="2" s="1"/>
  <c r="R264" i="2" a="1"/>
  <c r="R264" i="2" s="1"/>
  <c r="R197" i="2" a="1"/>
  <c r="R197" i="2" s="1"/>
  <c r="R139" i="2" a="1"/>
  <c r="R139" i="2" s="1"/>
  <c r="R19" i="2" a="1"/>
  <c r="R19" i="2" s="1"/>
  <c r="R117" i="2" a="1"/>
  <c r="R117" i="2" s="1"/>
  <c r="R77" i="2" a="1"/>
  <c r="R77" i="2" s="1"/>
  <c r="R256" i="2" a="1"/>
  <c r="R256" i="2" s="1"/>
  <c r="R216" i="2" a="1"/>
  <c r="R216" i="2" s="1"/>
  <c r="R56" i="2" a="1"/>
  <c r="R56" i="2" s="1"/>
  <c r="R175" i="2" a="1"/>
  <c r="R175" i="2" s="1"/>
  <c r="R115" i="2" a="1"/>
  <c r="R115" i="2" s="1"/>
  <c r="R95" i="2" a="1"/>
  <c r="R95" i="2" s="1"/>
  <c r="R55" i="2" a="1"/>
  <c r="R55" i="2" s="1"/>
  <c r="R35" i="2" a="1"/>
  <c r="R35" i="2" s="1"/>
  <c r="R15" i="2" a="1"/>
  <c r="R15" i="2" s="1"/>
  <c r="R179" i="2" a="1"/>
  <c r="R179" i="2" s="1"/>
  <c r="R199" i="2" a="1"/>
  <c r="R199" i="2" s="1"/>
  <c r="R233" i="2" a="1"/>
  <c r="R233" i="2" s="1"/>
  <c r="R252" i="2" a="1"/>
  <c r="R252" i="2" s="1"/>
  <c r="R251" i="2" a="1"/>
  <c r="R251" i="2" s="1"/>
  <c r="R211" i="2" a="1"/>
  <c r="R211" i="2" s="1"/>
  <c r="R171" i="2" a="1"/>
  <c r="R171" i="2" s="1"/>
  <c r="R151" i="2" a="1"/>
  <c r="R151" i="2" s="1"/>
  <c r="R131" i="2" a="1"/>
  <c r="R131" i="2" s="1"/>
  <c r="R111" i="2" a="1"/>
  <c r="R111" i="2" s="1"/>
  <c r="R71" i="2" a="1"/>
  <c r="R71" i="2" s="1"/>
  <c r="R51" i="2" a="1"/>
  <c r="R51" i="2" s="1"/>
  <c r="R31" i="2" a="1"/>
  <c r="R31" i="2" s="1"/>
  <c r="R11" i="2" a="1"/>
  <c r="R11" i="2" s="1"/>
  <c r="R157" i="2" a="1"/>
  <c r="R157" i="2" s="1"/>
  <c r="R113" i="2" a="1"/>
  <c r="R113" i="2" s="1"/>
  <c r="R93" i="2" a="1"/>
  <c r="R93" i="2" s="1"/>
  <c r="R212" i="2" a="1"/>
  <c r="R212" i="2" s="1"/>
  <c r="R172" i="2" a="1"/>
  <c r="R172" i="2" s="1"/>
  <c r="R152" i="2" a="1"/>
  <c r="R152" i="2" s="1"/>
  <c r="R132" i="2" a="1"/>
  <c r="R132" i="2" s="1"/>
  <c r="R52" i="2" a="1"/>
  <c r="R52" i="2" s="1"/>
  <c r="R231" i="2" a="1"/>
  <c r="R231" i="2" s="1"/>
  <c r="R191" i="2" a="1"/>
  <c r="R191" i="2" s="1"/>
  <c r="R210" i="2" a="1"/>
  <c r="R210" i="2" s="1"/>
  <c r="R170" i="2" a="1"/>
  <c r="R170" i="2" s="1"/>
  <c r="R150" i="2" a="1"/>
  <c r="R150" i="2" s="1"/>
  <c r="R130" i="2" a="1"/>
  <c r="R130" i="2" s="1"/>
  <c r="R110" i="2" a="1"/>
  <c r="R110" i="2" s="1"/>
  <c r="R90" i="2" a="1"/>
  <c r="R90" i="2" s="1"/>
  <c r="R70" i="2" a="1"/>
  <c r="R70" i="2" s="1"/>
  <c r="R50" i="2" a="1"/>
  <c r="R50" i="2" s="1"/>
  <c r="R30" i="2" a="1"/>
  <c r="R30" i="2" s="1"/>
  <c r="R10" i="2" a="1"/>
  <c r="R10" i="2" s="1"/>
  <c r="R271" i="2" a="1"/>
  <c r="R271" i="2" s="1"/>
  <c r="R266" i="2" a="1"/>
  <c r="R266" i="2" s="1"/>
  <c r="R189" i="2" a="1"/>
  <c r="R189" i="2" s="1"/>
  <c r="R9" i="2" a="1"/>
  <c r="R9" i="2" s="1"/>
  <c r="R257" i="2" a="1"/>
  <c r="R257" i="2" s="1"/>
  <c r="R229" i="2" a="1"/>
  <c r="R229" i="2" s="1"/>
  <c r="R209" i="2" a="1"/>
  <c r="R209" i="2" s="1"/>
  <c r="R129" i="2" a="1"/>
  <c r="R129" i="2" s="1"/>
  <c r="R109" i="2" a="1"/>
  <c r="R109" i="2" s="1"/>
  <c r="R89" i="2" a="1"/>
  <c r="R89" i="2" s="1"/>
  <c r="R69" i="2" a="1"/>
  <c r="R69" i="2" s="1"/>
  <c r="R168" i="2" a="1"/>
  <c r="R168" i="2" s="1"/>
  <c r="R128" i="2" a="1"/>
  <c r="R128" i="2" s="1"/>
  <c r="R68" i="2" a="1"/>
  <c r="R68" i="2" s="1"/>
  <c r="R28" i="2" a="1"/>
  <c r="R28" i="2" s="1"/>
  <c r="R8" i="2" a="1"/>
  <c r="R8" i="2" s="1"/>
  <c r="I270" i="2"/>
  <c r="I271" i="2"/>
  <c r="I268" i="2"/>
  <c r="I274" i="2"/>
  <c r="I264" i="2"/>
  <c r="I266" i="2"/>
  <c r="I267" i="2"/>
  <c r="B17" i="19"/>
  <c r="V11" i="19"/>
  <c r="V12" i="19"/>
  <c r="L10" i="19"/>
  <c r="P49" i="2"/>
  <c r="Q51"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P50"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AI3" i="2"/>
  <c r="AI4" i="2"/>
  <c r="AI5" i="2"/>
  <c r="N6" i="2"/>
  <c r="AI6" i="2" s="1"/>
  <c r="N7" i="2"/>
  <c r="AI7" i="2" s="1"/>
  <c r="N8" i="2"/>
  <c r="AI8" i="2" s="1"/>
  <c r="N9" i="2"/>
  <c r="AI9" i="2" s="1"/>
  <c r="N10" i="2"/>
  <c r="AI10" i="2" s="1"/>
  <c r="N11" i="2"/>
  <c r="AI11" i="2" s="1"/>
  <c r="N12" i="2"/>
  <c r="AI12" i="2" s="1"/>
  <c r="N13" i="2"/>
  <c r="AI13" i="2" s="1"/>
  <c r="N14" i="2"/>
  <c r="AI14" i="2" s="1"/>
  <c r="N15" i="2"/>
  <c r="AI15" i="2" s="1"/>
  <c r="N16" i="2"/>
  <c r="AI16" i="2" s="1"/>
  <c r="N17" i="2"/>
  <c r="AI17" i="2" s="1"/>
  <c r="N18" i="2"/>
  <c r="AI18" i="2" s="1"/>
  <c r="N19" i="2"/>
  <c r="AI19" i="2" s="1"/>
  <c r="N20" i="2"/>
  <c r="AI20" i="2" s="1"/>
  <c r="N21" i="2"/>
  <c r="AI21" i="2" s="1"/>
  <c r="N22" i="2"/>
  <c r="AI22" i="2" s="1"/>
  <c r="N23" i="2"/>
  <c r="AI23" i="2" s="1"/>
  <c r="N24" i="2"/>
  <c r="AI24" i="2" s="1"/>
  <c r="N25" i="2"/>
  <c r="AI25" i="2" s="1"/>
  <c r="N26" i="2"/>
  <c r="AI26" i="2" s="1"/>
  <c r="N27" i="2"/>
  <c r="AI27" i="2" s="1"/>
  <c r="N28" i="2"/>
  <c r="AI28" i="2" s="1"/>
  <c r="N29" i="2"/>
  <c r="AI29" i="2" s="1"/>
  <c r="N30" i="2"/>
  <c r="AI30" i="2" s="1"/>
  <c r="N31" i="2"/>
  <c r="AI31" i="2" s="1"/>
  <c r="N32" i="2"/>
  <c r="AI32" i="2" s="1"/>
  <c r="N33" i="2"/>
  <c r="AI33" i="2" s="1"/>
  <c r="N34" i="2"/>
  <c r="AI34" i="2" s="1"/>
  <c r="N35" i="2"/>
  <c r="AI35" i="2" s="1"/>
  <c r="N36" i="2"/>
  <c r="AI36" i="2" s="1"/>
  <c r="N37" i="2"/>
  <c r="AI37" i="2" s="1"/>
  <c r="N38" i="2"/>
  <c r="AI38" i="2" s="1"/>
  <c r="N39" i="2"/>
  <c r="AI39" i="2" s="1"/>
  <c r="N40" i="2"/>
  <c r="AI40" i="2" s="1"/>
  <c r="N41" i="2"/>
  <c r="AI41" i="2" s="1"/>
  <c r="N42" i="2"/>
  <c r="AI42" i="2" s="1"/>
  <c r="N43" i="2"/>
  <c r="AI43" i="2" s="1"/>
  <c r="N44" i="2"/>
  <c r="AI44" i="2" s="1"/>
  <c r="N45" i="2"/>
  <c r="AI45" i="2" s="1"/>
  <c r="N46" i="2"/>
  <c r="AI46" i="2" s="1"/>
  <c r="N47" i="2"/>
  <c r="AI47" i="2" s="1"/>
  <c r="N48" i="2"/>
  <c r="AI48" i="2" s="1"/>
  <c r="N49" i="2"/>
  <c r="AI49" i="2" s="1"/>
  <c r="N50" i="2"/>
  <c r="AI50" i="2" s="1"/>
  <c r="N51" i="2"/>
  <c r="AI51" i="2" s="1"/>
  <c r="N52" i="2"/>
  <c r="AI52" i="2" s="1"/>
  <c r="N53" i="2"/>
  <c r="AI53" i="2" s="1"/>
  <c r="N54" i="2"/>
  <c r="AI54" i="2" s="1"/>
  <c r="N55" i="2"/>
  <c r="AI55" i="2" s="1"/>
  <c r="N56" i="2"/>
  <c r="AI56" i="2" s="1"/>
  <c r="N57" i="2"/>
  <c r="AI57" i="2" s="1"/>
  <c r="N58" i="2"/>
  <c r="AI58" i="2" s="1"/>
  <c r="N59" i="2"/>
  <c r="AI59" i="2" s="1"/>
  <c r="N60" i="2"/>
  <c r="AI60" i="2" s="1"/>
  <c r="N61" i="2"/>
  <c r="AI61" i="2" s="1"/>
  <c r="N62" i="2"/>
  <c r="AI62" i="2" s="1"/>
  <c r="N63" i="2"/>
  <c r="AI63" i="2" s="1"/>
  <c r="N64" i="2"/>
  <c r="AI64" i="2" s="1"/>
  <c r="N65" i="2"/>
  <c r="AI65" i="2" s="1"/>
  <c r="N66" i="2"/>
  <c r="AI66" i="2" s="1"/>
  <c r="N67" i="2"/>
  <c r="AI67" i="2" s="1"/>
  <c r="N68" i="2"/>
  <c r="AI68" i="2" s="1"/>
  <c r="N69" i="2"/>
  <c r="AI69" i="2" s="1"/>
  <c r="N70" i="2"/>
  <c r="AI70" i="2" s="1"/>
  <c r="N71" i="2"/>
  <c r="AI71" i="2" s="1"/>
  <c r="N72" i="2"/>
  <c r="AI72" i="2" s="1"/>
  <c r="N73" i="2"/>
  <c r="AI73" i="2" s="1"/>
  <c r="N74" i="2"/>
  <c r="AI74" i="2" s="1"/>
  <c r="N75" i="2"/>
  <c r="AI75" i="2" s="1"/>
  <c r="N76" i="2"/>
  <c r="AI76" i="2" s="1"/>
  <c r="N77" i="2"/>
  <c r="AI77" i="2" s="1"/>
  <c r="N78" i="2"/>
  <c r="AI78" i="2" s="1"/>
  <c r="N79" i="2"/>
  <c r="AI79" i="2" s="1"/>
  <c r="N80" i="2"/>
  <c r="AI80" i="2" s="1"/>
  <c r="N81" i="2"/>
  <c r="AI81" i="2" s="1"/>
  <c r="N82" i="2"/>
  <c r="AI82" i="2" s="1"/>
  <c r="N83" i="2"/>
  <c r="AI83" i="2" s="1"/>
  <c r="N84" i="2"/>
  <c r="AI84" i="2" s="1"/>
  <c r="N85" i="2"/>
  <c r="AI85" i="2" s="1"/>
  <c r="N86" i="2"/>
  <c r="AI86" i="2" s="1"/>
  <c r="N87" i="2"/>
  <c r="AI87" i="2" s="1"/>
  <c r="N88" i="2"/>
  <c r="AI88" i="2" s="1"/>
  <c r="N89" i="2"/>
  <c r="AI89" i="2" s="1"/>
  <c r="N90" i="2"/>
  <c r="AI90" i="2" s="1"/>
  <c r="N91" i="2"/>
  <c r="AI91" i="2" s="1"/>
  <c r="N92" i="2"/>
  <c r="AI92" i="2" s="1"/>
  <c r="N93" i="2"/>
  <c r="AI93" i="2" s="1"/>
  <c r="N94" i="2"/>
  <c r="AI94" i="2" s="1"/>
  <c r="N95" i="2"/>
  <c r="AI95" i="2" s="1"/>
  <c r="N96" i="2"/>
  <c r="AI96" i="2" s="1"/>
  <c r="N97" i="2"/>
  <c r="AI97" i="2" s="1"/>
  <c r="N98" i="2"/>
  <c r="AI98" i="2" s="1"/>
  <c r="N99" i="2"/>
  <c r="AI99" i="2" s="1"/>
  <c r="N100" i="2"/>
  <c r="AI100" i="2" s="1"/>
  <c r="N101" i="2"/>
  <c r="AI101" i="2" s="1"/>
  <c r="N102" i="2"/>
  <c r="AI102" i="2" s="1"/>
  <c r="N103" i="2"/>
  <c r="AI103" i="2" s="1"/>
  <c r="N104" i="2"/>
  <c r="AI104" i="2" s="1"/>
  <c r="N105" i="2"/>
  <c r="AI105" i="2" s="1"/>
  <c r="N106" i="2"/>
  <c r="AI106" i="2" s="1"/>
  <c r="N107" i="2"/>
  <c r="AI107" i="2" s="1"/>
  <c r="N108" i="2"/>
  <c r="AI108" i="2" s="1"/>
  <c r="N109" i="2"/>
  <c r="AI109" i="2" s="1"/>
  <c r="N110" i="2"/>
  <c r="AI110" i="2" s="1"/>
  <c r="N111" i="2"/>
  <c r="AI111" i="2" s="1"/>
  <c r="N112" i="2"/>
  <c r="AI112" i="2" s="1"/>
  <c r="N113" i="2"/>
  <c r="AI113" i="2" s="1"/>
  <c r="N114" i="2"/>
  <c r="AI114" i="2" s="1"/>
  <c r="N115" i="2"/>
  <c r="AI115" i="2" s="1"/>
  <c r="N116" i="2"/>
  <c r="AI116" i="2" s="1"/>
  <c r="N117" i="2"/>
  <c r="AI117" i="2" s="1"/>
  <c r="N118" i="2"/>
  <c r="AI118" i="2" s="1"/>
  <c r="N119" i="2"/>
  <c r="AI119" i="2" s="1"/>
  <c r="N120" i="2"/>
  <c r="AI120" i="2" s="1"/>
  <c r="N121" i="2"/>
  <c r="AI121" i="2" s="1"/>
  <c r="N122" i="2"/>
  <c r="AI122" i="2" s="1"/>
  <c r="N123" i="2"/>
  <c r="AI123" i="2" s="1"/>
  <c r="N124" i="2"/>
  <c r="AI124" i="2" s="1"/>
  <c r="N125" i="2"/>
  <c r="AI125" i="2" s="1"/>
  <c r="N126" i="2"/>
  <c r="AI126" i="2" s="1"/>
  <c r="N127" i="2"/>
  <c r="AI127" i="2" s="1"/>
  <c r="N128" i="2"/>
  <c r="AI128" i="2" s="1"/>
  <c r="N129" i="2"/>
  <c r="AI129" i="2" s="1"/>
  <c r="N130" i="2"/>
  <c r="AI130" i="2" s="1"/>
  <c r="N131" i="2"/>
  <c r="AI131" i="2" s="1"/>
  <c r="N132" i="2"/>
  <c r="AI132" i="2" s="1"/>
  <c r="N133" i="2"/>
  <c r="AI133" i="2" s="1"/>
  <c r="N134" i="2"/>
  <c r="AI134" i="2" s="1"/>
  <c r="N135" i="2"/>
  <c r="AI135" i="2" s="1"/>
  <c r="N136" i="2"/>
  <c r="AI136" i="2" s="1"/>
  <c r="N137" i="2"/>
  <c r="AI137" i="2" s="1"/>
  <c r="N138" i="2"/>
  <c r="AI138" i="2" s="1"/>
  <c r="N139" i="2"/>
  <c r="AI139" i="2" s="1"/>
  <c r="N140" i="2"/>
  <c r="AI140" i="2" s="1"/>
  <c r="N141" i="2"/>
  <c r="AI141" i="2" s="1"/>
  <c r="N142" i="2"/>
  <c r="AI142" i="2" s="1"/>
  <c r="N143" i="2"/>
  <c r="AI143" i="2" s="1"/>
  <c r="N144" i="2"/>
  <c r="AI144" i="2" s="1"/>
  <c r="N145" i="2"/>
  <c r="AI145" i="2" s="1"/>
  <c r="N146" i="2"/>
  <c r="AI146" i="2" s="1"/>
  <c r="N147" i="2"/>
  <c r="AI147" i="2" s="1"/>
  <c r="N148" i="2"/>
  <c r="AI148" i="2" s="1"/>
  <c r="N149" i="2"/>
  <c r="AI149" i="2" s="1"/>
  <c r="N150" i="2"/>
  <c r="AI150" i="2" s="1"/>
  <c r="N151" i="2"/>
  <c r="AI151" i="2" s="1"/>
  <c r="N152" i="2"/>
  <c r="AI152" i="2" s="1"/>
  <c r="N153" i="2"/>
  <c r="AI153" i="2" s="1"/>
  <c r="N154" i="2"/>
  <c r="AI154" i="2" s="1"/>
  <c r="N155" i="2"/>
  <c r="AI155" i="2" s="1"/>
  <c r="N156" i="2"/>
  <c r="AI156" i="2" s="1"/>
  <c r="N157" i="2"/>
  <c r="AI157" i="2" s="1"/>
  <c r="N158" i="2"/>
  <c r="AI158" i="2" s="1"/>
  <c r="N159" i="2"/>
  <c r="AI159" i="2" s="1"/>
  <c r="N160" i="2"/>
  <c r="AI160" i="2" s="1"/>
  <c r="N161" i="2"/>
  <c r="AI161" i="2" s="1"/>
  <c r="N162" i="2"/>
  <c r="AI162" i="2" s="1"/>
  <c r="N163" i="2"/>
  <c r="AI163" i="2" s="1"/>
  <c r="N164" i="2"/>
  <c r="AI164" i="2" s="1"/>
  <c r="N165" i="2"/>
  <c r="AI165" i="2" s="1"/>
  <c r="N166" i="2"/>
  <c r="AI166" i="2" s="1"/>
  <c r="N167" i="2"/>
  <c r="AI167" i="2" s="1"/>
  <c r="N168" i="2"/>
  <c r="AI168" i="2" s="1"/>
  <c r="N169" i="2"/>
  <c r="AI169" i="2" s="1"/>
  <c r="N170" i="2"/>
  <c r="AI170" i="2" s="1"/>
  <c r="N171" i="2"/>
  <c r="AI171" i="2" s="1"/>
  <c r="N172" i="2"/>
  <c r="AI172" i="2" s="1"/>
  <c r="N173" i="2"/>
  <c r="AI173" i="2" s="1"/>
  <c r="N174" i="2"/>
  <c r="AI174" i="2" s="1"/>
  <c r="N175" i="2"/>
  <c r="AI175" i="2" s="1"/>
  <c r="N176" i="2"/>
  <c r="AI176" i="2" s="1"/>
  <c r="N177" i="2"/>
  <c r="AI177" i="2" s="1"/>
  <c r="N178" i="2"/>
  <c r="AI178" i="2" s="1"/>
  <c r="N179" i="2"/>
  <c r="AI179" i="2" s="1"/>
  <c r="N180" i="2"/>
  <c r="AI180" i="2" s="1"/>
  <c r="N181" i="2"/>
  <c r="AI181" i="2" s="1"/>
  <c r="N182" i="2"/>
  <c r="AI182" i="2" s="1"/>
  <c r="N183" i="2"/>
  <c r="AI183" i="2" s="1"/>
  <c r="N184" i="2"/>
  <c r="AI184" i="2" s="1"/>
  <c r="N185" i="2"/>
  <c r="AI185" i="2" s="1"/>
  <c r="N186" i="2"/>
  <c r="AI186" i="2" s="1"/>
  <c r="N187" i="2"/>
  <c r="AI187" i="2" s="1"/>
  <c r="N188" i="2"/>
  <c r="AI188" i="2" s="1"/>
  <c r="N189" i="2"/>
  <c r="AI189" i="2" s="1"/>
  <c r="N190" i="2"/>
  <c r="AI190" i="2" s="1"/>
  <c r="N191" i="2"/>
  <c r="AI191" i="2" s="1"/>
  <c r="N192" i="2"/>
  <c r="AI192" i="2" s="1"/>
  <c r="N193" i="2"/>
  <c r="AI193" i="2" s="1"/>
  <c r="N194" i="2"/>
  <c r="AI194" i="2" s="1"/>
  <c r="N195" i="2"/>
  <c r="AI195" i="2" s="1"/>
  <c r="N196" i="2"/>
  <c r="AI196" i="2" s="1"/>
  <c r="N197" i="2"/>
  <c r="AI197" i="2" s="1"/>
  <c r="N198" i="2"/>
  <c r="AI198" i="2" s="1"/>
  <c r="N199" i="2"/>
  <c r="AI199" i="2" s="1"/>
  <c r="N200" i="2"/>
  <c r="AI200" i="2" s="1"/>
  <c r="N201" i="2"/>
  <c r="AI201" i="2" s="1"/>
  <c r="N202" i="2"/>
  <c r="AI202" i="2" s="1"/>
  <c r="N203" i="2"/>
  <c r="AI203" i="2" s="1"/>
  <c r="N204" i="2"/>
  <c r="AI204" i="2" s="1"/>
  <c r="N205" i="2"/>
  <c r="AI205" i="2" s="1"/>
  <c r="N206" i="2"/>
  <c r="AI206" i="2" s="1"/>
  <c r="N207" i="2"/>
  <c r="AI207" i="2" s="1"/>
  <c r="N208" i="2"/>
  <c r="AI208" i="2" s="1"/>
  <c r="N209" i="2"/>
  <c r="AI209" i="2" s="1"/>
  <c r="N210" i="2"/>
  <c r="AI210" i="2" s="1"/>
  <c r="N211" i="2"/>
  <c r="AI211" i="2" s="1"/>
  <c r="N212" i="2"/>
  <c r="AI212" i="2" s="1"/>
  <c r="N213" i="2"/>
  <c r="AI213" i="2" s="1"/>
  <c r="N214" i="2"/>
  <c r="AI214" i="2" s="1"/>
  <c r="N215" i="2"/>
  <c r="AI215" i="2" s="1"/>
  <c r="N216" i="2"/>
  <c r="AI216" i="2" s="1"/>
  <c r="N217" i="2"/>
  <c r="AI217" i="2" s="1"/>
  <c r="N218" i="2"/>
  <c r="AI218" i="2" s="1"/>
  <c r="N219" i="2"/>
  <c r="AI219" i="2" s="1"/>
  <c r="N220" i="2"/>
  <c r="AI220" i="2" s="1"/>
  <c r="N221" i="2"/>
  <c r="AI221" i="2" s="1"/>
  <c r="N222" i="2"/>
  <c r="AI222" i="2" s="1"/>
  <c r="N223" i="2"/>
  <c r="AI223" i="2" s="1"/>
  <c r="N224" i="2"/>
  <c r="AI224" i="2" s="1"/>
  <c r="N225" i="2"/>
  <c r="AI225" i="2" s="1"/>
  <c r="N226" i="2"/>
  <c r="AI226" i="2" s="1"/>
  <c r="N227" i="2"/>
  <c r="AI227" i="2" s="1"/>
  <c r="N228" i="2"/>
  <c r="AI228" i="2" s="1"/>
  <c r="N229" i="2"/>
  <c r="AI229" i="2" s="1"/>
  <c r="N230" i="2"/>
  <c r="AI230" i="2" s="1"/>
  <c r="N231" i="2"/>
  <c r="AI231" i="2" s="1"/>
  <c r="N232" i="2"/>
  <c r="AI232" i="2" s="1"/>
  <c r="N234" i="2"/>
  <c r="AI234" i="2" s="1"/>
  <c r="N235" i="2"/>
  <c r="AI235" i="2" s="1"/>
  <c r="N236" i="2"/>
  <c r="AI236" i="2" s="1"/>
  <c r="N237" i="2"/>
  <c r="AI237" i="2" s="1"/>
  <c r="N238" i="2"/>
  <c r="AI238" i="2" s="1"/>
  <c r="N239" i="2"/>
  <c r="AI239" i="2" s="1"/>
  <c r="N240" i="2"/>
  <c r="AI240" i="2" s="1"/>
  <c r="N241" i="2"/>
  <c r="AI241" i="2" s="1"/>
  <c r="N242" i="2"/>
  <c r="AI242" i="2" s="1"/>
  <c r="N243" i="2"/>
  <c r="AI243" i="2" s="1"/>
  <c r="N244" i="2"/>
  <c r="AI244" i="2" s="1"/>
  <c r="N245" i="2"/>
  <c r="AI245" i="2" s="1"/>
  <c r="N246" i="2"/>
  <c r="AI246" i="2" s="1"/>
  <c r="N247" i="2"/>
  <c r="AI247" i="2" s="1"/>
  <c r="N248" i="2"/>
  <c r="AI248" i="2" s="1"/>
  <c r="N249" i="2"/>
  <c r="AI249" i="2" s="1"/>
  <c r="N250" i="2"/>
  <c r="AI250" i="2" s="1"/>
  <c r="N251" i="2"/>
  <c r="AI251" i="2" s="1"/>
  <c r="N252" i="2"/>
  <c r="AI252" i="2" s="1"/>
  <c r="N253" i="2"/>
  <c r="AI253" i="2" s="1"/>
  <c r="N254" i="2"/>
  <c r="AI254" i="2" s="1"/>
  <c r="N255" i="2"/>
  <c r="AI255" i="2" s="1"/>
  <c r="N256" i="2"/>
  <c r="AI256" i="2" s="1"/>
  <c r="N257" i="2"/>
  <c r="AI257" i="2" s="1"/>
  <c r="N258" i="2"/>
  <c r="AI258" i="2" s="1"/>
  <c r="N259" i="2"/>
  <c r="AI259" i="2" s="1"/>
  <c r="N260" i="2"/>
  <c r="AI260" i="2" s="1"/>
  <c r="N261" i="2"/>
  <c r="AI261" i="2" s="1"/>
  <c r="N262" i="2"/>
  <c r="AI262" i="2" s="1"/>
  <c r="AJ3" i="2"/>
  <c r="AJ4" i="2"/>
  <c r="AJ5" i="2"/>
  <c r="O6" i="2"/>
  <c r="AJ6" i="2" s="1"/>
  <c r="O7" i="2"/>
  <c r="AJ7" i="2" s="1"/>
  <c r="O8" i="2"/>
  <c r="AJ8" i="2" s="1"/>
  <c r="O9" i="2"/>
  <c r="AJ9" i="2" s="1"/>
  <c r="O10" i="2"/>
  <c r="AJ10" i="2" s="1"/>
  <c r="O11" i="2"/>
  <c r="AJ11" i="2" s="1"/>
  <c r="O12" i="2"/>
  <c r="AJ12" i="2" s="1"/>
  <c r="O13" i="2"/>
  <c r="AJ13" i="2" s="1"/>
  <c r="O14" i="2"/>
  <c r="AJ14" i="2" s="1"/>
  <c r="O15" i="2"/>
  <c r="AJ15" i="2" s="1"/>
  <c r="O16" i="2"/>
  <c r="AJ16" i="2" s="1"/>
  <c r="O17" i="2"/>
  <c r="AJ17" i="2" s="1"/>
  <c r="O18" i="2"/>
  <c r="AJ18" i="2" s="1"/>
  <c r="O19" i="2"/>
  <c r="AJ19" i="2" s="1"/>
  <c r="O20" i="2"/>
  <c r="AJ20" i="2" s="1"/>
  <c r="O21" i="2"/>
  <c r="AJ21" i="2" s="1"/>
  <c r="O22" i="2"/>
  <c r="AJ22" i="2" s="1"/>
  <c r="O23" i="2"/>
  <c r="AJ23" i="2" s="1"/>
  <c r="O24" i="2"/>
  <c r="AJ24" i="2" s="1"/>
  <c r="O25" i="2"/>
  <c r="AJ25" i="2" s="1"/>
  <c r="O26" i="2"/>
  <c r="AJ26" i="2" s="1"/>
  <c r="O27" i="2"/>
  <c r="AJ27" i="2" s="1"/>
  <c r="O28" i="2"/>
  <c r="AJ28" i="2" s="1"/>
  <c r="O29" i="2"/>
  <c r="AJ29" i="2" s="1"/>
  <c r="O30" i="2"/>
  <c r="AJ30" i="2" s="1"/>
  <c r="O31" i="2"/>
  <c r="AJ31" i="2" s="1"/>
  <c r="O32" i="2"/>
  <c r="AJ32" i="2" s="1"/>
  <c r="O33" i="2"/>
  <c r="AJ33" i="2" s="1"/>
  <c r="O34" i="2"/>
  <c r="AJ34" i="2" s="1"/>
  <c r="O35" i="2"/>
  <c r="AJ35" i="2" s="1"/>
  <c r="O36" i="2"/>
  <c r="AJ36" i="2" s="1"/>
  <c r="O37" i="2"/>
  <c r="AJ37" i="2" s="1"/>
  <c r="O38" i="2"/>
  <c r="AJ38" i="2" s="1"/>
  <c r="O39" i="2"/>
  <c r="AJ39" i="2" s="1"/>
  <c r="O40" i="2"/>
  <c r="AJ40" i="2" s="1"/>
  <c r="O41" i="2"/>
  <c r="AJ41" i="2" s="1"/>
  <c r="O42" i="2"/>
  <c r="AJ42" i="2" s="1"/>
  <c r="O43" i="2"/>
  <c r="AJ43" i="2" s="1"/>
  <c r="O44" i="2"/>
  <c r="AJ44" i="2" s="1"/>
  <c r="O45" i="2"/>
  <c r="AJ45" i="2" s="1"/>
  <c r="O46" i="2"/>
  <c r="AJ46" i="2" s="1"/>
  <c r="O47" i="2"/>
  <c r="AJ47" i="2" s="1"/>
  <c r="O48" i="2"/>
  <c r="AJ48" i="2" s="1"/>
  <c r="O49" i="2"/>
  <c r="AJ49" i="2" s="1"/>
  <c r="O50" i="2"/>
  <c r="AJ50" i="2" s="1"/>
  <c r="O51" i="2"/>
  <c r="AJ51" i="2" s="1"/>
  <c r="O52" i="2"/>
  <c r="AJ52" i="2" s="1"/>
  <c r="O53" i="2"/>
  <c r="AJ53" i="2" s="1"/>
  <c r="O54" i="2"/>
  <c r="AJ54" i="2" s="1"/>
  <c r="O55" i="2"/>
  <c r="AJ55" i="2" s="1"/>
  <c r="O56" i="2"/>
  <c r="AJ56" i="2" s="1"/>
  <c r="O57" i="2"/>
  <c r="AJ57" i="2" s="1"/>
  <c r="O58" i="2"/>
  <c r="AJ58" i="2" s="1"/>
  <c r="O59" i="2"/>
  <c r="AJ59" i="2" s="1"/>
  <c r="O60" i="2"/>
  <c r="AJ60" i="2" s="1"/>
  <c r="O61" i="2"/>
  <c r="AJ61" i="2" s="1"/>
  <c r="O62" i="2"/>
  <c r="AJ62" i="2" s="1"/>
  <c r="O63" i="2"/>
  <c r="AJ63" i="2" s="1"/>
  <c r="O64" i="2"/>
  <c r="AJ64" i="2" s="1"/>
  <c r="O65" i="2"/>
  <c r="AJ65" i="2" s="1"/>
  <c r="O66" i="2"/>
  <c r="AJ66" i="2" s="1"/>
  <c r="O67" i="2"/>
  <c r="AJ67" i="2" s="1"/>
  <c r="O68" i="2"/>
  <c r="AJ68" i="2" s="1"/>
  <c r="O69" i="2"/>
  <c r="AJ69" i="2" s="1"/>
  <c r="O70" i="2"/>
  <c r="AJ70" i="2" s="1"/>
  <c r="O71" i="2"/>
  <c r="AJ71" i="2" s="1"/>
  <c r="O72" i="2"/>
  <c r="AJ72" i="2" s="1"/>
  <c r="O73" i="2"/>
  <c r="AJ73" i="2" s="1"/>
  <c r="O74" i="2"/>
  <c r="AJ74" i="2" s="1"/>
  <c r="O75" i="2"/>
  <c r="AJ75" i="2" s="1"/>
  <c r="O76" i="2"/>
  <c r="AJ76" i="2" s="1"/>
  <c r="O77" i="2"/>
  <c r="AJ77" i="2" s="1"/>
  <c r="O78" i="2"/>
  <c r="AJ78" i="2" s="1"/>
  <c r="O79" i="2"/>
  <c r="AJ79" i="2" s="1"/>
  <c r="O80" i="2"/>
  <c r="AJ80" i="2" s="1"/>
  <c r="O81" i="2"/>
  <c r="AJ81" i="2" s="1"/>
  <c r="O82" i="2"/>
  <c r="AJ82" i="2" s="1"/>
  <c r="O83" i="2"/>
  <c r="AJ83" i="2" s="1"/>
  <c r="O84" i="2"/>
  <c r="AJ84" i="2" s="1"/>
  <c r="O85" i="2"/>
  <c r="AJ85" i="2" s="1"/>
  <c r="O86" i="2"/>
  <c r="AJ86" i="2" s="1"/>
  <c r="O87" i="2"/>
  <c r="AJ87" i="2" s="1"/>
  <c r="O88" i="2"/>
  <c r="AJ88" i="2" s="1"/>
  <c r="O89" i="2"/>
  <c r="AJ89" i="2" s="1"/>
  <c r="O90" i="2"/>
  <c r="AJ90" i="2" s="1"/>
  <c r="O91" i="2"/>
  <c r="AJ91" i="2" s="1"/>
  <c r="O92" i="2"/>
  <c r="AJ92" i="2" s="1"/>
  <c r="O93" i="2"/>
  <c r="AJ93" i="2" s="1"/>
  <c r="O94" i="2"/>
  <c r="AJ94" i="2" s="1"/>
  <c r="O95" i="2"/>
  <c r="AJ95" i="2" s="1"/>
  <c r="O96" i="2"/>
  <c r="AJ96" i="2" s="1"/>
  <c r="O97" i="2"/>
  <c r="AJ97" i="2" s="1"/>
  <c r="O98" i="2"/>
  <c r="AJ98" i="2" s="1"/>
  <c r="O99" i="2"/>
  <c r="AJ99" i="2" s="1"/>
  <c r="O100" i="2"/>
  <c r="AJ100" i="2" s="1"/>
  <c r="O101" i="2"/>
  <c r="AJ101" i="2" s="1"/>
  <c r="O102" i="2"/>
  <c r="AJ102" i="2" s="1"/>
  <c r="O103" i="2"/>
  <c r="AJ103" i="2" s="1"/>
  <c r="O104" i="2"/>
  <c r="AJ104" i="2" s="1"/>
  <c r="O105" i="2"/>
  <c r="AJ105" i="2" s="1"/>
  <c r="O106" i="2"/>
  <c r="AJ106" i="2" s="1"/>
  <c r="O107" i="2"/>
  <c r="AJ107" i="2" s="1"/>
  <c r="O108" i="2"/>
  <c r="AJ108" i="2" s="1"/>
  <c r="O109" i="2"/>
  <c r="AJ109" i="2" s="1"/>
  <c r="O110" i="2"/>
  <c r="AJ110" i="2" s="1"/>
  <c r="O111" i="2"/>
  <c r="AJ111" i="2" s="1"/>
  <c r="O112" i="2"/>
  <c r="AJ112" i="2" s="1"/>
  <c r="O113" i="2"/>
  <c r="AJ113" i="2" s="1"/>
  <c r="O114" i="2"/>
  <c r="AJ114" i="2" s="1"/>
  <c r="O115" i="2"/>
  <c r="AJ115" i="2" s="1"/>
  <c r="O116" i="2"/>
  <c r="AJ116" i="2" s="1"/>
  <c r="O117" i="2"/>
  <c r="AJ117" i="2" s="1"/>
  <c r="O118" i="2"/>
  <c r="AJ118" i="2" s="1"/>
  <c r="O119" i="2"/>
  <c r="AJ119" i="2" s="1"/>
  <c r="O120" i="2"/>
  <c r="AJ120" i="2" s="1"/>
  <c r="O121" i="2"/>
  <c r="AJ121" i="2" s="1"/>
  <c r="O122" i="2"/>
  <c r="AJ122" i="2" s="1"/>
  <c r="O123" i="2"/>
  <c r="AJ123" i="2" s="1"/>
  <c r="O124" i="2"/>
  <c r="AJ124" i="2" s="1"/>
  <c r="O125" i="2"/>
  <c r="AJ125" i="2" s="1"/>
  <c r="O126" i="2"/>
  <c r="AJ126" i="2" s="1"/>
  <c r="O127" i="2"/>
  <c r="AJ127" i="2" s="1"/>
  <c r="O128" i="2"/>
  <c r="AJ128" i="2" s="1"/>
  <c r="O129" i="2"/>
  <c r="AJ129" i="2" s="1"/>
  <c r="O130" i="2"/>
  <c r="AJ130" i="2" s="1"/>
  <c r="O131" i="2"/>
  <c r="AJ131" i="2" s="1"/>
  <c r="O132" i="2"/>
  <c r="AJ132" i="2" s="1"/>
  <c r="O133" i="2"/>
  <c r="AJ133" i="2" s="1"/>
  <c r="O134" i="2"/>
  <c r="AJ134" i="2" s="1"/>
  <c r="O135" i="2"/>
  <c r="AJ135" i="2" s="1"/>
  <c r="O136" i="2"/>
  <c r="AJ136" i="2" s="1"/>
  <c r="O137" i="2"/>
  <c r="AJ137" i="2" s="1"/>
  <c r="O138" i="2"/>
  <c r="AJ138" i="2" s="1"/>
  <c r="O139" i="2"/>
  <c r="AJ139" i="2" s="1"/>
  <c r="O140" i="2"/>
  <c r="AJ140" i="2" s="1"/>
  <c r="O141" i="2"/>
  <c r="AJ141" i="2" s="1"/>
  <c r="O142" i="2"/>
  <c r="AJ142" i="2" s="1"/>
  <c r="O143" i="2"/>
  <c r="AJ143" i="2" s="1"/>
  <c r="O144" i="2"/>
  <c r="AJ144" i="2" s="1"/>
  <c r="O145" i="2"/>
  <c r="AJ145" i="2" s="1"/>
  <c r="O146" i="2"/>
  <c r="AJ146" i="2" s="1"/>
  <c r="O147" i="2"/>
  <c r="AJ147" i="2" s="1"/>
  <c r="O148" i="2"/>
  <c r="AJ148" i="2" s="1"/>
  <c r="O149" i="2"/>
  <c r="AJ149" i="2" s="1"/>
  <c r="O150" i="2"/>
  <c r="AJ150" i="2" s="1"/>
  <c r="O151" i="2"/>
  <c r="AJ151" i="2" s="1"/>
  <c r="O152" i="2"/>
  <c r="AJ152" i="2" s="1"/>
  <c r="O153" i="2"/>
  <c r="AJ153" i="2" s="1"/>
  <c r="O154" i="2"/>
  <c r="AJ154" i="2" s="1"/>
  <c r="O155" i="2"/>
  <c r="AJ155" i="2" s="1"/>
  <c r="O156" i="2"/>
  <c r="AJ156" i="2" s="1"/>
  <c r="O157" i="2"/>
  <c r="AJ157" i="2" s="1"/>
  <c r="O158" i="2"/>
  <c r="AJ158" i="2" s="1"/>
  <c r="O159" i="2"/>
  <c r="AJ159" i="2" s="1"/>
  <c r="O160" i="2"/>
  <c r="AJ160" i="2" s="1"/>
  <c r="O161" i="2"/>
  <c r="AJ161" i="2" s="1"/>
  <c r="O162" i="2"/>
  <c r="AJ162" i="2" s="1"/>
  <c r="O163" i="2"/>
  <c r="AJ163" i="2" s="1"/>
  <c r="O164" i="2"/>
  <c r="AJ164" i="2" s="1"/>
  <c r="O165" i="2"/>
  <c r="AJ165" i="2" s="1"/>
  <c r="O166" i="2"/>
  <c r="AJ166" i="2" s="1"/>
  <c r="O167" i="2"/>
  <c r="AJ167" i="2" s="1"/>
  <c r="O168" i="2"/>
  <c r="AJ168" i="2" s="1"/>
  <c r="O169" i="2"/>
  <c r="AJ169" i="2" s="1"/>
  <c r="O170" i="2"/>
  <c r="AJ170" i="2" s="1"/>
  <c r="O171" i="2"/>
  <c r="AJ171" i="2" s="1"/>
  <c r="O172" i="2"/>
  <c r="AJ172" i="2" s="1"/>
  <c r="O173" i="2"/>
  <c r="AJ173" i="2" s="1"/>
  <c r="O174" i="2"/>
  <c r="AJ174" i="2" s="1"/>
  <c r="O175" i="2"/>
  <c r="AJ175" i="2" s="1"/>
  <c r="O176" i="2"/>
  <c r="AJ176" i="2" s="1"/>
  <c r="O177" i="2"/>
  <c r="AJ177" i="2" s="1"/>
  <c r="O178" i="2"/>
  <c r="AJ178" i="2" s="1"/>
  <c r="O179" i="2"/>
  <c r="AJ179" i="2" s="1"/>
  <c r="O180" i="2"/>
  <c r="AJ180" i="2" s="1"/>
  <c r="O181" i="2"/>
  <c r="AJ181" i="2" s="1"/>
  <c r="O182" i="2"/>
  <c r="AJ182" i="2" s="1"/>
  <c r="O183" i="2"/>
  <c r="AJ183" i="2" s="1"/>
  <c r="O184" i="2"/>
  <c r="AJ184" i="2" s="1"/>
  <c r="O185" i="2"/>
  <c r="AJ185" i="2" s="1"/>
  <c r="O186" i="2"/>
  <c r="AJ186" i="2" s="1"/>
  <c r="O187" i="2"/>
  <c r="AJ187" i="2" s="1"/>
  <c r="O188" i="2"/>
  <c r="AJ188" i="2" s="1"/>
  <c r="O189" i="2"/>
  <c r="AJ189" i="2" s="1"/>
  <c r="O190" i="2"/>
  <c r="AJ190" i="2" s="1"/>
  <c r="O191" i="2"/>
  <c r="AJ191" i="2" s="1"/>
  <c r="O192" i="2"/>
  <c r="AJ192" i="2" s="1"/>
  <c r="O193" i="2"/>
  <c r="AJ193" i="2" s="1"/>
  <c r="O194" i="2"/>
  <c r="AJ194" i="2" s="1"/>
  <c r="O195" i="2"/>
  <c r="AJ195" i="2" s="1"/>
  <c r="O196" i="2"/>
  <c r="AJ196" i="2" s="1"/>
  <c r="O197" i="2"/>
  <c r="AJ197" i="2" s="1"/>
  <c r="O198" i="2"/>
  <c r="AJ198" i="2" s="1"/>
  <c r="O199" i="2"/>
  <c r="AJ199" i="2" s="1"/>
  <c r="O200" i="2"/>
  <c r="AJ200" i="2" s="1"/>
  <c r="O201" i="2"/>
  <c r="AJ201" i="2" s="1"/>
  <c r="O202" i="2"/>
  <c r="AJ202" i="2" s="1"/>
  <c r="O203" i="2"/>
  <c r="AJ203" i="2" s="1"/>
  <c r="O204" i="2"/>
  <c r="AJ204" i="2" s="1"/>
  <c r="O205" i="2"/>
  <c r="AJ205" i="2" s="1"/>
  <c r="O206" i="2"/>
  <c r="AJ206" i="2" s="1"/>
  <c r="O207" i="2"/>
  <c r="AJ207" i="2" s="1"/>
  <c r="O208" i="2"/>
  <c r="AJ208" i="2" s="1"/>
  <c r="O209" i="2"/>
  <c r="AJ209" i="2" s="1"/>
  <c r="O210" i="2"/>
  <c r="AJ210" i="2" s="1"/>
  <c r="O211" i="2"/>
  <c r="AJ211" i="2" s="1"/>
  <c r="O212" i="2"/>
  <c r="AJ212" i="2" s="1"/>
  <c r="O213" i="2"/>
  <c r="AJ213" i="2" s="1"/>
  <c r="O214" i="2"/>
  <c r="AJ214" i="2" s="1"/>
  <c r="O215" i="2"/>
  <c r="AJ215" i="2" s="1"/>
  <c r="O216" i="2"/>
  <c r="AJ216" i="2" s="1"/>
  <c r="O217" i="2"/>
  <c r="AJ217" i="2" s="1"/>
  <c r="O218" i="2"/>
  <c r="AJ218" i="2" s="1"/>
  <c r="O219" i="2"/>
  <c r="AJ219" i="2" s="1"/>
  <c r="O220" i="2"/>
  <c r="AJ220" i="2" s="1"/>
  <c r="O221" i="2"/>
  <c r="AJ221" i="2" s="1"/>
  <c r="O222" i="2"/>
  <c r="AJ222" i="2" s="1"/>
  <c r="O223" i="2"/>
  <c r="AJ223" i="2" s="1"/>
  <c r="O224" i="2"/>
  <c r="AJ224" i="2" s="1"/>
  <c r="O225" i="2"/>
  <c r="AJ225" i="2" s="1"/>
  <c r="O226" i="2"/>
  <c r="AJ226" i="2" s="1"/>
  <c r="O227" i="2"/>
  <c r="AJ227" i="2" s="1"/>
  <c r="O228" i="2"/>
  <c r="AJ228" i="2" s="1"/>
  <c r="O229" i="2"/>
  <c r="AJ229" i="2" s="1"/>
  <c r="O230" i="2"/>
  <c r="AJ230" i="2" s="1"/>
  <c r="O231" i="2"/>
  <c r="AJ231" i="2" s="1"/>
  <c r="O232" i="2"/>
  <c r="AJ232" i="2" s="1"/>
  <c r="O233" i="2"/>
  <c r="AJ233" i="2" s="1"/>
  <c r="AK233" i="2" s="1"/>
  <c r="O234" i="2"/>
  <c r="AJ234" i="2" s="1"/>
  <c r="O235" i="2"/>
  <c r="AJ235" i="2" s="1"/>
  <c r="O236" i="2"/>
  <c r="AJ236" i="2" s="1"/>
  <c r="O237" i="2"/>
  <c r="AJ237" i="2" s="1"/>
  <c r="O238" i="2"/>
  <c r="AJ238" i="2" s="1"/>
  <c r="O239" i="2"/>
  <c r="AJ239" i="2" s="1"/>
  <c r="O240" i="2"/>
  <c r="AJ240" i="2" s="1"/>
  <c r="O241" i="2"/>
  <c r="AJ241" i="2" s="1"/>
  <c r="O242" i="2"/>
  <c r="AJ242" i="2" s="1"/>
  <c r="O243" i="2"/>
  <c r="AJ243" i="2" s="1"/>
  <c r="O244" i="2"/>
  <c r="AJ244" i="2" s="1"/>
  <c r="O245" i="2"/>
  <c r="AJ245" i="2" s="1"/>
  <c r="O246" i="2"/>
  <c r="AJ246" i="2" s="1"/>
  <c r="O247" i="2"/>
  <c r="AJ247" i="2" s="1"/>
  <c r="O248" i="2"/>
  <c r="AJ248" i="2" s="1"/>
  <c r="O249" i="2"/>
  <c r="AJ249" i="2" s="1"/>
  <c r="O250" i="2"/>
  <c r="AJ250" i="2" s="1"/>
  <c r="O251" i="2"/>
  <c r="AJ251" i="2" s="1"/>
  <c r="O252" i="2"/>
  <c r="AJ252" i="2" s="1"/>
  <c r="O253" i="2"/>
  <c r="AJ253" i="2" s="1"/>
  <c r="O254" i="2"/>
  <c r="AJ254" i="2" s="1"/>
  <c r="O255" i="2"/>
  <c r="AJ255" i="2" s="1"/>
  <c r="O256" i="2"/>
  <c r="AJ256" i="2" s="1"/>
  <c r="O257" i="2"/>
  <c r="AJ257" i="2" s="1"/>
  <c r="O258" i="2"/>
  <c r="AJ258" i="2" s="1"/>
  <c r="O259" i="2"/>
  <c r="AJ259" i="2" s="1"/>
  <c r="O260" i="2"/>
  <c r="AJ260" i="2" s="1"/>
  <c r="O261" i="2"/>
  <c r="AJ261" i="2" s="1"/>
  <c r="O262" i="2"/>
  <c r="AJ262"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AC3" i="2"/>
  <c r="AC5" i="2"/>
  <c r="F6" i="2"/>
  <c r="AC6" i="2" s="1"/>
  <c r="F7" i="2"/>
  <c r="AC7" i="2" s="1"/>
  <c r="F8" i="2"/>
  <c r="AC8" i="2" s="1"/>
  <c r="F9" i="2"/>
  <c r="AC9" i="2" s="1"/>
  <c r="F10" i="2"/>
  <c r="AC10" i="2" s="1"/>
  <c r="F11" i="2"/>
  <c r="AC11" i="2" s="1"/>
  <c r="F12" i="2"/>
  <c r="AC12" i="2" s="1"/>
  <c r="F13" i="2"/>
  <c r="AC13" i="2" s="1"/>
  <c r="F14" i="2"/>
  <c r="AC14" i="2" s="1"/>
  <c r="F15" i="2"/>
  <c r="AC15" i="2" s="1"/>
  <c r="F16" i="2"/>
  <c r="AC16" i="2" s="1"/>
  <c r="F17" i="2"/>
  <c r="AC17" i="2" s="1"/>
  <c r="F18" i="2"/>
  <c r="AC18" i="2" s="1"/>
  <c r="F19" i="2"/>
  <c r="AC19" i="2" s="1"/>
  <c r="F20" i="2"/>
  <c r="AC20" i="2" s="1"/>
  <c r="F21" i="2"/>
  <c r="AC21" i="2" s="1"/>
  <c r="F22" i="2"/>
  <c r="AC22" i="2" s="1"/>
  <c r="F23" i="2"/>
  <c r="AC23" i="2" s="1"/>
  <c r="F24" i="2"/>
  <c r="AC24" i="2" s="1"/>
  <c r="F25" i="2"/>
  <c r="AC25" i="2" s="1"/>
  <c r="F26" i="2"/>
  <c r="AC26" i="2" s="1"/>
  <c r="F27" i="2"/>
  <c r="AC27" i="2" s="1"/>
  <c r="F28" i="2"/>
  <c r="AC28" i="2" s="1"/>
  <c r="F29" i="2"/>
  <c r="AC29" i="2" s="1"/>
  <c r="F30" i="2"/>
  <c r="AC30" i="2" s="1"/>
  <c r="F31" i="2"/>
  <c r="AC31" i="2" s="1"/>
  <c r="F32" i="2"/>
  <c r="AC32" i="2" s="1"/>
  <c r="F33" i="2"/>
  <c r="AC33" i="2" s="1"/>
  <c r="F34" i="2"/>
  <c r="AC34" i="2" s="1"/>
  <c r="F35" i="2"/>
  <c r="AC35" i="2" s="1"/>
  <c r="F36" i="2"/>
  <c r="AC36" i="2" s="1"/>
  <c r="F37" i="2"/>
  <c r="AC37" i="2" s="1"/>
  <c r="F38" i="2"/>
  <c r="AC38" i="2" s="1"/>
  <c r="F39" i="2"/>
  <c r="AC39" i="2" s="1"/>
  <c r="F40" i="2"/>
  <c r="AC40" i="2" s="1"/>
  <c r="F41" i="2"/>
  <c r="AC41" i="2" s="1"/>
  <c r="F42" i="2"/>
  <c r="AC42" i="2" s="1"/>
  <c r="F43" i="2"/>
  <c r="AC43" i="2" s="1"/>
  <c r="F44" i="2"/>
  <c r="AC44" i="2" s="1"/>
  <c r="F45" i="2"/>
  <c r="AC45" i="2" s="1"/>
  <c r="F46" i="2"/>
  <c r="AC46" i="2" s="1"/>
  <c r="F47" i="2"/>
  <c r="AC47" i="2" s="1"/>
  <c r="F48" i="2"/>
  <c r="AC48" i="2" s="1"/>
  <c r="F49" i="2"/>
  <c r="AC49" i="2" s="1"/>
  <c r="F50" i="2"/>
  <c r="AC50" i="2" s="1"/>
  <c r="F51" i="2"/>
  <c r="AC51" i="2" s="1"/>
  <c r="F52" i="2"/>
  <c r="AC52" i="2" s="1"/>
  <c r="F53" i="2"/>
  <c r="AC53" i="2" s="1"/>
  <c r="F54" i="2"/>
  <c r="AC54" i="2" s="1"/>
  <c r="F55" i="2"/>
  <c r="AC55" i="2" s="1"/>
  <c r="F56" i="2"/>
  <c r="AC56" i="2" s="1"/>
  <c r="F57" i="2"/>
  <c r="AC57" i="2" s="1"/>
  <c r="F58" i="2"/>
  <c r="AC58" i="2" s="1"/>
  <c r="F59" i="2"/>
  <c r="AC59" i="2" s="1"/>
  <c r="F60" i="2"/>
  <c r="AC60" i="2" s="1"/>
  <c r="F61" i="2"/>
  <c r="AC61" i="2" s="1"/>
  <c r="F62" i="2"/>
  <c r="AC62" i="2" s="1"/>
  <c r="F63" i="2"/>
  <c r="AC63" i="2" s="1"/>
  <c r="F64" i="2"/>
  <c r="AC64" i="2" s="1"/>
  <c r="F65" i="2"/>
  <c r="AC65" i="2" s="1"/>
  <c r="F66" i="2"/>
  <c r="AC66" i="2" s="1"/>
  <c r="F67" i="2"/>
  <c r="AC67" i="2" s="1"/>
  <c r="F68" i="2"/>
  <c r="AC68" i="2" s="1"/>
  <c r="F69" i="2"/>
  <c r="AC69" i="2" s="1"/>
  <c r="F70" i="2"/>
  <c r="AC70" i="2" s="1"/>
  <c r="F71" i="2"/>
  <c r="AC71" i="2" s="1"/>
  <c r="F72" i="2"/>
  <c r="AC72" i="2" s="1"/>
  <c r="F73" i="2"/>
  <c r="AC73" i="2" s="1"/>
  <c r="F74" i="2"/>
  <c r="AC74" i="2" s="1"/>
  <c r="F75" i="2"/>
  <c r="AC75" i="2" s="1"/>
  <c r="F76" i="2"/>
  <c r="AC76" i="2" s="1"/>
  <c r="F77" i="2"/>
  <c r="AC77" i="2" s="1"/>
  <c r="F78" i="2"/>
  <c r="AC78" i="2" s="1"/>
  <c r="F79" i="2"/>
  <c r="AC79" i="2" s="1"/>
  <c r="F80" i="2"/>
  <c r="AC80" i="2" s="1"/>
  <c r="F81" i="2"/>
  <c r="AC81" i="2" s="1"/>
  <c r="F82" i="2"/>
  <c r="AC82" i="2" s="1"/>
  <c r="F83" i="2"/>
  <c r="AC83" i="2" s="1"/>
  <c r="F84" i="2"/>
  <c r="AC84" i="2" s="1"/>
  <c r="F85" i="2"/>
  <c r="AC85" i="2" s="1"/>
  <c r="F86" i="2"/>
  <c r="AC86" i="2" s="1"/>
  <c r="F87" i="2"/>
  <c r="AC87" i="2" s="1"/>
  <c r="F88" i="2"/>
  <c r="AC88" i="2" s="1"/>
  <c r="F89" i="2"/>
  <c r="AC89" i="2" s="1"/>
  <c r="F90" i="2"/>
  <c r="AC90" i="2" s="1"/>
  <c r="F91" i="2"/>
  <c r="AC91" i="2" s="1"/>
  <c r="F92" i="2"/>
  <c r="AC92" i="2" s="1"/>
  <c r="F93" i="2"/>
  <c r="AC93" i="2" s="1"/>
  <c r="F94" i="2"/>
  <c r="AC94" i="2" s="1"/>
  <c r="F95" i="2"/>
  <c r="AC95" i="2" s="1"/>
  <c r="F96" i="2"/>
  <c r="AC96" i="2" s="1"/>
  <c r="F97" i="2"/>
  <c r="AC97" i="2" s="1"/>
  <c r="F98" i="2"/>
  <c r="AC98" i="2" s="1"/>
  <c r="F99" i="2"/>
  <c r="AC99" i="2" s="1"/>
  <c r="F100" i="2"/>
  <c r="AC100" i="2" s="1"/>
  <c r="F101" i="2"/>
  <c r="AC101" i="2" s="1"/>
  <c r="F102" i="2"/>
  <c r="AC102" i="2" s="1"/>
  <c r="F103" i="2"/>
  <c r="AC103" i="2" s="1"/>
  <c r="F104" i="2"/>
  <c r="AC104" i="2" s="1"/>
  <c r="F105" i="2"/>
  <c r="AC105" i="2" s="1"/>
  <c r="F106" i="2"/>
  <c r="AC106" i="2" s="1"/>
  <c r="F107" i="2"/>
  <c r="AC107" i="2" s="1"/>
  <c r="F108" i="2"/>
  <c r="AC108" i="2" s="1"/>
  <c r="F109" i="2"/>
  <c r="AC109" i="2" s="1"/>
  <c r="F110" i="2"/>
  <c r="AC110" i="2" s="1"/>
  <c r="F111" i="2"/>
  <c r="AC111" i="2" s="1"/>
  <c r="F112" i="2"/>
  <c r="AC112" i="2" s="1"/>
  <c r="F113" i="2"/>
  <c r="AC113" i="2" s="1"/>
  <c r="F114" i="2"/>
  <c r="AC114" i="2" s="1"/>
  <c r="F115" i="2"/>
  <c r="AC115" i="2" s="1"/>
  <c r="F116" i="2"/>
  <c r="AC116" i="2" s="1"/>
  <c r="F117" i="2"/>
  <c r="AC117" i="2" s="1"/>
  <c r="F118" i="2"/>
  <c r="AC118" i="2" s="1"/>
  <c r="F119" i="2"/>
  <c r="AC119" i="2" s="1"/>
  <c r="F120" i="2"/>
  <c r="AC120" i="2" s="1"/>
  <c r="F121" i="2"/>
  <c r="AC121" i="2" s="1"/>
  <c r="F122" i="2"/>
  <c r="AC122" i="2" s="1"/>
  <c r="F123" i="2"/>
  <c r="AC123" i="2" s="1"/>
  <c r="F124" i="2"/>
  <c r="AC124" i="2" s="1"/>
  <c r="F125" i="2"/>
  <c r="AC125" i="2" s="1"/>
  <c r="F126" i="2"/>
  <c r="AC126" i="2" s="1"/>
  <c r="F127" i="2"/>
  <c r="AC127" i="2" s="1"/>
  <c r="F128" i="2"/>
  <c r="AC128" i="2" s="1"/>
  <c r="F129" i="2"/>
  <c r="AC129" i="2" s="1"/>
  <c r="F130" i="2"/>
  <c r="AC130" i="2" s="1"/>
  <c r="F131" i="2"/>
  <c r="AC131" i="2" s="1"/>
  <c r="F132" i="2"/>
  <c r="AC132" i="2" s="1"/>
  <c r="F133" i="2"/>
  <c r="AC133" i="2" s="1"/>
  <c r="F134" i="2"/>
  <c r="AC134" i="2" s="1"/>
  <c r="F135" i="2"/>
  <c r="AC135" i="2" s="1"/>
  <c r="F136" i="2"/>
  <c r="AC136" i="2" s="1"/>
  <c r="F137" i="2"/>
  <c r="AC137" i="2" s="1"/>
  <c r="F138" i="2"/>
  <c r="AC138" i="2" s="1"/>
  <c r="F139" i="2"/>
  <c r="AC139" i="2" s="1"/>
  <c r="F140" i="2"/>
  <c r="AC140" i="2" s="1"/>
  <c r="F141" i="2"/>
  <c r="AC141" i="2" s="1"/>
  <c r="F142" i="2"/>
  <c r="AC142" i="2" s="1"/>
  <c r="F143" i="2"/>
  <c r="AC143" i="2" s="1"/>
  <c r="F144" i="2"/>
  <c r="AC144" i="2" s="1"/>
  <c r="F145" i="2"/>
  <c r="AC145" i="2" s="1"/>
  <c r="F146" i="2"/>
  <c r="AC146" i="2" s="1"/>
  <c r="F147" i="2"/>
  <c r="AC147" i="2" s="1"/>
  <c r="F148" i="2"/>
  <c r="AC148" i="2" s="1"/>
  <c r="F149" i="2"/>
  <c r="AC149" i="2" s="1"/>
  <c r="F150" i="2"/>
  <c r="AC150" i="2" s="1"/>
  <c r="F151" i="2"/>
  <c r="AC151" i="2" s="1"/>
  <c r="F152" i="2"/>
  <c r="AC152" i="2" s="1"/>
  <c r="F153" i="2"/>
  <c r="AC153" i="2" s="1"/>
  <c r="F154" i="2"/>
  <c r="AC154" i="2" s="1"/>
  <c r="F155" i="2"/>
  <c r="AC155" i="2" s="1"/>
  <c r="F156" i="2"/>
  <c r="AC156" i="2" s="1"/>
  <c r="F157" i="2"/>
  <c r="AC157" i="2" s="1"/>
  <c r="F158" i="2"/>
  <c r="AC158" i="2" s="1"/>
  <c r="F159" i="2"/>
  <c r="AC159" i="2" s="1"/>
  <c r="F160" i="2"/>
  <c r="AC160" i="2" s="1"/>
  <c r="F161" i="2"/>
  <c r="AC161" i="2" s="1"/>
  <c r="F162" i="2"/>
  <c r="AC162" i="2" s="1"/>
  <c r="F163" i="2"/>
  <c r="AC163" i="2" s="1"/>
  <c r="F164" i="2"/>
  <c r="AC164" i="2" s="1"/>
  <c r="F165" i="2"/>
  <c r="AC165" i="2" s="1"/>
  <c r="F166" i="2"/>
  <c r="AC166" i="2" s="1"/>
  <c r="F167" i="2"/>
  <c r="AC167" i="2" s="1"/>
  <c r="F168" i="2"/>
  <c r="AC168" i="2" s="1"/>
  <c r="F169" i="2"/>
  <c r="AC169" i="2" s="1"/>
  <c r="F170" i="2"/>
  <c r="AC170" i="2" s="1"/>
  <c r="F171" i="2"/>
  <c r="AC171" i="2" s="1"/>
  <c r="F172" i="2"/>
  <c r="AC172" i="2" s="1"/>
  <c r="F173" i="2"/>
  <c r="AC173" i="2" s="1"/>
  <c r="F174" i="2"/>
  <c r="AC174" i="2" s="1"/>
  <c r="F175" i="2"/>
  <c r="AC175" i="2" s="1"/>
  <c r="F176" i="2"/>
  <c r="AC176" i="2" s="1"/>
  <c r="F177" i="2"/>
  <c r="AC177" i="2" s="1"/>
  <c r="F178" i="2"/>
  <c r="AC178" i="2" s="1"/>
  <c r="F179" i="2"/>
  <c r="AC179" i="2" s="1"/>
  <c r="F180" i="2"/>
  <c r="AC180" i="2" s="1"/>
  <c r="F181" i="2"/>
  <c r="AC181" i="2" s="1"/>
  <c r="F182" i="2"/>
  <c r="AC182" i="2" s="1"/>
  <c r="F183" i="2"/>
  <c r="AC183" i="2" s="1"/>
  <c r="F184" i="2"/>
  <c r="AC184" i="2" s="1"/>
  <c r="F185" i="2"/>
  <c r="AC185" i="2" s="1"/>
  <c r="F186" i="2"/>
  <c r="AC186" i="2" s="1"/>
  <c r="F187" i="2"/>
  <c r="AC187" i="2" s="1"/>
  <c r="F188" i="2"/>
  <c r="AC188" i="2" s="1"/>
  <c r="F189" i="2"/>
  <c r="AC189" i="2" s="1"/>
  <c r="F190" i="2"/>
  <c r="AC190" i="2" s="1"/>
  <c r="F191" i="2"/>
  <c r="AC191" i="2" s="1"/>
  <c r="F192" i="2"/>
  <c r="AC192" i="2" s="1"/>
  <c r="F193" i="2"/>
  <c r="AC193" i="2" s="1"/>
  <c r="F194" i="2"/>
  <c r="AC194" i="2" s="1"/>
  <c r="F195" i="2"/>
  <c r="AC195" i="2" s="1"/>
  <c r="F196" i="2"/>
  <c r="AC196" i="2" s="1"/>
  <c r="F197" i="2"/>
  <c r="AC197" i="2" s="1"/>
  <c r="F198" i="2"/>
  <c r="AC198" i="2" s="1"/>
  <c r="F199" i="2"/>
  <c r="AC199" i="2" s="1"/>
  <c r="F200" i="2"/>
  <c r="AC200" i="2" s="1"/>
  <c r="F201" i="2"/>
  <c r="AC201" i="2" s="1"/>
  <c r="F202" i="2"/>
  <c r="AC202" i="2" s="1"/>
  <c r="F203" i="2"/>
  <c r="AC203" i="2" s="1"/>
  <c r="F204" i="2"/>
  <c r="AC204" i="2" s="1"/>
  <c r="F205" i="2"/>
  <c r="AC205" i="2" s="1"/>
  <c r="F206" i="2"/>
  <c r="AC206" i="2" s="1"/>
  <c r="F207" i="2"/>
  <c r="AC207" i="2" s="1"/>
  <c r="F208" i="2"/>
  <c r="AC208" i="2" s="1"/>
  <c r="F209" i="2"/>
  <c r="AC209" i="2" s="1"/>
  <c r="F210" i="2"/>
  <c r="AC210" i="2" s="1"/>
  <c r="F211" i="2"/>
  <c r="AC211" i="2" s="1"/>
  <c r="F212" i="2"/>
  <c r="AC212" i="2" s="1"/>
  <c r="F213" i="2"/>
  <c r="AC213" i="2" s="1"/>
  <c r="F214" i="2"/>
  <c r="AC214" i="2" s="1"/>
  <c r="F215" i="2"/>
  <c r="AC215" i="2" s="1"/>
  <c r="F216" i="2"/>
  <c r="AC216" i="2" s="1"/>
  <c r="F217" i="2"/>
  <c r="AC217" i="2" s="1"/>
  <c r="F218" i="2"/>
  <c r="AC218" i="2" s="1"/>
  <c r="F219" i="2"/>
  <c r="AC219" i="2" s="1"/>
  <c r="F220" i="2"/>
  <c r="AC220" i="2" s="1"/>
  <c r="F221" i="2"/>
  <c r="AC221" i="2" s="1"/>
  <c r="F222" i="2"/>
  <c r="AC222" i="2" s="1"/>
  <c r="F223" i="2"/>
  <c r="AC223" i="2" s="1"/>
  <c r="F224" i="2"/>
  <c r="AC224" i="2" s="1"/>
  <c r="F225" i="2"/>
  <c r="AC225" i="2" s="1"/>
  <c r="F226" i="2"/>
  <c r="AC226" i="2" s="1"/>
  <c r="F227" i="2"/>
  <c r="AC227" i="2" s="1"/>
  <c r="F228" i="2"/>
  <c r="AC228" i="2" s="1"/>
  <c r="F229" i="2"/>
  <c r="AC229" i="2" s="1"/>
  <c r="F230" i="2"/>
  <c r="AC230" i="2" s="1"/>
  <c r="F231" i="2"/>
  <c r="AC231" i="2" s="1"/>
  <c r="F232" i="2"/>
  <c r="AC232" i="2" s="1"/>
  <c r="F233" i="2"/>
  <c r="AC233" i="2" s="1"/>
  <c r="F234" i="2"/>
  <c r="AC234" i="2" s="1"/>
  <c r="F235" i="2"/>
  <c r="AC235" i="2" s="1"/>
  <c r="F236" i="2"/>
  <c r="AC236" i="2" s="1"/>
  <c r="F237" i="2"/>
  <c r="AC237" i="2" s="1"/>
  <c r="F238" i="2"/>
  <c r="AC238" i="2" s="1"/>
  <c r="F239" i="2"/>
  <c r="AC239" i="2" s="1"/>
  <c r="F240" i="2"/>
  <c r="AC240" i="2" s="1"/>
  <c r="F241" i="2"/>
  <c r="AC241" i="2" s="1"/>
  <c r="F242" i="2"/>
  <c r="AC242" i="2" s="1"/>
  <c r="F243" i="2"/>
  <c r="AC243" i="2" s="1"/>
  <c r="F244" i="2"/>
  <c r="AC244" i="2" s="1"/>
  <c r="F245" i="2"/>
  <c r="AC245" i="2" s="1"/>
  <c r="F246" i="2"/>
  <c r="AC246" i="2" s="1"/>
  <c r="F247" i="2"/>
  <c r="AC247" i="2" s="1"/>
  <c r="F248" i="2"/>
  <c r="AC248" i="2" s="1"/>
  <c r="F249" i="2"/>
  <c r="AC249" i="2" s="1"/>
  <c r="F250" i="2"/>
  <c r="AC250" i="2" s="1"/>
  <c r="F251" i="2"/>
  <c r="AC251" i="2" s="1"/>
  <c r="F252" i="2"/>
  <c r="AC252" i="2" s="1"/>
  <c r="F253" i="2"/>
  <c r="AC253" i="2" s="1"/>
  <c r="F254" i="2"/>
  <c r="AC254" i="2" s="1"/>
  <c r="F255" i="2"/>
  <c r="AC255" i="2" s="1"/>
  <c r="F256" i="2"/>
  <c r="AC256" i="2" s="1"/>
  <c r="F257" i="2"/>
  <c r="AC257" i="2" s="1"/>
  <c r="F258" i="2"/>
  <c r="AC258" i="2" s="1"/>
  <c r="F259" i="2"/>
  <c r="AC259" i="2" s="1"/>
  <c r="F260" i="2"/>
  <c r="AC260" i="2" s="1"/>
  <c r="F261" i="2"/>
  <c r="AC261" i="2" s="1"/>
  <c r="F262" i="2"/>
  <c r="AC262"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B3" i="2"/>
  <c r="C3" i="2"/>
  <c r="D3" i="2"/>
  <c r="B4" i="2"/>
  <c r="C4" i="2"/>
  <c r="D4" i="2"/>
  <c r="B5" i="2"/>
  <c r="C5" i="2"/>
  <c r="D5" i="2"/>
  <c r="B6" i="2"/>
  <c r="C6" i="2"/>
  <c r="D6" i="2"/>
  <c r="B7" i="2"/>
  <c r="C7" i="2"/>
  <c r="D7" i="2"/>
  <c r="B8" i="2"/>
  <c r="C8" i="2"/>
  <c r="D8" i="2"/>
  <c r="B9" i="2"/>
  <c r="C9" i="2"/>
  <c r="D9" i="2"/>
  <c r="B10" i="2"/>
  <c r="C10" i="2"/>
  <c r="D10" i="2"/>
  <c r="B11" i="2"/>
  <c r="C11" i="2"/>
  <c r="D11" i="2"/>
  <c r="B12" i="2"/>
  <c r="C12" i="2"/>
  <c r="D12" i="2"/>
  <c r="B13" i="2"/>
  <c r="C13" i="2"/>
  <c r="D13" i="2"/>
  <c r="B14" i="2"/>
  <c r="C14" i="2"/>
  <c r="D14" i="2"/>
  <c r="B15" i="2"/>
  <c r="C15" i="2"/>
  <c r="D15" i="2"/>
  <c r="B16" i="2"/>
  <c r="C16" i="2"/>
  <c r="D16" i="2"/>
  <c r="B17" i="2"/>
  <c r="C17" i="2"/>
  <c r="D17" i="2"/>
  <c r="B18" i="2"/>
  <c r="C18" i="2"/>
  <c r="D18" i="2"/>
  <c r="B19" i="2"/>
  <c r="C19" i="2"/>
  <c r="D19" i="2"/>
  <c r="B20" i="2"/>
  <c r="C20" i="2"/>
  <c r="D20" i="2"/>
  <c r="B21" i="2"/>
  <c r="C21" i="2"/>
  <c r="D21" i="2"/>
  <c r="B22" i="2"/>
  <c r="C22" i="2"/>
  <c r="D22" i="2"/>
  <c r="B23" i="2"/>
  <c r="C23" i="2"/>
  <c r="D23" i="2"/>
  <c r="B24" i="2"/>
  <c r="C24" i="2"/>
  <c r="D24" i="2"/>
  <c r="B25" i="2"/>
  <c r="C25" i="2"/>
  <c r="D25" i="2"/>
  <c r="B26" i="2"/>
  <c r="C26" i="2"/>
  <c r="D26" i="2"/>
  <c r="B27" i="2"/>
  <c r="C27" i="2"/>
  <c r="D27" i="2"/>
  <c r="B28" i="2"/>
  <c r="C28" i="2"/>
  <c r="D28" i="2"/>
  <c r="B29" i="2"/>
  <c r="C29" i="2"/>
  <c r="D29" i="2"/>
  <c r="B30" i="2"/>
  <c r="C30" i="2"/>
  <c r="D30" i="2"/>
  <c r="B31" i="2"/>
  <c r="C31" i="2"/>
  <c r="D31" i="2"/>
  <c r="B32" i="2"/>
  <c r="C32" i="2"/>
  <c r="D32" i="2"/>
  <c r="B33" i="2"/>
  <c r="C33" i="2"/>
  <c r="D33" i="2"/>
  <c r="B34" i="2"/>
  <c r="C34" i="2"/>
  <c r="D34" i="2"/>
  <c r="B35" i="2"/>
  <c r="C35" i="2"/>
  <c r="D35" i="2"/>
  <c r="B36" i="2"/>
  <c r="C36" i="2"/>
  <c r="D36" i="2"/>
  <c r="B37" i="2"/>
  <c r="C37" i="2"/>
  <c r="D37" i="2"/>
  <c r="B38" i="2"/>
  <c r="C38" i="2"/>
  <c r="D38" i="2"/>
  <c r="B39" i="2"/>
  <c r="C39" i="2"/>
  <c r="D39" i="2"/>
  <c r="B40" i="2"/>
  <c r="C40" i="2"/>
  <c r="D40" i="2"/>
  <c r="B41" i="2"/>
  <c r="C41" i="2"/>
  <c r="D41" i="2"/>
  <c r="B42" i="2"/>
  <c r="C42" i="2"/>
  <c r="D42" i="2"/>
  <c r="B43" i="2"/>
  <c r="C43" i="2"/>
  <c r="D43" i="2"/>
  <c r="B44" i="2"/>
  <c r="C44" i="2"/>
  <c r="D44" i="2"/>
  <c r="B45" i="2"/>
  <c r="C45" i="2"/>
  <c r="D45" i="2"/>
  <c r="B46" i="2"/>
  <c r="C46" i="2"/>
  <c r="D46" i="2"/>
  <c r="B47" i="2"/>
  <c r="C47" i="2"/>
  <c r="D47" i="2"/>
  <c r="B48" i="2"/>
  <c r="C48" i="2"/>
  <c r="D48" i="2"/>
  <c r="B49" i="2"/>
  <c r="C49" i="2"/>
  <c r="D49" i="2"/>
  <c r="B50" i="2"/>
  <c r="C50" i="2"/>
  <c r="D50" i="2"/>
  <c r="B51" i="2"/>
  <c r="C51" i="2"/>
  <c r="D51" i="2"/>
  <c r="B52" i="2"/>
  <c r="C52" i="2"/>
  <c r="D52" i="2"/>
  <c r="B53" i="2"/>
  <c r="C53" i="2"/>
  <c r="D53" i="2"/>
  <c r="B54" i="2"/>
  <c r="C54" i="2"/>
  <c r="D54" i="2"/>
  <c r="B55" i="2"/>
  <c r="C55" i="2"/>
  <c r="D55" i="2"/>
  <c r="B56" i="2"/>
  <c r="C56" i="2"/>
  <c r="D56" i="2"/>
  <c r="B57" i="2"/>
  <c r="C57" i="2"/>
  <c r="D57" i="2"/>
  <c r="B58" i="2"/>
  <c r="C58" i="2"/>
  <c r="D58" i="2"/>
  <c r="B59" i="2"/>
  <c r="C59" i="2"/>
  <c r="D59" i="2"/>
  <c r="B60" i="2"/>
  <c r="C60" i="2"/>
  <c r="D60" i="2"/>
  <c r="B61" i="2"/>
  <c r="C61" i="2"/>
  <c r="D61" i="2"/>
  <c r="B62" i="2"/>
  <c r="C62" i="2"/>
  <c r="D62" i="2"/>
  <c r="B63" i="2"/>
  <c r="C63" i="2"/>
  <c r="D63" i="2"/>
  <c r="B64" i="2"/>
  <c r="C64" i="2"/>
  <c r="D64" i="2"/>
  <c r="B65" i="2"/>
  <c r="C65" i="2"/>
  <c r="D65" i="2"/>
  <c r="B66" i="2"/>
  <c r="C66" i="2"/>
  <c r="D66" i="2"/>
  <c r="B67" i="2"/>
  <c r="C67" i="2"/>
  <c r="D67" i="2"/>
  <c r="B68" i="2"/>
  <c r="C68" i="2"/>
  <c r="D68" i="2"/>
  <c r="B69" i="2"/>
  <c r="C69" i="2"/>
  <c r="D69" i="2"/>
  <c r="B70" i="2"/>
  <c r="C70" i="2"/>
  <c r="D70" i="2"/>
  <c r="B71" i="2"/>
  <c r="C71" i="2"/>
  <c r="D71" i="2"/>
  <c r="B72" i="2"/>
  <c r="C72" i="2"/>
  <c r="D72" i="2"/>
  <c r="B73" i="2"/>
  <c r="C73" i="2"/>
  <c r="D73" i="2"/>
  <c r="B74" i="2"/>
  <c r="C74" i="2"/>
  <c r="D74" i="2"/>
  <c r="B75" i="2"/>
  <c r="C75" i="2"/>
  <c r="D75" i="2"/>
  <c r="B76" i="2"/>
  <c r="C76" i="2"/>
  <c r="D76" i="2"/>
  <c r="B77" i="2"/>
  <c r="C77" i="2"/>
  <c r="D77" i="2"/>
  <c r="B78" i="2"/>
  <c r="C78" i="2"/>
  <c r="D78" i="2"/>
  <c r="B79" i="2"/>
  <c r="C79" i="2"/>
  <c r="D79" i="2"/>
  <c r="B80" i="2"/>
  <c r="C80" i="2"/>
  <c r="D80" i="2"/>
  <c r="B81" i="2"/>
  <c r="C81" i="2"/>
  <c r="D81" i="2"/>
  <c r="B82" i="2"/>
  <c r="C82" i="2"/>
  <c r="D82" i="2"/>
  <c r="B83" i="2"/>
  <c r="C83" i="2"/>
  <c r="D83" i="2"/>
  <c r="B84" i="2"/>
  <c r="C84" i="2"/>
  <c r="D84" i="2"/>
  <c r="B85" i="2"/>
  <c r="C85" i="2"/>
  <c r="D85" i="2"/>
  <c r="B86" i="2"/>
  <c r="C86" i="2"/>
  <c r="D86" i="2"/>
  <c r="B87" i="2"/>
  <c r="C87" i="2"/>
  <c r="D87" i="2"/>
  <c r="B88" i="2"/>
  <c r="C88" i="2"/>
  <c r="D88" i="2"/>
  <c r="B89" i="2"/>
  <c r="C89" i="2"/>
  <c r="D89" i="2"/>
  <c r="B90" i="2"/>
  <c r="C90" i="2"/>
  <c r="D90" i="2"/>
  <c r="B91" i="2"/>
  <c r="C91" i="2"/>
  <c r="D91" i="2"/>
  <c r="B92" i="2"/>
  <c r="C92" i="2"/>
  <c r="D92" i="2"/>
  <c r="B93" i="2"/>
  <c r="C93" i="2"/>
  <c r="D93" i="2"/>
  <c r="B94" i="2"/>
  <c r="C94" i="2"/>
  <c r="D94" i="2"/>
  <c r="B95" i="2"/>
  <c r="C95" i="2"/>
  <c r="D95" i="2"/>
  <c r="B96" i="2"/>
  <c r="C96" i="2"/>
  <c r="D96" i="2"/>
  <c r="B97" i="2"/>
  <c r="C97" i="2"/>
  <c r="D97" i="2"/>
  <c r="B98" i="2"/>
  <c r="C98" i="2"/>
  <c r="D98" i="2"/>
  <c r="B99" i="2"/>
  <c r="C99" i="2"/>
  <c r="D99" i="2"/>
  <c r="B100" i="2"/>
  <c r="C100" i="2"/>
  <c r="D100" i="2"/>
  <c r="B101" i="2"/>
  <c r="C101" i="2"/>
  <c r="D101" i="2"/>
  <c r="B102" i="2"/>
  <c r="C102" i="2"/>
  <c r="D102" i="2"/>
  <c r="B103" i="2"/>
  <c r="C103" i="2"/>
  <c r="D103" i="2"/>
  <c r="B104" i="2"/>
  <c r="C104" i="2"/>
  <c r="D104" i="2"/>
  <c r="B105" i="2"/>
  <c r="C105" i="2"/>
  <c r="D105" i="2"/>
  <c r="B106" i="2"/>
  <c r="C106" i="2"/>
  <c r="D106" i="2"/>
  <c r="B107" i="2"/>
  <c r="C107" i="2"/>
  <c r="D107" i="2"/>
  <c r="B108" i="2"/>
  <c r="C108" i="2"/>
  <c r="D108" i="2"/>
  <c r="B109" i="2"/>
  <c r="C109" i="2"/>
  <c r="D109" i="2"/>
  <c r="B110" i="2"/>
  <c r="C110" i="2"/>
  <c r="D110" i="2"/>
  <c r="B111" i="2"/>
  <c r="C111" i="2"/>
  <c r="D111" i="2"/>
  <c r="B112" i="2"/>
  <c r="C112" i="2"/>
  <c r="D112" i="2"/>
  <c r="B113" i="2"/>
  <c r="C113" i="2"/>
  <c r="D113" i="2"/>
  <c r="B114" i="2"/>
  <c r="C114" i="2"/>
  <c r="D114" i="2"/>
  <c r="B115" i="2"/>
  <c r="C115" i="2"/>
  <c r="D115" i="2"/>
  <c r="B116" i="2"/>
  <c r="C116" i="2"/>
  <c r="D116" i="2"/>
  <c r="B117" i="2"/>
  <c r="C117" i="2"/>
  <c r="D117" i="2"/>
  <c r="B118" i="2"/>
  <c r="C118" i="2"/>
  <c r="D118" i="2"/>
  <c r="B119" i="2"/>
  <c r="C119" i="2"/>
  <c r="D119" i="2"/>
  <c r="B120" i="2"/>
  <c r="C120" i="2"/>
  <c r="D120" i="2"/>
  <c r="B121" i="2"/>
  <c r="C121" i="2"/>
  <c r="D121" i="2"/>
  <c r="B122" i="2"/>
  <c r="C122" i="2"/>
  <c r="D122" i="2"/>
  <c r="B123" i="2"/>
  <c r="C123" i="2"/>
  <c r="D123" i="2"/>
  <c r="B124" i="2"/>
  <c r="C124" i="2"/>
  <c r="D124" i="2"/>
  <c r="B125" i="2"/>
  <c r="C125" i="2"/>
  <c r="D125" i="2"/>
  <c r="B126" i="2"/>
  <c r="C126" i="2"/>
  <c r="D126" i="2"/>
  <c r="B127" i="2"/>
  <c r="C127" i="2"/>
  <c r="D127" i="2"/>
  <c r="B128" i="2"/>
  <c r="C128" i="2"/>
  <c r="D128" i="2"/>
  <c r="B129" i="2"/>
  <c r="C129" i="2"/>
  <c r="D129" i="2"/>
  <c r="B130" i="2"/>
  <c r="C130" i="2"/>
  <c r="D130" i="2"/>
  <c r="B131" i="2"/>
  <c r="C131" i="2"/>
  <c r="D131" i="2"/>
  <c r="B132" i="2"/>
  <c r="C132" i="2"/>
  <c r="D132" i="2"/>
  <c r="B133" i="2"/>
  <c r="C133" i="2"/>
  <c r="D133" i="2"/>
  <c r="B134" i="2"/>
  <c r="C134" i="2"/>
  <c r="D134" i="2"/>
  <c r="B135" i="2"/>
  <c r="C135" i="2"/>
  <c r="D135" i="2"/>
  <c r="B136" i="2"/>
  <c r="C136" i="2"/>
  <c r="D136" i="2"/>
  <c r="B137" i="2"/>
  <c r="C137" i="2"/>
  <c r="D137" i="2"/>
  <c r="B138" i="2"/>
  <c r="C138" i="2"/>
  <c r="D138" i="2"/>
  <c r="B139" i="2"/>
  <c r="C139" i="2"/>
  <c r="D139" i="2"/>
  <c r="B140" i="2"/>
  <c r="C140" i="2"/>
  <c r="D140" i="2"/>
  <c r="B141" i="2"/>
  <c r="C141" i="2"/>
  <c r="D141" i="2"/>
  <c r="B142" i="2"/>
  <c r="C142" i="2"/>
  <c r="D142" i="2"/>
  <c r="B143" i="2"/>
  <c r="C143" i="2"/>
  <c r="D143" i="2"/>
  <c r="B144" i="2"/>
  <c r="C144" i="2"/>
  <c r="D144" i="2"/>
  <c r="B145" i="2"/>
  <c r="C145" i="2"/>
  <c r="D145" i="2"/>
  <c r="B146" i="2"/>
  <c r="C146" i="2"/>
  <c r="D146" i="2"/>
  <c r="B147" i="2"/>
  <c r="C147" i="2"/>
  <c r="D147" i="2"/>
  <c r="B148" i="2"/>
  <c r="C148" i="2"/>
  <c r="D148" i="2"/>
  <c r="B149" i="2"/>
  <c r="C149" i="2"/>
  <c r="D149" i="2"/>
  <c r="B150" i="2"/>
  <c r="C150" i="2"/>
  <c r="D150" i="2"/>
  <c r="B151" i="2"/>
  <c r="C151" i="2"/>
  <c r="D151" i="2"/>
  <c r="B152" i="2"/>
  <c r="C152" i="2"/>
  <c r="D152" i="2"/>
  <c r="B153" i="2"/>
  <c r="C153" i="2"/>
  <c r="D153" i="2"/>
  <c r="B154" i="2"/>
  <c r="C154" i="2"/>
  <c r="D154" i="2"/>
  <c r="B155" i="2"/>
  <c r="C155" i="2"/>
  <c r="D155" i="2"/>
  <c r="B156" i="2"/>
  <c r="C156" i="2"/>
  <c r="D156" i="2"/>
  <c r="B157" i="2"/>
  <c r="C157" i="2"/>
  <c r="D157" i="2"/>
  <c r="B158" i="2"/>
  <c r="C158" i="2"/>
  <c r="D158" i="2"/>
  <c r="B159" i="2"/>
  <c r="C159" i="2"/>
  <c r="D159" i="2"/>
  <c r="B160" i="2"/>
  <c r="C160" i="2"/>
  <c r="D160" i="2"/>
  <c r="B161" i="2"/>
  <c r="C161" i="2"/>
  <c r="D161" i="2"/>
  <c r="B162" i="2"/>
  <c r="C162" i="2"/>
  <c r="D162" i="2"/>
  <c r="B163" i="2"/>
  <c r="C163" i="2"/>
  <c r="D163" i="2"/>
  <c r="B164" i="2"/>
  <c r="C164" i="2"/>
  <c r="D164" i="2"/>
  <c r="B165" i="2"/>
  <c r="C165" i="2"/>
  <c r="D165" i="2"/>
  <c r="B166" i="2"/>
  <c r="C166" i="2"/>
  <c r="D166" i="2"/>
  <c r="B167" i="2"/>
  <c r="C167" i="2"/>
  <c r="D167" i="2"/>
  <c r="B168" i="2"/>
  <c r="C168" i="2"/>
  <c r="D168" i="2"/>
  <c r="B169" i="2"/>
  <c r="C169" i="2"/>
  <c r="D169" i="2"/>
  <c r="B170" i="2"/>
  <c r="C170" i="2"/>
  <c r="D170" i="2"/>
  <c r="B171" i="2"/>
  <c r="C171" i="2"/>
  <c r="D171" i="2"/>
  <c r="B172" i="2"/>
  <c r="C172" i="2"/>
  <c r="D172" i="2"/>
  <c r="B173" i="2"/>
  <c r="C173" i="2"/>
  <c r="D173" i="2"/>
  <c r="B174" i="2"/>
  <c r="C174" i="2"/>
  <c r="D174" i="2"/>
  <c r="B175" i="2"/>
  <c r="C175" i="2"/>
  <c r="D175" i="2"/>
  <c r="B176" i="2"/>
  <c r="C176" i="2"/>
  <c r="D176" i="2"/>
  <c r="B177" i="2"/>
  <c r="C177" i="2"/>
  <c r="D177" i="2"/>
  <c r="B178" i="2"/>
  <c r="C178" i="2"/>
  <c r="D178" i="2"/>
  <c r="B179" i="2"/>
  <c r="C179" i="2"/>
  <c r="D179" i="2"/>
  <c r="B180" i="2"/>
  <c r="C180" i="2"/>
  <c r="D180" i="2"/>
  <c r="B181" i="2"/>
  <c r="C181" i="2"/>
  <c r="D181" i="2"/>
  <c r="B182" i="2"/>
  <c r="C182" i="2"/>
  <c r="D182" i="2"/>
  <c r="B183" i="2"/>
  <c r="C183" i="2"/>
  <c r="D183" i="2"/>
  <c r="B184" i="2"/>
  <c r="C184" i="2"/>
  <c r="D184" i="2"/>
  <c r="B185" i="2"/>
  <c r="C185" i="2"/>
  <c r="D185" i="2"/>
  <c r="B186" i="2"/>
  <c r="C186" i="2"/>
  <c r="D186" i="2"/>
  <c r="B187" i="2"/>
  <c r="C187" i="2"/>
  <c r="D187" i="2"/>
  <c r="B188" i="2"/>
  <c r="C188" i="2"/>
  <c r="D188" i="2"/>
  <c r="B189" i="2"/>
  <c r="C189" i="2"/>
  <c r="D189" i="2"/>
  <c r="B190" i="2"/>
  <c r="C190" i="2"/>
  <c r="D190" i="2"/>
  <c r="B191" i="2"/>
  <c r="C191" i="2"/>
  <c r="D191" i="2"/>
  <c r="B192" i="2"/>
  <c r="C192" i="2"/>
  <c r="D192" i="2"/>
  <c r="B193" i="2"/>
  <c r="C193" i="2"/>
  <c r="D193" i="2"/>
  <c r="B194" i="2"/>
  <c r="C194" i="2"/>
  <c r="D194" i="2"/>
  <c r="B195" i="2"/>
  <c r="C195" i="2"/>
  <c r="D195" i="2"/>
  <c r="B196" i="2"/>
  <c r="C196" i="2"/>
  <c r="D196" i="2"/>
  <c r="B197" i="2"/>
  <c r="C197" i="2"/>
  <c r="D197" i="2"/>
  <c r="B198" i="2"/>
  <c r="C198" i="2"/>
  <c r="D198" i="2"/>
  <c r="B199" i="2"/>
  <c r="C199" i="2"/>
  <c r="D199" i="2"/>
  <c r="B200" i="2"/>
  <c r="C200" i="2"/>
  <c r="D200" i="2"/>
  <c r="B201" i="2"/>
  <c r="C201" i="2"/>
  <c r="D201" i="2"/>
  <c r="B202" i="2"/>
  <c r="C202" i="2"/>
  <c r="D202" i="2"/>
  <c r="B203" i="2"/>
  <c r="C203" i="2"/>
  <c r="D203" i="2"/>
  <c r="B204" i="2"/>
  <c r="C204" i="2"/>
  <c r="D204" i="2"/>
  <c r="B205" i="2"/>
  <c r="C205" i="2"/>
  <c r="D205" i="2"/>
  <c r="B206" i="2"/>
  <c r="C206" i="2"/>
  <c r="D206" i="2"/>
  <c r="B207" i="2"/>
  <c r="C207" i="2"/>
  <c r="D207" i="2"/>
  <c r="B208" i="2"/>
  <c r="C208" i="2"/>
  <c r="D208" i="2"/>
  <c r="B209" i="2"/>
  <c r="C209" i="2"/>
  <c r="D209" i="2"/>
  <c r="B210" i="2"/>
  <c r="C210" i="2"/>
  <c r="D210" i="2"/>
  <c r="B211" i="2"/>
  <c r="C211" i="2"/>
  <c r="D211" i="2"/>
  <c r="B212" i="2"/>
  <c r="C212" i="2"/>
  <c r="D212" i="2"/>
  <c r="B213" i="2"/>
  <c r="C213" i="2"/>
  <c r="D213" i="2"/>
  <c r="B214" i="2"/>
  <c r="C214" i="2"/>
  <c r="D214" i="2"/>
  <c r="B215" i="2"/>
  <c r="C215" i="2"/>
  <c r="D215" i="2"/>
  <c r="B216" i="2"/>
  <c r="C216" i="2"/>
  <c r="D216" i="2"/>
  <c r="B217" i="2"/>
  <c r="C217" i="2"/>
  <c r="D217" i="2"/>
  <c r="B218" i="2"/>
  <c r="C218" i="2"/>
  <c r="D218" i="2"/>
  <c r="B219" i="2"/>
  <c r="C219" i="2"/>
  <c r="D219" i="2"/>
  <c r="B220" i="2"/>
  <c r="C220" i="2"/>
  <c r="D220" i="2"/>
  <c r="B221" i="2"/>
  <c r="C221" i="2"/>
  <c r="D221" i="2"/>
  <c r="B222" i="2"/>
  <c r="C222" i="2"/>
  <c r="D222" i="2"/>
  <c r="B223" i="2"/>
  <c r="C223" i="2"/>
  <c r="D223" i="2"/>
  <c r="B224" i="2"/>
  <c r="C224" i="2"/>
  <c r="D224" i="2"/>
  <c r="B225" i="2"/>
  <c r="C225" i="2"/>
  <c r="D225" i="2"/>
  <c r="B226" i="2"/>
  <c r="C226" i="2"/>
  <c r="D226" i="2"/>
  <c r="B227" i="2"/>
  <c r="C227" i="2"/>
  <c r="D227" i="2"/>
  <c r="B228" i="2"/>
  <c r="C228" i="2"/>
  <c r="D228" i="2"/>
  <c r="B229" i="2"/>
  <c r="C229" i="2"/>
  <c r="D229" i="2"/>
  <c r="B230" i="2"/>
  <c r="C230" i="2"/>
  <c r="D230" i="2"/>
  <c r="B231" i="2"/>
  <c r="C231" i="2"/>
  <c r="D231" i="2"/>
  <c r="B232" i="2"/>
  <c r="C232" i="2"/>
  <c r="D232" i="2"/>
  <c r="B233" i="2"/>
  <c r="C233" i="2"/>
  <c r="D233" i="2"/>
  <c r="B234" i="2"/>
  <c r="C234" i="2"/>
  <c r="D234" i="2"/>
  <c r="B235" i="2"/>
  <c r="C235" i="2"/>
  <c r="D235" i="2"/>
  <c r="B236" i="2"/>
  <c r="C236" i="2"/>
  <c r="D236" i="2"/>
  <c r="B237" i="2"/>
  <c r="C237" i="2"/>
  <c r="D237" i="2"/>
  <c r="B238" i="2"/>
  <c r="C238" i="2"/>
  <c r="D238" i="2"/>
  <c r="B239" i="2"/>
  <c r="C239" i="2"/>
  <c r="D239" i="2"/>
  <c r="B240" i="2"/>
  <c r="C240" i="2"/>
  <c r="D240" i="2"/>
  <c r="B241" i="2"/>
  <c r="C241" i="2"/>
  <c r="D241" i="2"/>
  <c r="B242" i="2"/>
  <c r="C242" i="2"/>
  <c r="D242" i="2"/>
  <c r="B243" i="2"/>
  <c r="C243" i="2"/>
  <c r="D243" i="2"/>
  <c r="B244" i="2"/>
  <c r="C244" i="2"/>
  <c r="D244" i="2"/>
  <c r="B245" i="2"/>
  <c r="C245" i="2"/>
  <c r="D245" i="2"/>
  <c r="B246" i="2"/>
  <c r="C246" i="2"/>
  <c r="D246" i="2"/>
  <c r="B247" i="2"/>
  <c r="C247" i="2"/>
  <c r="D247" i="2"/>
  <c r="B248" i="2"/>
  <c r="C248" i="2"/>
  <c r="D248" i="2"/>
  <c r="B249" i="2"/>
  <c r="C249" i="2"/>
  <c r="D249" i="2"/>
  <c r="B250" i="2"/>
  <c r="C250" i="2"/>
  <c r="D250" i="2"/>
  <c r="B251" i="2"/>
  <c r="C251" i="2"/>
  <c r="D251" i="2"/>
  <c r="B252" i="2"/>
  <c r="C252" i="2"/>
  <c r="D252" i="2"/>
  <c r="B253" i="2"/>
  <c r="C253" i="2"/>
  <c r="D253" i="2"/>
  <c r="B254" i="2"/>
  <c r="C254" i="2"/>
  <c r="D254" i="2"/>
  <c r="B255" i="2"/>
  <c r="C255" i="2"/>
  <c r="D255" i="2"/>
  <c r="B256" i="2"/>
  <c r="C256" i="2"/>
  <c r="D256" i="2"/>
  <c r="B257" i="2"/>
  <c r="C257" i="2"/>
  <c r="D257" i="2"/>
  <c r="B258" i="2"/>
  <c r="C258" i="2"/>
  <c r="D258" i="2"/>
  <c r="B259" i="2"/>
  <c r="C259" i="2"/>
  <c r="D259" i="2"/>
  <c r="B260" i="2"/>
  <c r="C260" i="2"/>
  <c r="D260" i="2"/>
  <c r="B261" i="2"/>
  <c r="C261" i="2"/>
  <c r="D261" i="2"/>
  <c r="B262" i="2"/>
  <c r="C262" i="2"/>
  <c r="D26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F354" i="40" l="1"/>
  <c r="F355" i="40"/>
  <c r="B24" i="19"/>
  <c r="B319" i="40"/>
  <c r="D332" i="40"/>
  <c r="AG268" i="2"/>
  <c r="F3" i="27" a="1"/>
  <c r="A3" i="27" a="1"/>
  <c r="A3" i="27" s="1"/>
  <c r="AF268" i="2"/>
  <c r="B19" i="19"/>
  <c r="B321" i="40" s="1"/>
  <c r="Z268" i="2"/>
  <c r="AA268" i="2"/>
  <c r="AG269" i="2"/>
  <c r="AF269" i="2"/>
  <c r="AA269" i="2"/>
  <c r="Z269" i="2"/>
  <c r="AK54" i="2"/>
  <c r="AL54" i="2"/>
  <c r="AK254" i="2"/>
  <c r="AL254" i="2"/>
  <c r="AK234" i="2"/>
  <c r="AL234" i="2"/>
  <c r="AK213" i="2"/>
  <c r="AL213" i="2"/>
  <c r="AK193" i="2"/>
  <c r="AL193" i="2"/>
  <c r="AK173" i="2"/>
  <c r="AL173" i="2"/>
  <c r="AK153" i="2"/>
  <c r="AL153" i="2"/>
  <c r="AK133" i="2"/>
  <c r="AL133" i="2"/>
  <c r="AK113" i="2"/>
  <c r="AL113" i="2"/>
  <c r="AK93" i="2"/>
  <c r="AL93" i="2"/>
  <c r="AK73" i="2"/>
  <c r="AL73" i="2"/>
  <c r="AK53" i="2"/>
  <c r="AL53" i="2"/>
  <c r="AK33" i="2"/>
  <c r="AL33" i="2"/>
  <c r="AK13" i="2"/>
  <c r="AL13" i="2"/>
  <c r="AL14" i="2"/>
  <c r="AK14" i="2"/>
  <c r="AK253" i="2"/>
  <c r="AL253" i="2"/>
  <c r="AL232" i="2"/>
  <c r="AK232" i="2"/>
  <c r="AL212" i="2"/>
  <c r="AK212" i="2"/>
  <c r="AL192" i="2"/>
  <c r="AK192" i="2"/>
  <c r="AL172" i="2"/>
  <c r="AK172" i="2"/>
  <c r="AL152" i="2"/>
  <c r="AK152" i="2"/>
  <c r="AL132" i="2"/>
  <c r="AK132" i="2"/>
  <c r="AL112" i="2"/>
  <c r="AK112" i="2"/>
  <c r="AL92" i="2"/>
  <c r="AK92" i="2"/>
  <c r="AL72" i="2"/>
  <c r="AK72" i="2"/>
  <c r="AL52" i="2"/>
  <c r="AK52" i="2"/>
  <c r="AL32" i="2"/>
  <c r="AK32" i="2"/>
  <c r="AL12" i="2"/>
  <c r="AK12" i="2"/>
  <c r="AK214" i="2"/>
  <c r="AL214" i="2"/>
  <c r="AL252" i="2"/>
  <c r="AK252" i="2"/>
  <c r="AL231" i="2"/>
  <c r="AK231" i="2"/>
  <c r="AL211" i="2"/>
  <c r="AK211" i="2"/>
  <c r="AK191" i="2"/>
  <c r="AL191" i="2"/>
  <c r="AL171" i="2"/>
  <c r="AK171" i="2"/>
  <c r="AK151" i="2"/>
  <c r="AL151" i="2"/>
  <c r="AK131" i="2"/>
  <c r="AL131" i="2"/>
  <c r="AL111" i="2"/>
  <c r="AK111" i="2"/>
  <c r="AK91" i="2"/>
  <c r="AL91" i="2"/>
  <c r="AL71" i="2"/>
  <c r="AK71" i="2"/>
  <c r="AL51" i="2"/>
  <c r="AK51" i="2"/>
  <c r="AK31" i="2"/>
  <c r="AL31" i="2"/>
  <c r="AL11" i="2"/>
  <c r="AK11" i="2"/>
  <c r="AL233" i="2"/>
  <c r="AK194" i="2"/>
  <c r="AL194" i="2"/>
  <c r="AK251" i="2"/>
  <c r="AL251" i="2"/>
  <c r="AL230" i="2"/>
  <c r="AK230" i="2"/>
  <c r="AL210" i="2"/>
  <c r="AK210" i="2"/>
  <c r="AK190" i="2"/>
  <c r="AL190" i="2"/>
  <c r="AK170" i="2"/>
  <c r="AL170" i="2"/>
  <c r="AK150" i="2"/>
  <c r="AL150" i="2"/>
  <c r="AK130" i="2"/>
  <c r="AL130" i="2"/>
  <c r="AL110" i="2"/>
  <c r="AK110" i="2"/>
  <c r="AK90" i="2"/>
  <c r="AL90" i="2"/>
  <c r="AK70" i="2"/>
  <c r="AL70" i="2"/>
  <c r="AL50" i="2"/>
  <c r="AK50" i="2"/>
  <c r="AL30" i="2"/>
  <c r="AK30" i="2"/>
  <c r="AK10" i="2"/>
  <c r="AL10" i="2"/>
  <c r="AL250" i="2"/>
  <c r="AK250" i="2"/>
  <c r="AK189" i="2"/>
  <c r="AL189" i="2"/>
  <c r="AL129" i="2"/>
  <c r="AK129" i="2"/>
  <c r="AL89" i="2"/>
  <c r="AK89" i="2"/>
  <c r="AK69" i="2"/>
  <c r="AL69" i="2"/>
  <c r="AL29" i="2"/>
  <c r="AK29" i="2"/>
  <c r="AK9" i="2"/>
  <c r="AL9" i="2"/>
  <c r="AK249" i="2"/>
  <c r="AL249" i="2"/>
  <c r="AK228" i="2"/>
  <c r="AL228" i="2"/>
  <c r="AK208" i="2"/>
  <c r="AL208" i="2"/>
  <c r="AK188" i="2"/>
  <c r="AL188" i="2"/>
  <c r="AK168" i="2"/>
  <c r="AL168" i="2"/>
  <c r="AK148" i="2"/>
  <c r="AL148" i="2"/>
  <c r="AK128" i="2"/>
  <c r="AL128" i="2"/>
  <c r="AK108" i="2"/>
  <c r="AL108" i="2"/>
  <c r="AK88" i="2"/>
  <c r="AL88" i="2"/>
  <c r="AK68" i="2"/>
  <c r="AL68" i="2"/>
  <c r="AK48" i="2"/>
  <c r="AL48" i="2"/>
  <c r="AK28" i="2"/>
  <c r="AL28" i="2"/>
  <c r="AK8" i="2"/>
  <c r="AL8" i="2"/>
  <c r="J3" i="21" a="1"/>
  <c r="J3" i="21" s="1"/>
  <c r="AK229" i="2"/>
  <c r="AL229" i="2"/>
  <c r="AL149" i="2"/>
  <c r="AK149" i="2"/>
  <c r="AL109" i="2"/>
  <c r="AK109" i="2"/>
  <c r="AL49" i="2"/>
  <c r="AK49" i="2"/>
  <c r="AK248" i="2"/>
  <c r="AL248" i="2"/>
  <c r="AK227" i="2"/>
  <c r="AL227" i="2"/>
  <c r="AK207" i="2"/>
  <c r="AL207" i="2"/>
  <c r="AK187" i="2"/>
  <c r="AL187" i="2"/>
  <c r="AL167" i="2"/>
  <c r="AK167" i="2"/>
  <c r="AL147" i="2"/>
  <c r="AK147" i="2"/>
  <c r="AL127" i="2"/>
  <c r="AK127" i="2"/>
  <c r="AK107" i="2"/>
  <c r="AL107" i="2"/>
  <c r="AK87" i="2"/>
  <c r="AL87" i="2"/>
  <c r="AK67" i="2"/>
  <c r="AL67" i="2"/>
  <c r="AL47" i="2"/>
  <c r="AK47" i="2"/>
  <c r="AK27" i="2"/>
  <c r="AL27" i="2"/>
  <c r="AL7" i="2"/>
  <c r="AK7" i="2"/>
  <c r="AK169" i="2"/>
  <c r="AL169" i="2"/>
  <c r="AL247" i="2"/>
  <c r="AK247" i="2"/>
  <c r="AL226" i="2"/>
  <c r="AK226" i="2"/>
  <c r="AK206" i="2"/>
  <c r="AL206" i="2"/>
  <c r="AL186" i="2"/>
  <c r="AK186" i="2"/>
  <c r="AK166" i="2"/>
  <c r="AL166" i="2"/>
  <c r="AL146" i="2"/>
  <c r="AK146" i="2"/>
  <c r="AK126" i="2"/>
  <c r="AL126" i="2"/>
  <c r="AK106" i="2"/>
  <c r="AL106" i="2"/>
  <c r="AL86" i="2"/>
  <c r="AK86" i="2"/>
  <c r="AL66" i="2"/>
  <c r="AK66" i="2"/>
  <c r="AL46" i="2"/>
  <c r="AK46" i="2"/>
  <c r="AL26" i="2"/>
  <c r="AK26" i="2"/>
  <c r="AK6" i="2"/>
  <c r="AL6" i="2"/>
  <c r="AL209" i="2"/>
  <c r="AK209" i="2"/>
  <c r="AL246" i="2"/>
  <c r="AK246" i="2"/>
  <c r="AK225" i="2"/>
  <c r="AL225" i="2"/>
  <c r="AK205" i="2"/>
  <c r="AL205" i="2"/>
  <c r="AL185" i="2"/>
  <c r="AK185" i="2"/>
  <c r="AK165" i="2"/>
  <c r="AL165" i="2"/>
  <c r="AL145" i="2"/>
  <c r="AK145" i="2"/>
  <c r="AL125" i="2"/>
  <c r="AK125" i="2"/>
  <c r="AK105" i="2"/>
  <c r="AL105" i="2"/>
  <c r="AL85" i="2"/>
  <c r="AK85" i="2"/>
  <c r="AL65" i="2"/>
  <c r="AK65" i="2"/>
  <c r="AK45" i="2"/>
  <c r="AL45" i="2"/>
  <c r="AK25" i="2"/>
  <c r="AL25" i="2"/>
  <c r="AK5" i="2"/>
  <c r="AL5" i="2"/>
  <c r="AL245" i="2"/>
  <c r="AK245" i="2"/>
  <c r="AL224" i="2"/>
  <c r="AK224" i="2"/>
  <c r="AL204" i="2"/>
  <c r="AK204" i="2"/>
  <c r="AL184" i="2"/>
  <c r="AK184" i="2"/>
  <c r="AL164" i="2"/>
  <c r="AK164" i="2"/>
  <c r="AL144" i="2"/>
  <c r="AK144" i="2"/>
  <c r="AL124" i="2"/>
  <c r="AK124" i="2"/>
  <c r="AK104" i="2"/>
  <c r="AL104" i="2"/>
  <c r="AK84" i="2"/>
  <c r="AL84" i="2"/>
  <c r="AL64" i="2"/>
  <c r="AK64" i="2"/>
  <c r="AK44" i="2"/>
  <c r="AL44" i="2"/>
  <c r="AL24" i="2"/>
  <c r="AK24" i="2"/>
  <c r="AK4" i="2"/>
  <c r="AL4" i="2"/>
  <c r="AK244" i="2"/>
  <c r="AL244" i="2"/>
  <c r="AL223" i="2"/>
  <c r="AK223" i="2"/>
  <c r="AL203" i="2"/>
  <c r="AK203" i="2"/>
  <c r="AL183" i="2"/>
  <c r="AK183" i="2"/>
  <c r="AK163" i="2"/>
  <c r="AL163" i="2"/>
  <c r="AK143" i="2"/>
  <c r="AL143" i="2"/>
  <c r="AL123" i="2"/>
  <c r="AK123" i="2"/>
  <c r="AK103" i="2"/>
  <c r="AL103" i="2"/>
  <c r="AK83" i="2"/>
  <c r="AL83" i="2"/>
  <c r="AK63" i="2"/>
  <c r="AL63" i="2"/>
  <c r="AK43" i="2"/>
  <c r="AL43" i="2"/>
  <c r="AK23" i="2"/>
  <c r="AL23" i="2"/>
  <c r="AL3" i="2"/>
  <c r="AK3" i="2"/>
  <c r="AL243" i="2"/>
  <c r="AK243" i="2"/>
  <c r="AL222" i="2"/>
  <c r="AK222" i="2"/>
  <c r="AL202" i="2"/>
  <c r="AK202" i="2"/>
  <c r="AL182" i="2"/>
  <c r="AK182" i="2"/>
  <c r="AL162" i="2"/>
  <c r="AK162" i="2"/>
  <c r="AL142" i="2"/>
  <c r="AK142" i="2"/>
  <c r="AL122" i="2"/>
  <c r="AK122" i="2"/>
  <c r="AL102" i="2"/>
  <c r="AK102" i="2"/>
  <c r="AL82" i="2"/>
  <c r="AK82" i="2"/>
  <c r="AL62" i="2"/>
  <c r="AK62" i="2"/>
  <c r="AL42" i="2"/>
  <c r="AK42" i="2"/>
  <c r="AL22" i="2"/>
  <c r="AK22" i="2"/>
  <c r="AL262" i="2"/>
  <c r="AK262" i="2"/>
  <c r="AL242" i="2"/>
  <c r="AK242" i="2"/>
  <c r="AL221" i="2"/>
  <c r="AK221" i="2"/>
  <c r="AL201" i="2"/>
  <c r="AK201" i="2"/>
  <c r="AL181" i="2"/>
  <c r="AK181" i="2"/>
  <c r="AL161" i="2"/>
  <c r="AK161" i="2"/>
  <c r="AL141" i="2"/>
  <c r="AK141" i="2"/>
  <c r="AL121" i="2"/>
  <c r="AK121" i="2"/>
  <c r="AL101" i="2"/>
  <c r="AK101" i="2"/>
  <c r="AL81" i="2"/>
  <c r="AK81" i="2"/>
  <c r="AL61" i="2"/>
  <c r="AK61" i="2"/>
  <c r="AL41" i="2"/>
  <c r="AK41" i="2"/>
  <c r="AL21" i="2"/>
  <c r="AK21" i="2"/>
  <c r="AL261" i="2"/>
  <c r="AK261" i="2"/>
  <c r="AL241" i="2"/>
  <c r="AK241" i="2"/>
  <c r="AK220" i="2"/>
  <c r="AL220" i="2"/>
  <c r="AL200" i="2"/>
  <c r="AK200" i="2"/>
  <c r="AL180" i="2"/>
  <c r="AK180" i="2"/>
  <c r="AK160" i="2"/>
  <c r="AL160" i="2"/>
  <c r="AK140" i="2"/>
  <c r="AL140" i="2"/>
  <c r="AK120" i="2"/>
  <c r="AL120" i="2"/>
  <c r="AL100" i="2"/>
  <c r="AK100" i="2"/>
  <c r="AL80" i="2"/>
  <c r="AK80" i="2"/>
  <c r="AK60" i="2"/>
  <c r="AL60" i="2"/>
  <c r="AK40" i="2"/>
  <c r="AL40" i="2"/>
  <c r="AK20" i="2"/>
  <c r="AL20" i="2"/>
  <c r="AK260" i="2"/>
  <c r="AL260" i="2"/>
  <c r="AK240" i="2"/>
  <c r="AL240" i="2"/>
  <c r="AK219" i="2"/>
  <c r="AL219" i="2"/>
  <c r="AK199" i="2"/>
  <c r="AL199" i="2"/>
  <c r="AL179" i="2"/>
  <c r="AK179" i="2"/>
  <c r="AL159" i="2"/>
  <c r="AK159" i="2"/>
  <c r="AL139" i="2"/>
  <c r="AK139" i="2"/>
  <c r="AK119" i="2"/>
  <c r="AL119" i="2"/>
  <c r="AL99" i="2"/>
  <c r="AK99" i="2"/>
  <c r="AL79" i="2"/>
  <c r="AK79" i="2"/>
  <c r="AL59" i="2"/>
  <c r="AK59" i="2"/>
  <c r="AL39" i="2"/>
  <c r="AK39" i="2"/>
  <c r="AK19" i="2"/>
  <c r="AL19" i="2"/>
  <c r="AL259" i="2"/>
  <c r="AK259" i="2"/>
  <c r="AL239" i="2"/>
  <c r="AK239" i="2"/>
  <c r="AL218" i="2"/>
  <c r="AK218" i="2"/>
  <c r="AK198" i="2"/>
  <c r="AL198" i="2"/>
  <c r="AK178" i="2"/>
  <c r="AL178" i="2"/>
  <c r="AK158" i="2"/>
  <c r="AL158" i="2"/>
  <c r="AL138" i="2"/>
  <c r="AK138" i="2"/>
  <c r="AL118" i="2"/>
  <c r="AK118" i="2"/>
  <c r="AL98" i="2"/>
  <c r="AK98" i="2"/>
  <c r="AK78" i="2"/>
  <c r="AL78" i="2"/>
  <c r="AK58" i="2"/>
  <c r="AL58" i="2"/>
  <c r="AL38" i="2"/>
  <c r="AK38" i="2"/>
  <c r="AL18" i="2"/>
  <c r="AK18" i="2"/>
  <c r="AK258" i="2"/>
  <c r="AL258" i="2"/>
  <c r="AL238" i="2"/>
  <c r="AK238" i="2"/>
  <c r="AL217" i="2"/>
  <c r="AK217" i="2"/>
  <c r="AL197" i="2"/>
  <c r="AK197" i="2"/>
  <c r="AL177" i="2"/>
  <c r="AK177" i="2"/>
  <c r="AL157" i="2"/>
  <c r="AK157" i="2"/>
  <c r="AL137" i="2"/>
  <c r="AK137" i="2"/>
  <c r="AL117" i="2"/>
  <c r="AK117" i="2"/>
  <c r="AL97" i="2"/>
  <c r="AK97" i="2"/>
  <c r="AL77" i="2"/>
  <c r="AK77" i="2"/>
  <c r="AL57" i="2"/>
  <c r="AK57" i="2"/>
  <c r="AL37" i="2"/>
  <c r="AK37" i="2"/>
  <c r="AL17" i="2"/>
  <c r="AK17" i="2"/>
  <c r="AL257" i="2"/>
  <c r="AK257" i="2"/>
  <c r="AL237" i="2"/>
  <c r="AK237" i="2"/>
  <c r="AL216" i="2"/>
  <c r="AK216" i="2"/>
  <c r="AL196" i="2"/>
  <c r="AK196" i="2"/>
  <c r="AL176" i="2"/>
  <c r="AK176" i="2"/>
  <c r="AK156" i="2"/>
  <c r="AL156" i="2"/>
  <c r="AK136" i="2"/>
  <c r="AL136" i="2"/>
  <c r="AL116" i="2"/>
  <c r="AK116" i="2"/>
  <c r="AL96" i="2"/>
  <c r="AK96" i="2"/>
  <c r="AL76" i="2"/>
  <c r="AK76" i="2"/>
  <c r="AK56" i="2"/>
  <c r="AL56" i="2"/>
  <c r="AL36" i="2"/>
  <c r="AK36" i="2"/>
  <c r="AL16" i="2"/>
  <c r="AK16" i="2"/>
  <c r="AK256" i="2"/>
  <c r="AL256" i="2"/>
  <c r="AK236" i="2"/>
  <c r="AL236" i="2"/>
  <c r="AK215" i="2"/>
  <c r="AL215" i="2"/>
  <c r="AK195" i="2"/>
  <c r="AL195" i="2"/>
  <c r="AK175" i="2"/>
  <c r="AL175" i="2"/>
  <c r="AK155" i="2"/>
  <c r="AL155" i="2"/>
  <c r="AK135" i="2"/>
  <c r="AL135" i="2"/>
  <c r="AL115" i="2"/>
  <c r="AK115" i="2"/>
  <c r="AK95" i="2"/>
  <c r="AL95" i="2"/>
  <c r="AL75" i="2"/>
  <c r="AK75" i="2"/>
  <c r="AL55" i="2"/>
  <c r="AK55" i="2"/>
  <c r="AL35" i="2"/>
  <c r="AK35" i="2"/>
  <c r="AK15" i="2"/>
  <c r="AL15" i="2"/>
  <c r="AK255" i="2"/>
  <c r="AL255" i="2"/>
  <c r="AK235" i="2"/>
  <c r="AL235" i="2"/>
  <c r="AK174" i="2"/>
  <c r="AL174" i="2"/>
  <c r="AL154" i="2"/>
  <c r="AK154" i="2"/>
  <c r="AK134" i="2"/>
  <c r="AL134" i="2"/>
  <c r="AL114" i="2"/>
  <c r="AK114" i="2"/>
  <c r="AL94" i="2"/>
  <c r="AK94" i="2"/>
  <c r="AK74" i="2"/>
  <c r="AL74" i="2"/>
  <c r="AL34" i="2"/>
  <c r="AK34" i="2"/>
  <c r="I92" i="2"/>
  <c r="I111" i="2"/>
  <c r="I211" i="2"/>
  <c r="I71" i="2"/>
  <c r="I51" i="2"/>
  <c r="I31" i="2"/>
  <c r="I11" i="2"/>
  <c r="I130" i="2"/>
  <c r="I248" i="2"/>
  <c r="I228" i="2"/>
  <c r="I208" i="2"/>
  <c r="I188" i="2"/>
  <c r="I168" i="2"/>
  <c r="I148" i="2"/>
  <c r="I128" i="2"/>
  <c r="I108" i="2"/>
  <c r="I192" i="2"/>
  <c r="I70" i="2"/>
  <c r="I50" i="2"/>
  <c r="I253" i="2"/>
  <c r="I233" i="2"/>
  <c r="I213" i="2"/>
  <c r="I193" i="2"/>
  <c r="I173" i="2"/>
  <c r="I153" i="2"/>
  <c r="I133" i="2"/>
  <c r="I113" i="2"/>
  <c r="I93" i="2"/>
  <c r="I73" i="2"/>
  <c r="I53" i="2"/>
  <c r="I33" i="2"/>
  <c r="I13" i="2"/>
  <c r="I91" i="2"/>
  <c r="I240" i="2"/>
  <c r="I220" i="2"/>
  <c r="I200" i="2"/>
  <c r="I180" i="2"/>
  <c r="I160" i="2"/>
  <c r="I140" i="2"/>
  <c r="I120" i="2"/>
  <c r="I100" i="2"/>
  <c r="I80" i="2"/>
  <c r="I60" i="2"/>
  <c r="I40" i="2"/>
  <c r="I20" i="2"/>
  <c r="I260" i="2"/>
  <c r="I110" i="2"/>
  <c r="I30" i="2"/>
  <c r="I12" i="2"/>
  <c r="I88" i="2"/>
  <c r="I68" i="2"/>
  <c r="I48" i="2"/>
  <c r="I28" i="2"/>
  <c r="I8" i="2"/>
  <c r="I247" i="2"/>
  <c r="I227" i="2"/>
  <c r="I207" i="2"/>
  <c r="I187" i="2"/>
  <c r="I167" i="2"/>
  <c r="I147" i="2"/>
  <c r="I127" i="2"/>
  <c r="I107" i="2"/>
  <c r="I87" i="2"/>
  <c r="I67" i="2"/>
  <c r="I47" i="2"/>
  <c r="I27" i="2"/>
  <c r="I7" i="2"/>
  <c r="I261" i="2"/>
  <c r="I221" i="2"/>
  <c r="I201" i="2"/>
  <c r="I21" i="2"/>
  <c r="I254" i="2"/>
  <c r="I194" i="2"/>
  <c r="I94" i="2"/>
  <c r="I214" i="2"/>
  <c r="I134" i="2"/>
  <c r="I74" i="2"/>
  <c r="I234" i="2"/>
  <c r="I174" i="2"/>
  <c r="I154" i="2"/>
  <c r="I114" i="2"/>
  <c r="I54" i="2"/>
  <c r="I252" i="2"/>
  <c r="I232" i="2"/>
  <c r="I212" i="2"/>
  <c r="I172" i="2"/>
  <c r="I152" i="2"/>
  <c r="I132" i="2"/>
  <c r="I112" i="2"/>
  <c r="I72" i="2"/>
  <c r="I52" i="2"/>
  <c r="I32" i="2"/>
  <c r="I230" i="2"/>
  <c r="I210" i="2"/>
  <c r="I170" i="2"/>
  <c r="I150" i="2"/>
  <c r="I90" i="2"/>
  <c r="I251" i="2"/>
  <c r="I151" i="2"/>
  <c r="I246" i="2"/>
  <c r="I226" i="2"/>
  <c r="I186" i="2"/>
  <c r="I166" i="2"/>
  <c r="I146" i="2"/>
  <c r="I126" i="2"/>
  <c r="I86" i="2"/>
  <c r="I66" i="2"/>
  <c r="I46" i="2"/>
  <c r="I6" i="2"/>
  <c r="I249" i="2"/>
  <c r="I229" i="2"/>
  <c r="I209" i="2"/>
  <c r="I189" i="2"/>
  <c r="I169" i="2"/>
  <c r="I149" i="2"/>
  <c r="I129" i="2"/>
  <c r="I109" i="2"/>
  <c r="I89" i="2"/>
  <c r="I69" i="2"/>
  <c r="I49" i="2"/>
  <c r="I29" i="2"/>
  <c r="I9" i="2"/>
  <c r="I198" i="2"/>
  <c r="I118" i="2"/>
  <c r="I18" i="2"/>
  <c r="I258" i="2"/>
  <c r="I178" i="2"/>
  <c r="I98" i="2"/>
  <c r="I78" i="2"/>
  <c r="I218" i="2"/>
  <c r="I158" i="2"/>
  <c r="I58" i="2"/>
  <c r="I238" i="2"/>
  <c r="I138" i="2"/>
  <c r="I38" i="2"/>
  <c r="I250" i="2"/>
  <c r="I190" i="2"/>
  <c r="I10" i="2"/>
  <c r="I231" i="2"/>
  <c r="I191" i="2"/>
  <c r="I171" i="2"/>
  <c r="I131" i="2"/>
  <c r="I206" i="2"/>
  <c r="I106" i="2"/>
  <c r="I26" i="2"/>
  <c r="I241" i="2"/>
  <c r="I181" i="2"/>
  <c r="I161" i="2"/>
  <c r="I141" i="2"/>
  <c r="I121" i="2"/>
  <c r="I101" i="2"/>
  <c r="I81" i="2"/>
  <c r="I61" i="2"/>
  <c r="I41" i="2"/>
  <c r="I244" i="2"/>
  <c r="I224" i="2"/>
  <c r="I204" i="2"/>
  <c r="I184" i="2"/>
  <c r="I164" i="2"/>
  <c r="I144" i="2"/>
  <c r="I124" i="2"/>
  <c r="I104" i="2"/>
  <c r="I84" i="2"/>
  <c r="I64" i="2"/>
  <c r="I44" i="2"/>
  <c r="I24" i="2"/>
  <c r="I4" i="2"/>
  <c r="I143" i="2"/>
  <c r="I243" i="2"/>
  <c r="I223" i="2"/>
  <c r="I203" i="2"/>
  <c r="I183" i="2"/>
  <c r="I163" i="2"/>
  <c r="I123" i="2"/>
  <c r="I103" i="2"/>
  <c r="I83" i="2"/>
  <c r="I63" i="2"/>
  <c r="I43" i="2"/>
  <c r="I23" i="2"/>
  <c r="I3" i="2"/>
  <c r="I262" i="2"/>
  <c r="I242" i="2"/>
  <c r="I222" i="2"/>
  <c r="I202" i="2"/>
  <c r="I182" i="2"/>
  <c r="I162" i="2"/>
  <c r="I142" i="2"/>
  <c r="I122" i="2"/>
  <c r="I102" i="2"/>
  <c r="I82" i="2"/>
  <c r="I62" i="2"/>
  <c r="I42" i="2"/>
  <c r="I22" i="2"/>
  <c r="I245" i="2"/>
  <c r="I225" i="2"/>
  <c r="I205" i="2"/>
  <c r="I185" i="2"/>
  <c r="I165" i="2"/>
  <c r="I145" i="2"/>
  <c r="I125" i="2"/>
  <c r="I105" i="2"/>
  <c r="I85" i="2"/>
  <c r="I65" i="2"/>
  <c r="I45" i="2"/>
  <c r="I25" i="2"/>
  <c r="I5" i="2"/>
  <c r="I259" i="2"/>
  <c r="I239" i="2"/>
  <c r="I219" i="2"/>
  <c r="I199" i="2"/>
  <c r="I179" i="2"/>
  <c r="I159" i="2"/>
  <c r="I139" i="2"/>
  <c r="I119" i="2"/>
  <c r="I99" i="2"/>
  <c r="I79" i="2"/>
  <c r="I59" i="2"/>
  <c r="I39" i="2"/>
  <c r="I19" i="2"/>
  <c r="I257" i="2"/>
  <c r="I237" i="2"/>
  <c r="I217" i="2"/>
  <c r="I197" i="2"/>
  <c r="I177" i="2"/>
  <c r="I157" i="2"/>
  <c r="I137" i="2"/>
  <c r="I117" i="2"/>
  <c r="I97" i="2"/>
  <c r="I77" i="2"/>
  <c r="I57" i="2"/>
  <c r="I37" i="2"/>
  <c r="I17" i="2"/>
  <c r="I256" i="2"/>
  <c r="I236" i="2"/>
  <c r="I216" i="2"/>
  <c r="I196" i="2"/>
  <c r="I176" i="2"/>
  <c r="I156" i="2"/>
  <c r="I136" i="2"/>
  <c r="I116" i="2"/>
  <c r="I96" i="2"/>
  <c r="I76" i="2"/>
  <c r="I56" i="2"/>
  <c r="I36" i="2"/>
  <c r="I16" i="2"/>
  <c r="I255" i="2"/>
  <c r="I235" i="2"/>
  <c r="I215" i="2"/>
  <c r="I195" i="2"/>
  <c r="I175" i="2"/>
  <c r="I155" i="2"/>
  <c r="I135" i="2"/>
  <c r="I115" i="2"/>
  <c r="I95" i="2"/>
  <c r="I75" i="2"/>
  <c r="I55" i="2"/>
  <c r="I35" i="2"/>
  <c r="I15" i="2"/>
  <c r="I34" i="2"/>
  <c r="I14" i="2"/>
  <c r="F3" i="27" l="1"/>
  <c r="D8" i="20" s="1"/>
  <c r="C8" i="20"/>
  <c r="R3" i="12" a="1"/>
  <c r="R3" i="27" a="1"/>
  <c r="Z14" i="27" s="1"/>
  <c r="G3" i="27" a="1"/>
  <c r="Y4" i="27" s="1"/>
  <c r="B25" i="19"/>
  <c r="B5" i="39" s="1"/>
  <c r="L3" i="21" a="1"/>
  <c r="L3" i="21" s="1"/>
  <c r="Q5" i="21"/>
  <c r="I10" i="20" s="1"/>
  <c r="A3" i="21" a="1"/>
  <c r="Q4" i="21"/>
  <c r="I9" i="20" s="1"/>
  <c r="B8" i="20" l="1"/>
  <c r="Y3" i="27"/>
  <c r="D3" i="20"/>
  <c r="B3" i="20"/>
  <c r="C3" i="20"/>
  <c r="B14" i="39"/>
  <c r="B11" i="39"/>
  <c r="R3" i="12"/>
  <c r="Z11" i="12" s="1"/>
  <c r="AA11" i="12" s="1"/>
  <c r="K2" i="20" s="1"/>
  <c r="Z12" i="12"/>
  <c r="AA12" i="12" s="1"/>
  <c r="K3" i="20" s="1"/>
  <c r="Z13" i="27"/>
  <c r="AA13" i="27" s="1"/>
  <c r="K18" i="20" s="1"/>
  <c r="Y12" i="27"/>
  <c r="I17" i="20" s="1"/>
  <c r="R3" i="27"/>
  <c r="Z11" i="27" s="1"/>
  <c r="J16" i="20" s="1"/>
  <c r="Z12" i="27"/>
  <c r="J17" i="20" s="1"/>
  <c r="Y6" i="27"/>
  <c r="Y7" i="27"/>
  <c r="Y5" i="27"/>
  <c r="G3" i="27"/>
  <c r="Z14" i="12"/>
  <c r="AA14" i="12" s="1"/>
  <c r="Z13" i="12"/>
  <c r="AA13" i="12" s="1"/>
  <c r="K4" i="20" s="1"/>
  <c r="J19" i="20"/>
  <c r="AA14" i="27"/>
  <c r="K19" i="20" s="1"/>
  <c r="AB14" i="27"/>
  <c r="L19" i="20" s="1"/>
  <c r="AC14" i="27"/>
  <c r="M19" i="20" s="1"/>
  <c r="Y12" i="12"/>
  <c r="I3" i="20" s="1"/>
  <c r="B9" i="20"/>
  <c r="B4" i="20"/>
  <c r="A3" i="21"/>
  <c r="C9" i="20"/>
  <c r="C10" i="20" s="1"/>
  <c r="D9" i="20"/>
  <c r="D10" i="20" s="1"/>
  <c r="D4" i="20"/>
  <c r="Q3" i="21"/>
  <c r="C4" i="20"/>
  <c r="Q9" i="21"/>
  <c r="I11" i="20" s="1"/>
  <c r="Q10" i="21"/>
  <c r="I12" i="20" s="1"/>
  <c r="Y5" i="12"/>
  <c r="Y7" i="12"/>
  <c r="Y6" i="12"/>
  <c r="Y4" i="12"/>
  <c r="Y3" i="12"/>
  <c r="B10" i="20" l="1"/>
  <c r="AC13" i="27"/>
  <c r="M18" i="20" s="1"/>
  <c r="C5" i="38"/>
  <c r="C143" i="40" s="1"/>
  <c r="C61" i="40"/>
  <c r="D5" i="19"/>
  <c r="D5" i="36"/>
  <c r="D5" i="37"/>
  <c r="D5" i="38"/>
  <c r="D7" i="38" s="1"/>
  <c r="AC11" i="27"/>
  <c r="M16" i="20" s="1"/>
  <c r="Y11" i="27"/>
  <c r="I16" i="20" s="1"/>
  <c r="AA11" i="27"/>
  <c r="K16" i="20" s="1"/>
  <c r="AB11" i="27"/>
  <c r="L16" i="20" s="1"/>
  <c r="J18" i="20"/>
  <c r="AB13" i="27"/>
  <c r="L18" i="20" s="1"/>
  <c r="AC12" i="27"/>
  <c r="M17" i="20" s="1"/>
  <c r="AA12" i="27"/>
  <c r="K17" i="20" s="1"/>
  <c r="AB12" i="27"/>
  <c r="L17" i="20" s="1"/>
  <c r="D7" i="19"/>
  <c r="Y11" i="12"/>
  <c r="I2" i="20" s="1"/>
  <c r="AB11" i="12"/>
  <c r="L2" i="20" s="1"/>
  <c r="D5" i="20"/>
  <c r="B5" i="20"/>
  <c r="C5" i="20"/>
  <c r="I13" i="19"/>
  <c r="I315" i="40" s="1"/>
  <c r="AB12" i="12"/>
  <c r="L3" i="20" s="1"/>
  <c r="AB13" i="12"/>
  <c r="L4" i="20" s="1"/>
  <c r="J4" i="20"/>
  <c r="AB14" i="12"/>
  <c r="L5" i="20" s="1"/>
  <c r="J5" i="20"/>
  <c r="AC11" i="12"/>
  <c r="M2" i="20" s="1"/>
  <c r="AC13" i="12"/>
  <c r="M4" i="20" s="1"/>
  <c r="AC14" i="12"/>
  <c r="M5" i="20" s="1"/>
  <c r="AC12" i="12"/>
  <c r="M3" i="20" s="1"/>
  <c r="C7" i="38" l="1"/>
  <c r="C145" i="40" s="1"/>
  <c r="C5" i="19"/>
  <c r="C307" i="40" s="1"/>
  <c r="C5" i="36"/>
  <c r="C225" i="40" s="1"/>
  <c r="I5" i="36"/>
  <c r="I225" i="40" s="1"/>
  <c r="H5" i="36"/>
  <c r="H225" i="40" s="1"/>
  <c r="E5" i="36"/>
  <c r="E225" i="40" s="1"/>
  <c r="F5" i="36"/>
  <c r="F225" i="40" s="1"/>
  <c r="G5" i="36"/>
  <c r="G225" i="40" s="1"/>
  <c r="D225" i="40"/>
  <c r="J5" i="36"/>
  <c r="B245" i="40" s="1"/>
  <c r="K5" i="36"/>
  <c r="C245" i="40" s="1"/>
  <c r="F5" i="37"/>
  <c r="F61" i="40" s="1"/>
  <c r="D61" i="40"/>
  <c r="H5" i="37"/>
  <c r="H61" i="40" s="1"/>
  <c r="K5" i="37"/>
  <c r="C81" i="40" s="1"/>
  <c r="E5" i="37"/>
  <c r="E61" i="40" s="1"/>
  <c r="G5" i="37"/>
  <c r="G61" i="40" s="1"/>
  <c r="J5" i="37"/>
  <c r="B81" i="40" s="1"/>
  <c r="I5" i="37"/>
  <c r="I61" i="40" s="1"/>
  <c r="D309" i="40"/>
  <c r="D15" i="19"/>
  <c r="D317" i="40" s="1"/>
  <c r="D7" i="36"/>
  <c r="H5" i="38"/>
  <c r="H143" i="40" s="1"/>
  <c r="J5" i="38"/>
  <c r="B163" i="40" s="1"/>
  <c r="K5" i="38"/>
  <c r="C163" i="40" s="1"/>
  <c r="G5" i="38"/>
  <c r="G143" i="40" s="1"/>
  <c r="D143" i="40"/>
  <c r="F5" i="38"/>
  <c r="F143" i="40" s="1"/>
  <c r="E5" i="38"/>
  <c r="E143" i="40" s="1"/>
  <c r="I5" i="38"/>
  <c r="I143" i="40" s="1"/>
  <c r="G5" i="19"/>
  <c r="G307" i="40" s="1"/>
  <c r="K5" i="19"/>
  <c r="C327" i="40" s="1"/>
  <c r="E5" i="19"/>
  <c r="E307" i="40" s="1"/>
  <c r="J5" i="19"/>
  <c r="B327" i="40" s="1"/>
  <c r="F5" i="19"/>
  <c r="F307" i="40" s="1"/>
  <c r="D307" i="40"/>
  <c r="H5" i="19"/>
  <c r="H307" i="40" s="1"/>
  <c r="I5" i="19"/>
  <c r="I307" i="40" s="1"/>
  <c r="D15" i="38"/>
  <c r="D153" i="40" s="1"/>
  <c r="D145" i="40"/>
  <c r="C15" i="38"/>
  <c r="C153" i="40" s="1"/>
  <c r="D7" i="37"/>
  <c r="C15" i="37"/>
  <c r="C71" i="40" s="1"/>
  <c r="C23" i="38"/>
  <c r="D23" i="19"/>
  <c r="H7" i="36"/>
  <c r="E7" i="36"/>
  <c r="U13" i="19"/>
  <c r="E356" i="40" s="1"/>
  <c r="V13" i="19"/>
  <c r="F356" i="40" s="1"/>
  <c r="K13" i="19"/>
  <c r="C335" i="40" s="1"/>
  <c r="M13" i="19"/>
  <c r="E335" i="40" s="1"/>
  <c r="J13" i="19"/>
  <c r="B335" i="40" s="1"/>
  <c r="Y13" i="19"/>
  <c r="I356" i="40" s="1"/>
  <c r="X13" i="19"/>
  <c r="H356" i="40" s="1"/>
  <c r="O13" i="19"/>
  <c r="G335" i="40" s="1"/>
  <c r="N13" i="19"/>
  <c r="F335" i="40" s="1"/>
  <c r="R13" i="19"/>
  <c r="B356" i="40" s="1"/>
  <c r="W13" i="19"/>
  <c r="G356" i="40" s="1"/>
  <c r="AA13" i="19"/>
  <c r="C376" i="40" s="1"/>
  <c r="Z13" i="19"/>
  <c r="B376" i="40" s="1"/>
  <c r="H13" i="19"/>
  <c r="H315" i="40" s="1"/>
  <c r="S13" i="19"/>
  <c r="C356" i="40" s="1"/>
  <c r="F13" i="19"/>
  <c r="F315" i="40" s="1"/>
  <c r="Q13" i="19"/>
  <c r="I335" i="40" s="1"/>
  <c r="G13" i="19"/>
  <c r="G315" i="40" s="1"/>
  <c r="L13" i="19"/>
  <c r="D335" i="40" s="1"/>
  <c r="P13" i="19"/>
  <c r="H335" i="40" s="1"/>
  <c r="T13" i="19"/>
  <c r="D356" i="40" s="1"/>
  <c r="E13" i="19"/>
  <c r="E315" i="40" s="1"/>
  <c r="J7" i="36" l="1"/>
  <c r="H7" i="38"/>
  <c r="I7" i="36"/>
  <c r="I15" i="36" s="1"/>
  <c r="I235" i="40" s="1"/>
  <c r="G7" i="36"/>
  <c r="G227" i="40" s="1"/>
  <c r="H7" i="37"/>
  <c r="H23" i="37" s="1"/>
  <c r="C7" i="36"/>
  <c r="C15" i="36" s="1"/>
  <c r="C235" i="40" s="1"/>
  <c r="F7" i="19"/>
  <c r="F15" i="19" s="1"/>
  <c r="F317" i="40" s="1"/>
  <c r="F7" i="37"/>
  <c r="F63" i="40" s="1"/>
  <c r="I7" i="38"/>
  <c r="I145" i="40" s="1"/>
  <c r="F7" i="36"/>
  <c r="F227" i="40" s="1"/>
  <c r="J7" i="38"/>
  <c r="B165" i="40" s="1"/>
  <c r="E227" i="40"/>
  <c r="E15" i="36"/>
  <c r="E235" i="40" s="1"/>
  <c r="H227" i="40"/>
  <c r="H15" i="36"/>
  <c r="H235" i="40" s="1"/>
  <c r="H7" i="19"/>
  <c r="H23" i="19" s="1"/>
  <c r="B247" i="40"/>
  <c r="J15" i="36"/>
  <c r="B255" i="40" s="1"/>
  <c r="I7" i="19"/>
  <c r="I23" i="19" s="1"/>
  <c r="G7" i="37"/>
  <c r="G23" i="37" s="1"/>
  <c r="J7" i="37"/>
  <c r="J23" i="37" s="1"/>
  <c r="I7" i="37"/>
  <c r="I23" i="37" s="1"/>
  <c r="E7" i="37"/>
  <c r="E15" i="37" s="1"/>
  <c r="E71" i="40" s="1"/>
  <c r="E7" i="38"/>
  <c r="E15" i="38" s="1"/>
  <c r="E153" i="40" s="1"/>
  <c r="L5" i="37"/>
  <c r="D81" i="40" s="1"/>
  <c r="F7" i="38"/>
  <c r="F145" i="40" s="1"/>
  <c r="G7" i="38"/>
  <c r="G15" i="38" s="1"/>
  <c r="G153" i="40" s="1"/>
  <c r="D227" i="40"/>
  <c r="D15" i="36"/>
  <c r="D235" i="40" s="1"/>
  <c r="D63" i="40"/>
  <c r="D15" i="37"/>
  <c r="D71" i="40" s="1"/>
  <c r="C227" i="40"/>
  <c r="H145" i="40"/>
  <c r="H15" i="38"/>
  <c r="H153" i="40" s="1"/>
  <c r="C152" i="40"/>
  <c r="S14" i="38"/>
  <c r="P14" i="38"/>
  <c r="O14" i="38"/>
  <c r="N14" i="38"/>
  <c r="M14" i="38"/>
  <c r="L14" i="38"/>
  <c r="K14" i="38"/>
  <c r="J14" i="38"/>
  <c r="Y14" i="38"/>
  <c r="W14" i="38"/>
  <c r="U14" i="38"/>
  <c r="Q14" i="38"/>
  <c r="I14" i="38"/>
  <c r="H14" i="38"/>
  <c r="AA14" i="38"/>
  <c r="G14" i="38"/>
  <c r="Z14" i="38"/>
  <c r="F14" i="38"/>
  <c r="E14" i="38"/>
  <c r="X14" i="38"/>
  <c r="D14" i="38"/>
  <c r="V14" i="38"/>
  <c r="T14" i="38"/>
  <c r="R14" i="38"/>
  <c r="C17" i="38"/>
  <c r="C63" i="40"/>
  <c r="C23" i="37"/>
  <c r="G7" i="19"/>
  <c r="G15" i="19" s="1"/>
  <c r="G317" i="40" s="1"/>
  <c r="N5" i="19"/>
  <c r="O5" i="19"/>
  <c r="P5" i="19"/>
  <c r="Q5" i="19"/>
  <c r="R5" i="19"/>
  <c r="K7" i="19"/>
  <c r="S5" i="19"/>
  <c r="T5" i="19"/>
  <c r="M5" i="19"/>
  <c r="U5" i="19"/>
  <c r="E348" i="40" s="1"/>
  <c r="L5" i="19"/>
  <c r="J7" i="19"/>
  <c r="J15" i="19" s="1"/>
  <c r="B337" i="40" s="1"/>
  <c r="E7" i="19"/>
  <c r="E15" i="19" s="1"/>
  <c r="E317" i="40" s="1"/>
  <c r="C7" i="19"/>
  <c r="C15" i="19" s="1"/>
  <c r="C317" i="40" s="1"/>
  <c r="R5" i="36"/>
  <c r="T5" i="36"/>
  <c r="U5" i="36"/>
  <c r="E266" i="40" s="1"/>
  <c r="L5" i="36"/>
  <c r="N5" i="36"/>
  <c r="O5" i="36"/>
  <c r="P5" i="36"/>
  <c r="Q5" i="36"/>
  <c r="K7" i="36"/>
  <c r="S5" i="36"/>
  <c r="M5" i="36"/>
  <c r="L5" i="38"/>
  <c r="U5" i="38"/>
  <c r="E184" i="40" s="1"/>
  <c r="M5" i="38"/>
  <c r="O5" i="38"/>
  <c r="N5" i="38"/>
  <c r="P5" i="38"/>
  <c r="Q5" i="38"/>
  <c r="S5" i="38"/>
  <c r="R5" i="38"/>
  <c r="K7" i="38"/>
  <c r="T5" i="38"/>
  <c r="T5" i="37"/>
  <c r="K7" i="37"/>
  <c r="Q5" i="37"/>
  <c r="U5" i="37"/>
  <c r="E102" i="40" s="1"/>
  <c r="S5" i="37"/>
  <c r="N5" i="37"/>
  <c r="O5" i="37"/>
  <c r="P5" i="37"/>
  <c r="M5" i="37"/>
  <c r="R5" i="37"/>
  <c r="C23" i="36"/>
  <c r="D23" i="38"/>
  <c r="E23" i="36"/>
  <c r="G23" i="36"/>
  <c r="H23" i="36"/>
  <c r="H23" i="38"/>
  <c r="D23" i="36"/>
  <c r="D23" i="37"/>
  <c r="J23" i="36"/>
  <c r="H15" i="37" l="1"/>
  <c r="H71" i="40" s="1"/>
  <c r="H63" i="40"/>
  <c r="F23" i="37"/>
  <c r="F15" i="37"/>
  <c r="F71" i="40" s="1"/>
  <c r="I227" i="40"/>
  <c r="I23" i="36"/>
  <c r="I15" i="38"/>
  <c r="I153" i="40" s="1"/>
  <c r="J23" i="38"/>
  <c r="G15" i="36"/>
  <c r="G235" i="40" s="1"/>
  <c r="F23" i="36"/>
  <c r="I23" i="38"/>
  <c r="F309" i="40"/>
  <c r="F23" i="19"/>
  <c r="E23" i="37"/>
  <c r="E145" i="40"/>
  <c r="F15" i="36"/>
  <c r="F235" i="40" s="1"/>
  <c r="E23" i="38"/>
  <c r="E63" i="40"/>
  <c r="J15" i="38"/>
  <c r="B173" i="40" s="1"/>
  <c r="G23" i="38"/>
  <c r="L7" i="37"/>
  <c r="D83" i="40" s="1"/>
  <c r="I63" i="40"/>
  <c r="J15" i="37"/>
  <c r="B91" i="40" s="1"/>
  <c r="B83" i="40"/>
  <c r="F23" i="38"/>
  <c r="I15" i="37"/>
  <c r="I71" i="40" s="1"/>
  <c r="I309" i="40"/>
  <c r="I15" i="19"/>
  <c r="I317" i="40" s="1"/>
  <c r="G145" i="40"/>
  <c r="G15" i="37"/>
  <c r="G71" i="40" s="1"/>
  <c r="C329" i="40"/>
  <c r="K15" i="19"/>
  <c r="C337" i="40" s="1"/>
  <c r="F15" i="38"/>
  <c r="F153" i="40" s="1"/>
  <c r="G63" i="40"/>
  <c r="H309" i="40"/>
  <c r="H15" i="19"/>
  <c r="H317" i="40" s="1"/>
  <c r="C247" i="40"/>
  <c r="K15" i="36"/>
  <c r="C255" i="40" s="1"/>
  <c r="C83" i="40"/>
  <c r="K15" i="37"/>
  <c r="C91" i="40" s="1"/>
  <c r="L7" i="19"/>
  <c r="D327" i="40"/>
  <c r="Q7" i="19"/>
  <c r="Q23" i="19" s="1"/>
  <c r="I327" i="40"/>
  <c r="P7" i="19"/>
  <c r="P23" i="19" s="1"/>
  <c r="H327" i="40"/>
  <c r="S7" i="19"/>
  <c r="C348" i="40"/>
  <c r="N7" i="19"/>
  <c r="N23" i="19" s="1"/>
  <c r="F327" i="40"/>
  <c r="R7" i="19"/>
  <c r="R23" i="19" s="1"/>
  <c r="B348" i="40"/>
  <c r="O7" i="19"/>
  <c r="G327" i="40"/>
  <c r="G23" i="19"/>
  <c r="G309" i="40"/>
  <c r="J23" i="19"/>
  <c r="B329" i="40"/>
  <c r="M7" i="19"/>
  <c r="E327" i="40"/>
  <c r="C309" i="40"/>
  <c r="E23" i="19"/>
  <c r="E309" i="40"/>
  <c r="T7" i="19"/>
  <c r="T23" i="19" s="1"/>
  <c r="D348" i="40"/>
  <c r="K23" i="19"/>
  <c r="M7" i="36"/>
  <c r="M23" i="36" s="1"/>
  <c r="E245" i="40"/>
  <c r="S7" i="36"/>
  <c r="S23" i="36" s="1"/>
  <c r="C266" i="40"/>
  <c r="Q7" i="36"/>
  <c r="I245" i="40"/>
  <c r="P7" i="36"/>
  <c r="P23" i="36" s="1"/>
  <c r="H245" i="40"/>
  <c r="R7" i="36"/>
  <c r="B266" i="40"/>
  <c r="O7" i="36"/>
  <c r="O23" i="36" s="1"/>
  <c r="G245" i="40"/>
  <c r="T7" i="36"/>
  <c r="D266" i="40"/>
  <c r="N7" i="36"/>
  <c r="N23" i="36" s="1"/>
  <c r="F245" i="40"/>
  <c r="L7" i="36"/>
  <c r="D245" i="40"/>
  <c r="W14" i="36"/>
  <c r="V14" i="36"/>
  <c r="U14" i="36"/>
  <c r="S14" i="36"/>
  <c r="P14" i="36"/>
  <c r="T14" i="36"/>
  <c r="O14" i="36"/>
  <c r="R14" i="36"/>
  <c r="Q14" i="36"/>
  <c r="C234" i="40"/>
  <c r="N14" i="36"/>
  <c r="M14" i="36"/>
  <c r="H14" i="36"/>
  <c r="L14" i="36"/>
  <c r="K14" i="36"/>
  <c r="D14" i="36"/>
  <c r="J14" i="36"/>
  <c r="I14" i="36"/>
  <c r="E14" i="36"/>
  <c r="X14" i="36"/>
  <c r="AA14" i="36"/>
  <c r="G14" i="36"/>
  <c r="Z14" i="36"/>
  <c r="F14" i="36"/>
  <c r="Y14" i="36"/>
  <c r="C17" i="36"/>
  <c r="R7" i="38"/>
  <c r="R23" i="38" s="1"/>
  <c r="B184" i="40"/>
  <c r="Q7" i="38"/>
  <c r="Q23" i="38" s="1"/>
  <c r="I163" i="40"/>
  <c r="F193" i="40"/>
  <c r="H172" i="40"/>
  <c r="C24" i="38"/>
  <c r="C155" i="40"/>
  <c r="C19" i="38"/>
  <c r="D193" i="40"/>
  <c r="M7" i="38"/>
  <c r="E163" i="40"/>
  <c r="C165" i="40"/>
  <c r="K15" i="38"/>
  <c r="G172" i="40"/>
  <c r="H193" i="40"/>
  <c r="C213" i="40"/>
  <c r="T7" i="38"/>
  <c r="T23" i="38" s="1"/>
  <c r="D184" i="40"/>
  <c r="P7" i="38"/>
  <c r="P23" i="38" s="1"/>
  <c r="H163" i="40"/>
  <c r="F152" i="40"/>
  <c r="H152" i="40"/>
  <c r="H17" i="38"/>
  <c r="B193" i="40"/>
  <c r="D152" i="40"/>
  <c r="D17" i="38"/>
  <c r="L7" i="38"/>
  <c r="D163" i="40"/>
  <c r="I152" i="40"/>
  <c r="I17" i="38"/>
  <c r="F172" i="40"/>
  <c r="N7" i="38"/>
  <c r="N23" i="38" s="1"/>
  <c r="F163" i="40"/>
  <c r="I172" i="40"/>
  <c r="D172" i="40"/>
  <c r="E193" i="40"/>
  <c r="S7" i="38"/>
  <c r="C184" i="40"/>
  <c r="E152" i="40"/>
  <c r="E17" i="38"/>
  <c r="B213" i="40"/>
  <c r="G193" i="40"/>
  <c r="G152" i="40"/>
  <c r="G17" i="38"/>
  <c r="I193" i="40"/>
  <c r="C172" i="40"/>
  <c r="E172" i="40"/>
  <c r="C193" i="40"/>
  <c r="O7" i="38"/>
  <c r="G163" i="40"/>
  <c r="B172" i="40"/>
  <c r="R7" i="37"/>
  <c r="R23" i="37" s="1"/>
  <c r="B102" i="40"/>
  <c r="O7" i="37"/>
  <c r="O23" i="37" s="1"/>
  <c r="G81" i="40"/>
  <c r="M7" i="37"/>
  <c r="M23" i="37" s="1"/>
  <c r="E81" i="40"/>
  <c r="Q7" i="37"/>
  <c r="I81" i="40"/>
  <c r="S7" i="37"/>
  <c r="C102" i="40"/>
  <c r="T7" i="37"/>
  <c r="D102" i="40"/>
  <c r="P7" i="37"/>
  <c r="P23" i="37" s="1"/>
  <c r="H81" i="40"/>
  <c r="AA14" i="37"/>
  <c r="G14" i="37"/>
  <c r="Z14" i="37"/>
  <c r="F14" i="37"/>
  <c r="Y14" i="37"/>
  <c r="E14" i="37"/>
  <c r="X14" i="37"/>
  <c r="D14" i="37"/>
  <c r="W14" i="37"/>
  <c r="V14" i="37"/>
  <c r="T14" i="37"/>
  <c r="C70" i="40"/>
  <c r="S14" i="37"/>
  <c r="Q14" i="37"/>
  <c r="P14" i="37"/>
  <c r="M14" i="37"/>
  <c r="J14" i="37"/>
  <c r="H14" i="37"/>
  <c r="U14" i="37"/>
  <c r="R14" i="37"/>
  <c r="O14" i="37"/>
  <c r="N14" i="37"/>
  <c r="L14" i="37"/>
  <c r="K14" i="37"/>
  <c r="I14" i="37"/>
  <c r="C17" i="37"/>
  <c r="C19" i="37" s="1"/>
  <c r="N7" i="37"/>
  <c r="N23" i="37" s="1"/>
  <c r="F81" i="40"/>
  <c r="C23" i="19"/>
  <c r="Z5" i="38"/>
  <c r="W5" i="38"/>
  <c r="U7" i="38"/>
  <c r="X5" i="38"/>
  <c r="V5" i="38"/>
  <c r="Y5" i="38"/>
  <c r="AA5" i="38"/>
  <c r="U7" i="19"/>
  <c r="U15" i="19" s="1"/>
  <c r="E358" i="40" s="1"/>
  <c r="X5" i="19"/>
  <c r="V5" i="19"/>
  <c r="Y5" i="19"/>
  <c r="W5" i="19"/>
  <c r="Z5" i="19"/>
  <c r="AA5" i="19"/>
  <c r="U7" i="36"/>
  <c r="U15" i="36" s="1"/>
  <c r="E276" i="40" s="1"/>
  <c r="V5" i="36"/>
  <c r="W5" i="36"/>
  <c r="Z5" i="36"/>
  <c r="X5" i="36"/>
  <c r="Y5" i="36"/>
  <c r="AA5" i="36"/>
  <c r="W5" i="37"/>
  <c r="V5" i="37"/>
  <c r="X5" i="37"/>
  <c r="Y5" i="37"/>
  <c r="Z5" i="37"/>
  <c r="AA5" i="37"/>
  <c r="U7" i="37"/>
  <c r="U15" i="37" s="1"/>
  <c r="E112" i="40" s="1"/>
  <c r="K23" i="37"/>
  <c r="K23" i="38"/>
  <c r="K23" i="36"/>
  <c r="J17" i="38" l="1"/>
  <c r="L15" i="37"/>
  <c r="D91" i="40" s="1"/>
  <c r="L23" i="37"/>
  <c r="F17" i="38"/>
  <c r="B268" i="40"/>
  <c r="R15" i="36"/>
  <c r="B276" i="40" s="1"/>
  <c r="D268" i="40"/>
  <c r="T15" i="36"/>
  <c r="D276" i="40" s="1"/>
  <c r="E329" i="40"/>
  <c r="M15" i="19"/>
  <c r="E337" i="40" s="1"/>
  <c r="G247" i="40"/>
  <c r="O15" i="36"/>
  <c r="G255" i="40" s="1"/>
  <c r="T23" i="36"/>
  <c r="H247" i="40"/>
  <c r="P15" i="36"/>
  <c r="H255" i="40" s="1"/>
  <c r="G329" i="40"/>
  <c r="O15" i="19"/>
  <c r="G337" i="40" s="1"/>
  <c r="B350" i="40"/>
  <c r="R15" i="19"/>
  <c r="B358" i="40" s="1"/>
  <c r="E247" i="40"/>
  <c r="M15" i="36"/>
  <c r="E255" i="40" s="1"/>
  <c r="C350" i="40"/>
  <c r="S15" i="19"/>
  <c r="C358" i="40" s="1"/>
  <c r="C268" i="40"/>
  <c r="S15" i="36"/>
  <c r="C276" i="40" s="1"/>
  <c r="I247" i="40"/>
  <c r="Q15" i="36"/>
  <c r="I255" i="40" s="1"/>
  <c r="H329" i="40"/>
  <c r="P15" i="19"/>
  <c r="H337" i="40" s="1"/>
  <c r="F329" i="40"/>
  <c r="N15" i="19"/>
  <c r="F337" i="40" s="1"/>
  <c r="K17" i="38"/>
  <c r="K24" i="38" s="1"/>
  <c r="C173" i="40"/>
  <c r="D350" i="40"/>
  <c r="T15" i="19"/>
  <c r="D358" i="40" s="1"/>
  <c r="D247" i="40"/>
  <c r="L15" i="36"/>
  <c r="D255" i="40" s="1"/>
  <c r="I329" i="40"/>
  <c r="Q15" i="19"/>
  <c r="I337" i="40" s="1"/>
  <c r="Q23" i="36"/>
  <c r="R23" i="36"/>
  <c r="F247" i="40"/>
  <c r="N15" i="36"/>
  <c r="F255" i="40" s="1"/>
  <c r="D329" i="40"/>
  <c r="L15" i="19"/>
  <c r="D337" i="40" s="1"/>
  <c r="D104" i="40"/>
  <c r="T15" i="37"/>
  <c r="D112" i="40" s="1"/>
  <c r="C104" i="40"/>
  <c r="S15" i="37"/>
  <c r="C112" i="40" s="1"/>
  <c r="E83" i="40"/>
  <c r="M15" i="37"/>
  <c r="E91" i="40" s="1"/>
  <c r="I83" i="40"/>
  <c r="Q15" i="37"/>
  <c r="I91" i="40" s="1"/>
  <c r="G83" i="40"/>
  <c r="O15" i="37"/>
  <c r="G91" i="40" s="1"/>
  <c r="F83" i="40"/>
  <c r="N15" i="37"/>
  <c r="F91" i="40" s="1"/>
  <c r="B104" i="40"/>
  <c r="R15" i="37"/>
  <c r="B112" i="40" s="1"/>
  <c r="T23" i="37"/>
  <c r="Q23" i="37"/>
  <c r="H83" i="40"/>
  <c r="P15" i="37"/>
  <c r="H91" i="40" s="1"/>
  <c r="M23" i="19"/>
  <c r="AA7" i="19"/>
  <c r="AA15" i="19" s="1"/>
  <c r="C378" i="40" s="1"/>
  <c r="C368" i="40"/>
  <c r="W7" i="19"/>
  <c r="W15" i="19" s="1"/>
  <c r="G358" i="40" s="1"/>
  <c r="G348" i="40"/>
  <c r="Y7" i="19"/>
  <c r="Y15" i="19" s="1"/>
  <c r="I358" i="40" s="1"/>
  <c r="I348" i="40"/>
  <c r="Z7" i="19"/>
  <c r="Z15" i="19" s="1"/>
  <c r="B378" i="40" s="1"/>
  <c r="B368" i="40"/>
  <c r="V7" i="19"/>
  <c r="V15" i="19" s="1"/>
  <c r="F358" i="40" s="1"/>
  <c r="F348" i="40"/>
  <c r="U23" i="19"/>
  <c r="E350" i="40"/>
  <c r="AA14" i="19"/>
  <c r="S14" i="19"/>
  <c r="R14" i="19"/>
  <c r="Q14" i="19"/>
  <c r="L14" i="19"/>
  <c r="P14" i="19"/>
  <c r="O14" i="19"/>
  <c r="N14" i="19"/>
  <c r="M14" i="19"/>
  <c r="K14" i="19"/>
  <c r="J14" i="19"/>
  <c r="I14" i="19"/>
  <c r="H14" i="19"/>
  <c r="C316" i="40"/>
  <c r="G14" i="19"/>
  <c r="U14" i="19"/>
  <c r="V14" i="19"/>
  <c r="W14" i="19"/>
  <c r="D14" i="19"/>
  <c r="X14" i="19"/>
  <c r="E14" i="19"/>
  <c r="Y14" i="19"/>
  <c r="F14" i="19"/>
  <c r="Z14" i="19"/>
  <c r="T14" i="19"/>
  <c r="C17" i="19"/>
  <c r="O23" i="19"/>
  <c r="X7" i="19"/>
  <c r="X15" i="19" s="1"/>
  <c r="H358" i="40" s="1"/>
  <c r="H348" i="40"/>
  <c r="S23" i="19"/>
  <c r="F275" i="40"/>
  <c r="I234" i="40"/>
  <c r="I17" i="36"/>
  <c r="AA7" i="36"/>
  <c r="AA15" i="36" s="1"/>
  <c r="C296" i="40" s="1"/>
  <c r="C286" i="40"/>
  <c r="B254" i="40"/>
  <c r="J17" i="36"/>
  <c r="H275" i="40"/>
  <c r="Y7" i="36"/>
  <c r="Y15" i="36" s="1"/>
  <c r="I276" i="40" s="1"/>
  <c r="I266" i="40"/>
  <c r="D234" i="40"/>
  <c r="D17" i="36"/>
  <c r="C254" i="40"/>
  <c r="K17" i="36"/>
  <c r="C295" i="40"/>
  <c r="X7" i="36"/>
  <c r="X15" i="36" s="1"/>
  <c r="H276" i="40" s="1"/>
  <c r="H266" i="40"/>
  <c r="Z7" i="36"/>
  <c r="Z15" i="36" s="1"/>
  <c r="B296" i="40" s="1"/>
  <c r="B286" i="40"/>
  <c r="D254" i="40"/>
  <c r="G234" i="40"/>
  <c r="G17" i="36"/>
  <c r="W7" i="36"/>
  <c r="W15" i="36" s="1"/>
  <c r="G276" i="40" s="1"/>
  <c r="G266" i="40"/>
  <c r="H234" i="40"/>
  <c r="H17" i="36"/>
  <c r="V7" i="36"/>
  <c r="V15" i="36" s="1"/>
  <c r="F276" i="40" s="1"/>
  <c r="F266" i="40"/>
  <c r="E254" i="40"/>
  <c r="U23" i="36"/>
  <c r="E268" i="40"/>
  <c r="F254" i="40"/>
  <c r="L23" i="36"/>
  <c r="I254" i="40"/>
  <c r="B275" i="40"/>
  <c r="R17" i="36"/>
  <c r="E234" i="40"/>
  <c r="E17" i="36"/>
  <c r="G254" i="40"/>
  <c r="C24" i="36"/>
  <c r="C237" i="40"/>
  <c r="C19" i="36"/>
  <c r="D275" i="40"/>
  <c r="T17" i="36"/>
  <c r="G275" i="40"/>
  <c r="I275" i="40"/>
  <c r="H254" i="40"/>
  <c r="P17" i="36"/>
  <c r="F234" i="40"/>
  <c r="F17" i="36"/>
  <c r="C275" i="40"/>
  <c r="S17" i="36"/>
  <c r="B295" i="40"/>
  <c r="E275" i="40"/>
  <c r="U17" i="36"/>
  <c r="U19" i="36" s="1"/>
  <c r="Z7" i="38"/>
  <c r="Z23" i="38" s="1"/>
  <c r="B204" i="40"/>
  <c r="D165" i="40"/>
  <c r="L15" i="38"/>
  <c r="D24" i="38"/>
  <c r="D155" i="40"/>
  <c r="D19" i="38"/>
  <c r="X7" i="38"/>
  <c r="H184" i="40"/>
  <c r="I24" i="38"/>
  <c r="I155" i="40"/>
  <c r="I19" i="38"/>
  <c r="O15" i="38"/>
  <c r="G165" i="40"/>
  <c r="S15" i="38"/>
  <c r="C186" i="40"/>
  <c r="G24" i="38"/>
  <c r="G155" i="40"/>
  <c r="G19" i="38"/>
  <c r="P15" i="38"/>
  <c r="H165" i="40"/>
  <c r="U23" i="38"/>
  <c r="U15" i="38"/>
  <c r="E186" i="40"/>
  <c r="E165" i="40"/>
  <c r="M15" i="38"/>
  <c r="C25" i="38"/>
  <c r="C3" i="39" s="1"/>
  <c r="C157" i="40"/>
  <c r="E24" i="38"/>
  <c r="E155" i="40"/>
  <c r="E19" i="38"/>
  <c r="J24" i="38"/>
  <c r="B175" i="40"/>
  <c r="J19" i="38"/>
  <c r="L23" i="38"/>
  <c r="T15" i="38"/>
  <c r="D186" i="40"/>
  <c r="W7" i="38"/>
  <c r="G184" i="40"/>
  <c r="Q15" i="38"/>
  <c r="I165" i="40"/>
  <c r="H24" i="38"/>
  <c r="H155" i="40"/>
  <c r="H19" i="38"/>
  <c r="S23" i="38"/>
  <c r="O23" i="38"/>
  <c r="N15" i="38"/>
  <c r="F165" i="40"/>
  <c r="F24" i="38"/>
  <c r="F155" i="40"/>
  <c r="F19" i="38"/>
  <c r="AA7" i="38"/>
  <c r="AA23" i="38" s="1"/>
  <c r="C204" i="40"/>
  <c r="Y7" i="38"/>
  <c r="I184" i="40"/>
  <c r="M23" i="38"/>
  <c r="V7" i="38"/>
  <c r="F184" i="40"/>
  <c r="R15" i="38"/>
  <c r="B186" i="40"/>
  <c r="S23" i="37"/>
  <c r="V7" i="37"/>
  <c r="V15" i="37" s="1"/>
  <c r="F112" i="40" s="1"/>
  <c r="F102" i="40"/>
  <c r="W7" i="37"/>
  <c r="W15" i="37" s="1"/>
  <c r="G112" i="40" s="1"/>
  <c r="G102" i="40"/>
  <c r="G90" i="40"/>
  <c r="C131" i="40"/>
  <c r="I70" i="40"/>
  <c r="I17" i="37"/>
  <c r="B131" i="40"/>
  <c r="X7" i="37"/>
  <c r="X15" i="37" s="1"/>
  <c r="H112" i="40" s="1"/>
  <c r="H102" i="40"/>
  <c r="F90" i="40"/>
  <c r="C111" i="40"/>
  <c r="AA7" i="37"/>
  <c r="AA15" i="37" s="1"/>
  <c r="C132" i="40" s="1"/>
  <c r="C122" i="40"/>
  <c r="Y7" i="37"/>
  <c r="Y15" i="37" s="1"/>
  <c r="I112" i="40" s="1"/>
  <c r="I102" i="40"/>
  <c r="E70" i="40"/>
  <c r="E17" i="37"/>
  <c r="C90" i="40"/>
  <c r="K17" i="37"/>
  <c r="E111" i="40"/>
  <c r="U17" i="37"/>
  <c r="U19" i="37" s="1"/>
  <c r="I90" i="40"/>
  <c r="D111" i="40"/>
  <c r="C24" i="37"/>
  <c r="C73" i="40"/>
  <c r="F70" i="40"/>
  <c r="F17" i="37"/>
  <c r="B90" i="40"/>
  <c r="J17" i="37"/>
  <c r="H90" i="40"/>
  <c r="F111" i="40"/>
  <c r="Z7" i="37"/>
  <c r="Z15" i="37" s="1"/>
  <c r="B132" i="40" s="1"/>
  <c r="B122" i="40"/>
  <c r="D90" i="40"/>
  <c r="L17" i="37"/>
  <c r="B111" i="40"/>
  <c r="H70" i="40"/>
  <c r="H17" i="37"/>
  <c r="G111" i="40"/>
  <c r="I111" i="40"/>
  <c r="G70" i="40"/>
  <c r="G17" i="37"/>
  <c r="E90" i="40"/>
  <c r="D70" i="40"/>
  <c r="D17" i="37"/>
  <c r="U23" i="37"/>
  <c r="E104" i="40"/>
  <c r="H111" i="40"/>
  <c r="Y23" i="36"/>
  <c r="L23" i="19"/>
  <c r="S17" i="37" l="1"/>
  <c r="S24" i="37" s="1"/>
  <c r="M17" i="37"/>
  <c r="Q17" i="36"/>
  <c r="Y17" i="36"/>
  <c r="N17" i="37"/>
  <c r="F93" i="40" s="1"/>
  <c r="O17" i="36"/>
  <c r="G257" i="40" s="1"/>
  <c r="T17" i="37"/>
  <c r="D114" i="40" s="1"/>
  <c r="W23" i="36"/>
  <c r="O17" i="37"/>
  <c r="G93" i="40" s="1"/>
  <c r="L17" i="36"/>
  <c r="L19" i="36" s="1"/>
  <c r="D259" i="40" s="1"/>
  <c r="Z23" i="36"/>
  <c r="M17" i="36"/>
  <c r="M24" i="36" s="1"/>
  <c r="W17" i="36"/>
  <c r="G278" i="40" s="1"/>
  <c r="W17" i="37"/>
  <c r="W19" i="37" s="1"/>
  <c r="X17" i="37"/>
  <c r="X24" i="37" s="1"/>
  <c r="V17" i="37"/>
  <c r="V19" i="37" s="1"/>
  <c r="Z17" i="36"/>
  <c r="Z24" i="36" s="1"/>
  <c r="L17" i="38"/>
  <c r="L24" i="38" s="1"/>
  <c r="D173" i="40"/>
  <c r="P17" i="37"/>
  <c r="P24" i="37" s="1"/>
  <c r="R17" i="38"/>
  <c r="R24" i="38" s="1"/>
  <c r="B194" i="40"/>
  <c r="C175" i="40"/>
  <c r="U17" i="38"/>
  <c r="U19" i="38" s="1"/>
  <c r="U25" i="38" s="1"/>
  <c r="U3" i="39" s="1"/>
  <c r="E194" i="40"/>
  <c r="T17" i="38"/>
  <c r="T24" i="38" s="1"/>
  <c r="D194" i="40"/>
  <c r="M17" i="38"/>
  <c r="M24" i="38" s="1"/>
  <c r="E173" i="40"/>
  <c r="N17" i="38"/>
  <c r="N24" i="38" s="1"/>
  <c r="F173" i="40"/>
  <c r="X17" i="36"/>
  <c r="X24" i="36" s="1"/>
  <c r="Q17" i="38"/>
  <c r="Q24" i="38" s="1"/>
  <c r="I173" i="40"/>
  <c r="P17" i="38"/>
  <c r="P19" i="38" s="1"/>
  <c r="H177" i="40" s="1"/>
  <c r="H173" i="40"/>
  <c r="K19" i="38"/>
  <c r="K25" i="38" s="1"/>
  <c r="K3" i="39" s="1"/>
  <c r="S17" i="38"/>
  <c r="S19" i="38" s="1"/>
  <c r="C194" i="40"/>
  <c r="O17" i="38"/>
  <c r="O24" i="38" s="1"/>
  <c r="G173" i="40"/>
  <c r="V17" i="36"/>
  <c r="V19" i="36" s="1"/>
  <c r="F280" i="40" s="1"/>
  <c r="N17" i="36"/>
  <c r="N24" i="36" s="1"/>
  <c r="AA17" i="36"/>
  <c r="C298" i="40" s="1"/>
  <c r="Y23" i="37"/>
  <c r="AA17" i="37"/>
  <c r="C134" i="40" s="1"/>
  <c r="V23" i="37"/>
  <c r="Y17" i="37"/>
  <c r="Y19" i="37" s="1"/>
  <c r="Z23" i="37"/>
  <c r="Z17" i="37"/>
  <c r="Z24" i="37" s="1"/>
  <c r="Q17" i="37"/>
  <c r="Q19" i="37" s="1"/>
  <c r="R17" i="37"/>
  <c r="R19" i="37" s="1"/>
  <c r="G336" i="40"/>
  <c r="O17" i="19"/>
  <c r="D357" i="40"/>
  <c r="T17" i="19"/>
  <c r="B377" i="40"/>
  <c r="Z17" i="19"/>
  <c r="F316" i="40"/>
  <c r="F17" i="19"/>
  <c r="B357" i="40"/>
  <c r="R17" i="19"/>
  <c r="C319" i="40"/>
  <c r="C24" i="19"/>
  <c r="C19" i="19"/>
  <c r="H336" i="40"/>
  <c r="P17" i="19"/>
  <c r="D336" i="40"/>
  <c r="L17" i="19"/>
  <c r="I336" i="40"/>
  <c r="Q17" i="19"/>
  <c r="I357" i="40"/>
  <c r="Y17" i="19"/>
  <c r="C357" i="40"/>
  <c r="S17" i="19"/>
  <c r="Z23" i="19"/>
  <c r="B370" i="40"/>
  <c r="G357" i="40"/>
  <c r="W17" i="19"/>
  <c r="H316" i="40"/>
  <c r="H17" i="19"/>
  <c r="B336" i="40"/>
  <c r="J17" i="19"/>
  <c r="W23" i="19"/>
  <c r="G350" i="40"/>
  <c r="C377" i="40"/>
  <c r="AA17" i="19"/>
  <c r="D316" i="40"/>
  <c r="D17" i="19"/>
  <c r="V23" i="19"/>
  <c r="F350" i="40"/>
  <c r="G316" i="40"/>
  <c r="G17" i="19"/>
  <c r="Y23" i="19"/>
  <c r="I350" i="40"/>
  <c r="C336" i="40"/>
  <c r="K17" i="19"/>
  <c r="E316" i="40"/>
  <c r="E17" i="19"/>
  <c r="F357" i="40"/>
  <c r="V17" i="19"/>
  <c r="X23" i="19"/>
  <c r="H350" i="40"/>
  <c r="E336" i="40"/>
  <c r="M17" i="19"/>
  <c r="AA23" i="19"/>
  <c r="C370" i="40"/>
  <c r="H357" i="40"/>
  <c r="X17" i="19"/>
  <c r="E357" i="40"/>
  <c r="U17" i="19"/>
  <c r="I316" i="40"/>
  <c r="I17" i="19"/>
  <c r="F336" i="40"/>
  <c r="N17" i="19"/>
  <c r="D24" i="36"/>
  <c r="D237" i="40"/>
  <c r="D19" i="36"/>
  <c r="Y24" i="36"/>
  <c r="I278" i="40"/>
  <c r="T24" i="36"/>
  <c r="D278" i="40"/>
  <c r="T19" i="36"/>
  <c r="C25" i="36"/>
  <c r="C4" i="39" s="1"/>
  <c r="C239" i="40"/>
  <c r="H268" i="40"/>
  <c r="V23" i="36"/>
  <c r="F268" i="40"/>
  <c r="Y19" i="36"/>
  <c r="I268" i="40"/>
  <c r="K24" i="36"/>
  <c r="C257" i="40"/>
  <c r="K19" i="36"/>
  <c r="H24" i="36"/>
  <c r="H237" i="40"/>
  <c r="H19" i="36"/>
  <c r="O24" i="36"/>
  <c r="O19" i="36"/>
  <c r="P24" i="36"/>
  <c r="H257" i="40"/>
  <c r="P19" i="36"/>
  <c r="U24" i="36"/>
  <c r="E278" i="40"/>
  <c r="J24" i="36"/>
  <c r="B257" i="40"/>
  <c r="J19" i="36"/>
  <c r="E24" i="36"/>
  <c r="E237" i="40"/>
  <c r="E19" i="36"/>
  <c r="G268" i="40"/>
  <c r="X23" i="36"/>
  <c r="G24" i="36"/>
  <c r="G237" i="40"/>
  <c r="G19" i="36"/>
  <c r="R24" i="36"/>
  <c r="B278" i="40"/>
  <c r="R19" i="36"/>
  <c r="AA23" i="36"/>
  <c r="C288" i="40"/>
  <c r="S24" i="36"/>
  <c r="C278" i="40"/>
  <c r="S19" i="36"/>
  <c r="D257" i="40"/>
  <c r="I24" i="36"/>
  <c r="I237" i="40"/>
  <c r="I19" i="36"/>
  <c r="Q24" i="36"/>
  <c r="I257" i="40"/>
  <c r="Q19" i="36"/>
  <c r="U25" i="36"/>
  <c r="U4" i="39" s="1"/>
  <c r="E280" i="40"/>
  <c r="F24" i="36"/>
  <c r="F237" i="40"/>
  <c r="F19" i="36"/>
  <c r="L25" i="36"/>
  <c r="L4" i="39" s="1"/>
  <c r="B288" i="40"/>
  <c r="S24" i="38"/>
  <c r="I25" i="38"/>
  <c r="I3" i="39" s="1"/>
  <c r="I157" i="40"/>
  <c r="C9" i="39"/>
  <c r="F25" i="38"/>
  <c r="F3" i="39" s="1"/>
  <c r="F157" i="40"/>
  <c r="D25" i="38"/>
  <c r="D3" i="39" s="1"/>
  <c r="D9" i="39" s="1"/>
  <c r="D157" i="40"/>
  <c r="V23" i="38"/>
  <c r="V15" i="38"/>
  <c r="F186" i="40"/>
  <c r="W23" i="38"/>
  <c r="W15" i="38"/>
  <c r="G186" i="40"/>
  <c r="H25" i="38"/>
  <c r="H3" i="39" s="1"/>
  <c r="H157" i="40"/>
  <c r="Y23" i="38"/>
  <c r="Y15" i="38"/>
  <c r="I186" i="40"/>
  <c r="Z15" i="38"/>
  <c r="B206" i="40"/>
  <c r="E25" i="38"/>
  <c r="E3" i="39" s="1"/>
  <c r="E157" i="40"/>
  <c r="G25" i="38"/>
  <c r="G3" i="39" s="1"/>
  <c r="G157" i="40"/>
  <c r="X23" i="38"/>
  <c r="H186" i="40"/>
  <c r="X15" i="38"/>
  <c r="AA15" i="38"/>
  <c r="C206" i="40"/>
  <c r="L19" i="38"/>
  <c r="J25" i="38"/>
  <c r="J3" i="39" s="1"/>
  <c r="B177" i="40"/>
  <c r="Y24" i="37"/>
  <c r="C25" i="37"/>
  <c r="C2" i="39" s="1"/>
  <c r="C75" i="40"/>
  <c r="F24" i="37"/>
  <c r="F73" i="40"/>
  <c r="F19" i="37"/>
  <c r="C124" i="40"/>
  <c r="G24" i="37"/>
  <c r="G73" i="40"/>
  <c r="G19" i="37"/>
  <c r="H104" i="40"/>
  <c r="X23" i="37"/>
  <c r="K24" i="37"/>
  <c r="C93" i="40"/>
  <c r="K19" i="37"/>
  <c r="L24" i="37"/>
  <c r="D93" i="40"/>
  <c r="L19" i="37"/>
  <c r="B124" i="40"/>
  <c r="E24" i="37"/>
  <c r="E73" i="40"/>
  <c r="E19" i="37"/>
  <c r="M24" i="37"/>
  <c r="E93" i="40"/>
  <c r="M19" i="37"/>
  <c r="U24" i="37"/>
  <c r="E114" i="40"/>
  <c r="AA23" i="37"/>
  <c r="W23" i="37"/>
  <c r="G104" i="40"/>
  <c r="J24" i="37"/>
  <c r="B93" i="40"/>
  <c r="J19" i="37"/>
  <c r="I24" i="37"/>
  <c r="I73" i="40"/>
  <c r="I19" i="37"/>
  <c r="U25" i="37"/>
  <c r="U2" i="39" s="1"/>
  <c r="E116" i="40"/>
  <c r="H24" i="37"/>
  <c r="H73" i="40"/>
  <c r="H19" i="37"/>
  <c r="D24" i="37"/>
  <c r="D73" i="40"/>
  <c r="D19" i="37"/>
  <c r="I104" i="40"/>
  <c r="F104" i="40"/>
  <c r="O24" i="37" l="1"/>
  <c r="N19" i="37"/>
  <c r="S19" i="37"/>
  <c r="S25" i="37" s="1"/>
  <c r="S2" i="39" s="1"/>
  <c r="C114" i="40"/>
  <c r="N24" i="37"/>
  <c r="I114" i="40"/>
  <c r="T24" i="37"/>
  <c r="T19" i="37"/>
  <c r="T25" i="37" s="1"/>
  <c r="T2" i="39" s="1"/>
  <c r="X19" i="37"/>
  <c r="X25" i="37" s="1"/>
  <c r="X2" i="39" s="1"/>
  <c r="W24" i="36"/>
  <c r="L24" i="36"/>
  <c r="I93" i="40"/>
  <c r="Q24" i="37"/>
  <c r="R24" i="37"/>
  <c r="M19" i="36"/>
  <c r="W19" i="36"/>
  <c r="E257" i="40"/>
  <c r="G114" i="40"/>
  <c r="O19" i="37"/>
  <c r="O25" i="37" s="1"/>
  <c r="O2" i="39" s="1"/>
  <c r="H175" i="40"/>
  <c r="B114" i="40"/>
  <c r="P24" i="38"/>
  <c r="W24" i="37"/>
  <c r="C196" i="40"/>
  <c r="Z19" i="36"/>
  <c r="Z25" i="36" s="1"/>
  <c r="Z4" i="39" s="1"/>
  <c r="H114" i="40"/>
  <c r="P25" i="38"/>
  <c r="P3" i="39" s="1"/>
  <c r="X19" i="36"/>
  <c r="X25" i="36" s="1"/>
  <c r="X4" i="39" s="1"/>
  <c r="Q19" i="38"/>
  <c r="V24" i="36"/>
  <c r="F114" i="40"/>
  <c r="I175" i="40"/>
  <c r="B298" i="40"/>
  <c r="V24" i="37"/>
  <c r="V25" i="36"/>
  <c r="V4" i="39" s="1"/>
  <c r="C177" i="40"/>
  <c r="H278" i="40"/>
  <c r="F278" i="40"/>
  <c r="N19" i="36"/>
  <c r="F259" i="40" s="1"/>
  <c r="AA24" i="36"/>
  <c r="D175" i="40"/>
  <c r="P19" i="37"/>
  <c r="P25" i="37" s="1"/>
  <c r="P2" i="39" s="1"/>
  <c r="H93" i="40"/>
  <c r="E198" i="40"/>
  <c r="O19" i="38"/>
  <c r="O25" i="38" s="1"/>
  <c r="O3" i="39" s="1"/>
  <c r="E196" i="40"/>
  <c r="G175" i="40"/>
  <c r="U24" i="38"/>
  <c r="R19" i="38"/>
  <c r="B198" i="40" s="1"/>
  <c r="B196" i="40"/>
  <c r="F257" i="40"/>
  <c r="AA19" i="36"/>
  <c r="C300" i="40" s="1"/>
  <c r="T19" i="38"/>
  <c r="T25" i="38" s="1"/>
  <c r="T3" i="39" s="1"/>
  <c r="D196" i="40"/>
  <c r="Z19" i="37"/>
  <c r="B136" i="40" s="1"/>
  <c r="AA19" i="37"/>
  <c r="C136" i="40" s="1"/>
  <c r="M19" i="38"/>
  <c r="M25" i="38" s="1"/>
  <c r="M3" i="39" s="1"/>
  <c r="E175" i="40"/>
  <c r="AA24" i="37"/>
  <c r="N19" i="38"/>
  <c r="N25" i="38" s="1"/>
  <c r="N3" i="39" s="1"/>
  <c r="B134" i="40"/>
  <c r="F175" i="40"/>
  <c r="Y17" i="38"/>
  <c r="I196" i="40" s="1"/>
  <c r="I194" i="40"/>
  <c r="B28" i="38"/>
  <c r="C20" i="39" s="1"/>
  <c r="D22" i="40" s="1"/>
  <c r="W17" i="38"/>
  <c r="G196" i="40" s="1"/>
  <c r="G194" i="40"/>
  <c r="B28" i="19"/>
  <c r="E20" i="39" s="1"/>
  <c r="H22" i="40" s="1"/>
  <c r="AA17" i="38"/>
  <c r="AA19" i="38" s="1"/>
  <c r="AA25" i="38" s="1"/>
  <c r="AA3" i="39" s="1"/>
  <c r="C214" i="40"/>
  <c r="V17" i="38"/>
  <c r="V24" i="38" s="1"/>
  <c r="F194" i="40"/>
  <c r="X17" i="38"/>
  <c r="X19" i="38" s="1"/>
  <c r="H194" i="40"/>
  <c r="Z17" i="38"/>
  <c r="Z19" i="38" s="1"/>
  <c r="B214" i="40"/>
  <c r="B28" i="36"/>
  <c r="D20" i="39" s="1"/>
  <c r="F22" i="40" s="1"/>
  <c r="B29" i="37"/>
  <c r="B20" i="39" s="1"/>
  <c r="B22" i="40" s="1"/>
  <c r="K9" i="39"/>
  <c r="G9" i="39"/>
  <c r="J9" i="39"/>
  <c r="W24" i="19"/>
  <c r="G360" i="40"/>
  <c r="M24" i="19"/>
  <c r="E339" i="40"/>
  <c r="M19" i="19"/>
  <c r="R24" i="19"/>
  <c r="B360" i="40"/>
  <c r="X24" i="19"/>
  <c r="H360" i="40"/>
  <c r="AA24" i="19"/>
  <c r="C380" i="40"/>
  <c r="Y24" i="19"/>
  <c r="I360" i="40"/>
  <c r="D319" i="40"/>
  <c r="D24" i="19"/>
  <c r="D19" i="19"/>
  <c r="N24" i="19"/>
  <c r="F339" i="40"/>
  <c r="N19" i="19"/>
  <c r="I24" i="19"/>
  <c r="I319" i="40"/>
  <c r="I19" i="19"/>
  <c r="B339" i="40"/>
  <c r="J24" i="19"/>
  <c r="J19" i="19"/>
  <c r="D360" i="40"/>
  <c r="T24" i="19"/>
  <c r="Q24" i="19"/>
  <c r="I339" i="40"/>
  <c r="D339" i="40"/>
  <c r="L24" i="19"/>
  <c r="L19" i="19"/>
  <c r="F360" i="40"/>
  <c r="V24" i="19"/>
  <c r="Z24" i="19"/>
  <c r="B380" i="40"/>
  <c r="C339" i="40"/>
  <c r="K24" i="19"/>
  <c r="K19" i="19"/>
  <c r="G319" i="40"/>
  <c r="G19" i="19"/>
  <c r="G24" i="19"/>
  <c r="U24" i="19"/>
  <c r="E360" i="40"/>
  <c r="H319" i="40"/>
  <c r="H24" i="19"/>
  <c r="H19" i="19"/>
  <c r="G339" i="40"/>
  <c r="O24" i="19"/>
  <c r="O19" i="19"/>
  <c r="F319" i="40"/>
  <c r="F24" i="19"/>
  <c r="F19" i="19"/>
  <c r="E319" i="40"/>
  <c r="E19" i="19"/>
  <c r="E24" i="19"/>
  <c r="H339" i="40"/>
  <c r="P24" i="19"/>
  <c r="P19" i="19"/>
  <c r="C25" i="19"/>
  <c r="C5" i="39" s="1"/>
  <c r="C321" i="40"/>
  <c r="S24" i="19"/>
  <c r="C360" i="40"/>
  <c r="Q19" i="19"/>
  <c r="I341" i="40" s="1"/>
  <c r="Y25" i="36"/>
  <c r="Y4" i="39" s="1"/>
  <c r="I280" i="40"/>
  <c r="P25" i="36"/>
  <c r="P4" i="39" s="1"/>
  <c r="H259" i="40"/>
  <c r="R25" i="36"/>
  <c r="R4" i="39" s="1"/>
  <c r="B280" i="40"/>
  <c r="Q25" i="36"/>
  <c r="Q4" i="39" s="1"/>
  <c r="I259" i="40"/>
  <c r="I25" i="36"/>
  <c r="I4" i="39" s="1"/>
  <c r="I239" i="40"/>
  <c r="W25" i="36"/>
  <c r="W4" i="39" s="1"/>
  <c r="G280" i="40"/>
  <c r="E25" i="36"/>
  <c r="E4" i="39" s="1"/>
  <c r="E239" i="40"/>
  <c r="C10" i="39"/>
  <c r="T25" i="36"/>
  <c r="T4" i="39" s="1"/>
  <c r="D280" i="40"/>
  <c r="H25" i="36"/>
  <c r="H4" i="39" s="1"/>
  <c r="H239" i="40"/>
  <c r="S25" i="36"/>
  <c r="S4" i="39" s="1"/>
  <c r="C280" i="40"/>
  <c r="G25" i="36"/>
  <c r="G4" i="39" s="1"/>
  <c r="G239" i="40"/>
  <c r="J25" i="36"/>
  <c r="J4" i="39" s="1"/>
  <c r="B259" i="40"/>
  <c r="O25" i="36"/>
  <c r="O4" i="39" s="1"/>
  <c r="G259" i="40"/>
  <c r="M25" i="36"/>
  <c r="M4" i="39" s="1"/>
  <c r="E259" i="40"/>
  <c r="F25" i="36"/>
  <c r="F4" i="39" s="1"/>
  <c r="F239" i="40"/>
  <c r="D25" i="36"/>
  <c r="D239" i="40"/>
  <c r="K25" i="36"/>
  <c r="K4" i="39" s="1"/>
  <c r="C259" i="40"/>
  <c r="C218" i="40"/>
  <c r="F9" i="39"/>
  <c r="H9" i="39"/>
  <c r="E9" i="39"/>
  <c r="S25" i="38"/>
  <c r="S3" i="39" s="1"/>
  <c r="C198" i="40"/>
  <c r="R25" i="38"/>
  <c r="R3" i="39" s="1"/>
  <c r="I9" i="39"/>
  <c r="Q25" i="38"/>
  <c r="Q3" i="39" s="1"/>
  <c r="I177" i="40"/>
  <c r="L25" i="38"/>
  <c r="D177" i="40"/>
  <c r="W25" i="37"/>
  <c r="W2" i="39" s="1"/>
  <c r="G116" i="40"/>
  <c r="G25" i="37"/>
  <c r="G2" i="39" s="1"/>
  <c r="G75" i="40"/>
  <c r="H25" i="37"/>
  <c r="H2" i="39" s="1"/>
  <c r="H75" i="40"/>
  <c r="F25" i="37"/>
  <c r="F2" i="39" s="1"/>
  <c r="F75" i="40"/>
  <c r="M25" i="37"/>
  <c r="M2" i="39" s="1"/>
  <c r="E95" i="40"/>
  <c r="D25" i="37"/>
  <c r="D75" i="40"/>
  <c r="Q25" i="37"/>
  <c r="Q2" i="39" s="1"/>
  <c r="I95" i="40"/>
  <c r="L25" i="37"/>
  <c r="L2" i="39" s="1"/>
  <c r="D95" i="40"/>
  <c r="R25" i="37"/>
  <c r="R2" i="39" s="1"/>
  <c r="B116" i="40"/>
  <c r="V25" i="37"/>
  <c r="V2" i="39" s="1"/>
  <c r="F116" i="40"/>
  <c r="I25" i="37"/>
  <c r="I2" i="39" s="1"/>
  <c r="I75" i="40"/>
  <c r="K25" i="37"/>
  <c r="K2" i="39" s="1"/>
  <c r="C95" i="40"/>
  <c r="C116" i="40"/>
  <c r="E75" i="40"/>
  <c r="E25" i="37"/>
  <c r="E2" i="39" s="1"/>
  <c r="C8" i="39"/>
  <c r="Y25" i="37"/>
  <c r="Y2" i="39" s="1"/>
  <c r="I116" i="40"/>
  <c r="N25" i="37"/>
  <c r="N2" i="39" s="1"/>
  <c r="F95" i="40"/>
  <c r="J25" i="37"/>
  <c r="J2" i="39" s="1"/>
  <c r="B95" i="40"/>
  <c r="R19" i="19"/>
  <c r="B362" i="40" s="1"/>
  <c r="H116" i="40" l="1"/>
  <c r="D116" i="40"/>
  <c r="G95" i="40"/>
  <c r="G177" i="40"/>
  <c r="N25" i="36"/>
  <c r="N4" i="39" s="1"/>
  <c r="Y24" i="38"/>
  <c r="B300" i="40"/>
  <c r="B29" i="36"/>
  <c r="D21" i="39" s="1"/>
  <c r="F23" i="40" s="1"/>
  <c r="W19" i="38"/>
  <c r="H280" i="40"/>
  <c r="W24" i="38"/>
  <c r="Y19" i="38"/>
  <c r="B30" i="37"/>
  <c r="B21" i="39" s="1"/>
  <c r="B23" i="40" s="1"/>
  <c r="AA25" i="37"/>
  <c r="AA2" i="39" s="1"/>
  <c r="Z24" i="38"/>
  <c r="H95" i="40"/>
  <c r="B216" i="40"/>
  <c r="F177" i="40"/>
  <c r="E177" i="40"/>
  <c r="D198" i="40"/>
  <c r="AA25" i="36"/>
  <c r="AA4" i="39" s="1"/>
  <c r="C216" i="40"/>
  <c r="Z25" i="37"/>
  <c r="Z2" i="39" s="1"/>
  <c r="AA24" i="38"/>
  <c r="H196" i="40"/>
  <c r="X24" i="38"/>
  <c r="V19" i="38"/>
  <c r="F198" i="40" s="1"/>
  <c r="F196" i="40"/>
  <c r="B29" i="19"/>
  <c r="E21" i="39" s="1"/>
  <c r="H23" i="40" s="1"/>
  <c r="Q25" i="19"/>
  <c r="Q5" i="39" s="1"/>
  <c r="Q14" i="39" s="1"/>
  <c r="G341" i="40"/>
  <c r="O25" i="19"/>
  <c r="O5" i="39" s="1"/>
  <c r="O14" i="39" s="1"/>
  <c r="L25" i="19"/>
  <c r="L5" i="39" s="1"/>
  <c r="D341" i="40"/>
  <c r="H341" i="40"/>
  <c r="P25" i="19"/>
  <c r="P5" i="39" s="1"/>
  <c r="P14" i="39" s="1"/>
  <c r="M25" i="19"/>
  <c r="M5" i="39" s="1"/>
  <c r="M14" i="39" s="1"/>
  <c r="E341" i="40"/>
  <c r="C341" i="40"/>
  <c r="K25" i="19"/>
  <c r="K5" i="39" s="1"/>
  <c r="K14" i="39" s="1"/>
  <c r="I25" i="19"/>
  <c r="I5" i="39" s="1"/>
  <c r="I14" i="39" s="1"/>
  <c r="I321" i="40"/>
  <c r="F341" i="40"/>
  <c r="N25" i="19"/>
  <c r="N5" i="39" s="1"/>
  <c r="N14" i="39" s="1"/>
  <c r="F321" i="40"/>
  <c r="F25" i="19"/>
  <c r="F5" i="39" s="1"/>
  <c r="F14" i="39" s="1"/>
  <c r="H25" i="19"/>
  <c r="H5" i="39" s="1"/>
  <c r="H14" i="39" s="1"/>
  <c r="H321" i="40"/>
  <c r="D25" i="19"/>
  <c r="D5" i="39" s="1"/>
  <c r="D11" i="39" s="1"/>
  <c r="D321" i="40"/>
  <c r="J25" i="19"/>
  <c r="J5" i="39" s="1"/>
  <c r="J14" i="39" s="1"/>
  <c r="B341" i="40"/>
  <c r="C11" i="39"/>
  <c r="C14" i="39"/>
  <c r="E321" i="40"/>
  <c r="E25" i="19"/>
  <c r="E5" i="39" s="1"/>
  <c r="E14" i="39" s="1"/>
  <c r="G25" i="19"/>
  <c r="G5" i="39" s="1"/>
  <c r="G14" i="39" s="1"/>
  <c r="G321" i="40"/>
  <c r="D4" i="39"/>
  <c r="L10" i="39" s="1"/>
  <c r="Y25" i="38"/>
  <c r="Y3" i="39" s="1"/>
  <c r="I198" i="40"/>
  <c r="L3" i="39"/>
  <c r="Z25" i="38"/>
  <c r="Z3" i="39" s="1"/>
  <c r="B218" i="40"/>
  <c r="X25" i="38"/>
  <c r="X3" i="39" s="1"/>
  <c r="H198" i="40"/>
  <c r="W25" i="38"/>
  <c r="W3" i="39" s="1"/>
  <c r="G198" i="40"/>
  <c r="D2" i="39"/>
  <c r="P8" i="39" s="1"/>
  <c r="R25" i="19"/>
  <c r="R5" i="39" s="1"/>
  <c r="R14" i="39" s="1"/>
  <c r="S19" i="19"/>
  <c r="C362" i="40" s="1"/>
  <c r="W8" i="39" l="1"/>
  <c r="B31" i="37"/>
  <c r="B22" i="39" s="1"/>
  <c r="B24" i="40" s="1"/>
  <c r="B29" i="38"/>
  <c r="C21" i="39" s="1"/>
  <c r="D23" i="40" s="1"/>
  <c r="B30" i="36"/>
  <c r="D22" i="39" s="1"/>
  <c r="F24" i="40" s="1"/>
  <c r="V25" i="38"/>
  <c r="V3" i="39" s="1"/>
  <c r="W9" i="39" s="1"/>
  <c r="I11" i="39"/>
  <c r="F11" i="39"/>
  <c r="Q11" i="39"/>
  <c r="D14" i="39"/>
  <c r="O11" i="39"/>
  <c r="N11" i="39"/>
  <c r="P11" i="39"/>
  <c r="L11" i="39"/>
  <c r="H11" i="39"/>
  <c r="K11" i="39"/>
  <c r="G11" i="39"/>
  <c r="J11" i="39"/>
  <c r="M11" i="39"/>
  <c r="E11" i="39"/>
  <c r="X10" i="39"/>
  <c r="AA10" i="39"/>
  <c r="W10" i="39"/>
  <c r="Y10" i="39"/>
  <c r="Z10" i="39"/>
  <c r="E10" i="39"/>
  <c r="J10" i="39"/>
  <c r="H10" i="39"/>
  <c r="F10" i="39"/>
  <c r="V10" i="39"/>
  <c r="G10" i="39"/>
  <c r="K10" i="39"/>
  <c r="I10" i="39"/>
  <c r="Q10" i="39"/>
  <c r="O10" i="39"/>
  <c r="T10" i="39"/>
  <c r="R10" i="39"/>
  <c r="S10" i="39"/>
  <c r="P10" i="39"/>
  <c r="D10" i="39"/>
  <c r="N10" i="39"/>
  <c r="M10" i="39"/>
  <c r="U10" i="39"/>
  <c r="X9" i="39"/>
  <c r="R9" i="39"/>
  <c r="L14" i="39"/>
  <c r="L9" i="39"/>
  <c r="O9" i="39"/>
  <c r="T9" i="39"/>
  <c r="M9" i="39"/>
  <c r="Q9" i="39"/>
  <c r="AA9" i="39"/>
  <c r="U9" i="39"/>
  <c r="P9" i="39"/>
  <c r="S9" i="39"/>
  <c r="N9" i="39"/>
  <c r="Z8" i="39"/>
  <c r="AA8" i="39"/>
  <c r="V8" i="39"/>
  <c r="X8" i="39"/>
  <c r="Y8" i="39"/>
  <c r="J8" i="39"/>
  <c r="Q8" i="39"/>
  <c r="R8" i="39"/>
  <c r="U8" i="39"/>
  <c r="E8" i="39"/>
  <c r="F8" i="39"/>
  <c r="G8" i="39"/>
  <c r="N8" i="39"/>
  <c r="M8" i="39"/>
  <c r="T8" i="39"/>
  <c r="S8" i="39"/>
  <c r="L8" i="39"/>
  <c r="K8" i="39"/>
  <c r="O8" i="39"/>
  <c r="H8" i="39"/>
  <c r="D8" i="39"/>
  <c r="I8" i="39"/>
  <c r="R11" i="39"/>
  <c r="S25" i="19"/>
  <c r="S5" i="39" s="1"/>
  <c r="T19" i="19"/>
  <c r="D362" i="40" s="1"/>
  <c r="Y9" i="39" l="1"/>
  <c r="V9" i="39"/>
  <c r="Z9" i="39"/>
  <c r="B30" i="38"/>
  <c r="C22" i="39" s="1"/>
  <c r="D24" i="40" s="1"/>
  <c r="S14" i="39"/>
  <c r="S11" i="39"/>
  <c r="T25" i="19"/>
  <c r="T5" i="39" s="1"/>
  <c r="U19" i="19"/>
  <c r="E362" i="40" s="1"/>
  <c r="T14" i="39" l="1"/>
  <c r="T11" i="39"/>
  <c r="U25" i="19"/>
  <c r="U5" i="39" s="1"/>
  <c r="V19" i="19"/>
  <c r="F362" i="40" s="1"/>
  <c r="U14" i="39" l="1"/>
  <c r="U11" i="39"/>
  <c r="V25" i="19"/>
  <c r="V5" i="39" s="1"/>
  <c r="W19" i="19"/>
  <c r="G362" i="40" s="1"/>
  <c r="V14" i="39" l="1"/>
  <c r="V11" i="39"/>
  <c r="W25" i="19"/>
  <c r="W5" i="39" s="1"/>
  <c r="X19" i="19"/>
  <c r="H362" i="40" s="1"/>
  <c r="W14" i="39" l="1"/>
  <c r="W11" i="39"/>
  <c r="X25" i="19"/>
  <c r="X5" i="39" s="1"/>
  <c r="Y19" i="19"/>
  <c r="I362" i="40" s="1"/>
  <c r="X14" i="39" l="1"/>
  <c r="X11" i="39"/>
  <c r="Y25" i="19"/>
  <c r="Y5" i="39" s="1"/>
  <c r="AA19" i="19"/>
  <c r="C382" i="40" s="1"/>
  <c r="Z19" i="19"/>
  <c r="B382" i="40" s="1"/>
  <c r="Y14" i="39" l="1"/>
  <c r="Y11" i="39"/>
  <c r="Z25" i="19"/>
  <c r="Z5" i="39" s="1"/>
  <c r="AA25" i="19"/>
  <c r="AA5" i="39" s="1"/>
  <c r="AA14" i="39" l="1"/>
  <c r="AA11" i="39"/>
  <c r="Z14" i="39"/>
  <c r="Z11" i="39"/>
  <c r="B30" i="19"/>
  <c r="E22" i="39" s="1"/>
  <c r="H24" i="4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Kao, Bryan</author>
  </authors>
  <commentList>
    <comment ref="C7" authorId="0" shapeId="0" xr:uid="{67FAE950-584B-4855-A93C-A84944C11257}">
      <text>
        <r>
          <rPr>
            <b/>
            <sz val="9"/>
            <color indexed="81"/>
            <rFont val="Tahoma"/>
            <family val="2"/>
          </rPr>
          <t>Kao, Bryan:</t>
        </r>
        <r>
          <rPr>
            <sz val="9"/>
            <color indexed="81"/>
            <rFont val="Tahoma"/>
            <family val="2"/>
          </rPr>
          <t xml:space="preserve">
Missing some zeroes?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<sst xmlns="http://schemas.openxmlformats.org/spreadsheetml/2006/main" count="11671" uniqueCount="343">
  <si>
    <t>SymbolID</t>
  </si>
  <si>
    <t>Shape_Leng</t>
  </si>
  <si>
    <t>OBJECTID</t>
  </si>
  <si>
    <t>Join_Count</t>
  </si>
  <si>
    <t>TARGET_FID</t>
  </si>
  <si>
    <t>Name</t>
  </si>
  <si>
    <t>Name_v2</t>
  </si>
  <si>
    <t>Field1</t>
  </si>
  <si>
    <t>Segment</t>
  </si>
  <si>
    <t>Street</t>
  </si>
  <si>
    <t>To</t>
  </si>
  <si>
    <t>Space_Total</t>
  </si>
  <si>
    <t>Occ_Sat_10AM_CT</t>
  </si>
  <si>
    <t>Occ_Sat_2PM_CT</t>
  </si>
  <si>
    <t>Occ_Sat_4PM_CT</t>
  </si>
  <si>
    <t>Occ_Sat_8PM_CT</t>
  </si>
  <si>
    <t>Occ_Sat_10AM_Per</t>
  </si>
  <si>
    <t>Occ_Sat_2PM_Per</t>
  </si>
  <si>
    <t>Occ_Sat_4PM_Per</t>
  </si>
  <si>
    <t>Occ_Sat_8PM_Per</t>
  </si>
  <si>
    <t>Occ_Sat_is75</t>
  </si>
  <si>
    <t>Occ_Thu_10AM_CT</t>
  </si>
  <si>
    <t>Occ_Thu_2PM_CT</t>
  </si>
  <si>
    <t>Occ_Thu_4PM_CT</t>
  </si>
  <si>
    <t>Occ_Thu_8PM_CT</t>
  </si>
  <si>
    <t>Occ_Thu_10AM_Per</t>
  </si>
  <si>
    <t>Occ_Thu_2PM_Per</t>
  </si>
  <si>
    <t>Occ_Thu_4PM_Per</t>
  </si>
  <si>
    <t>Occ_Thu_8PM_Per</t>
  </si>
  <si>
    <t>Occ_Thu_is75</t>
  </si>
  <si>
    <t>TO_Sat_10AM_CT</t>
  </si>
  <si>
    <t>TO_Sat_11AM_CT</t>
  </si>
  <si>
    <t>TO_Sat_12PM_CT</t>
  </si>
  <si>
    <t>TO_Sat_1PM_CT</t>
  </si>
  <si>
    <t>TO_Sat_2PM_CT</t>
  </si>
  <si>
    <t>TO_Sat_3PM_CT</t>
  </si>
  <si>
    <t>TO_Sat_4PM_CT</t>
  </si>
  <si>
    <t>TO_Sat_5PM_CT</t>
  </si>
  <si>
    <t>TO_Sat_6PM_CT</t>
  </si>
  <si>
    <t>TO_Sat_7PM_CT</t>
  </si>
  <si>
    <t>TO_Sat_Total</t>
  </si>
  <si>
    <t>TO_Sat_Rate</t>
  </si>
  <si>
    <t>TO_Sat_Range</t>
  </si>
  <si>
    <t>TO_Thu_10AM_CT</t>
  </si>
  <si>
    <t>TO_Thu_11AM_CT</t>
  </si>
  <si>
    <t>TO_Thu_12PM_CT</t>
  </si>
  <si>
    <t>TO_Thu_1PM_CT</t>
  </si>
  <si>
    <t>TO_Thu_2PM_CT</t>
  </si>
  <si>
    <t>TO_Thu_3PM_CT</t>
  </si>
  <si>
    <t>TO_Thu_4PM_CT</t>
  </si>
  <si>
    <t>TO_Thu_5PM_CT</t>
  </si>
  <si>
    <t>TO_Thu_6PM_CT</t>
  </si>
  <si>
    <t>TO_Thu_7PM_CT</t>
  </si>
  <si>
    <t>TO_Thu_Total</t>
  </si>
  <si>
    <t>TO_Thu_Rate</t>
  </si>
  <si>
    <t>TO_Thu_Range</t>
  </si>
  <si>
    <t>x</t>
  </si>
  <si>
    <t>Shape_Length</t>
  </si>
  <si>
    <t>Occ_All_is75</t>
  </si>
  <si>
    <t>Park Pl</t>
  </si>
  <si>
    <t>El Camino Real</t>
  </si>
  <si>
    <t>Park Blvd</t>
  </si>
  <si>
    <t>NA</t>
  </si>
  <si>
    <t>2.0 - 3.0</t>
  </si>
  <si>
    <t>N</t>
  </si>
  <si>
    <t>3.0 - 4.0</t>
  </si>
  <si>
    <t>S</t>
  </si>
  <si>
    <t>4.0 - 5.0</t>
  </si>
  <si>
    <t>1.0 - 2.0</t>
  </si>
  <si>
    <t>Magnolia Ave</t>
  </si>
  <si>
    <t>Palmito Dr</t>
  </si>
  <si>
    <t>W</t>
  </si>
  <si>
    <t>Santa Clara Ave</t>
  </si>
  <si>
    <t>Santa Inez Ave</t>
  </si>
  <si>
    <t>E</t>
  </si>
  <si>
    <t>San Diego Ave</t>
  </si>
  <si>
    <t>Santa Maria Ave</t>
  </si>
  <si>
    <t>0.0 - 1.0</t>
  </si>
  <si>
    <t>Alley</t>
  </si>
  <si>
    <t>Capuchino Dr</t>
  </si>
  <si>
    <t>Santa Helena Ave</t>
  </si>
  <si>
    <t>San Juan Ave</t>
  </si>
  <si>
    <t>Broadway</t>
  </si>
  <si>
    <t>Millwood Dr</t>
  </si>
  <si>
    <t>Milwood Dr</t>
  </si>
  <si>
    <t>Center St</t>
  </si>
  <si>
    <t>Ludeman Ln</t>
  </si>
  <si>
    <t>Paramount Dr</t>
  </si>
  <si>
    <t>Parking Lot</t>
  </si>
  <si>
    <t>Meadow Glen Ave</t>
  </si>
  <si>
    <t>Parking Lot Driveway</t>
  </si>
  <si>
    <t>Helen Dr</t>
  </si>
  <si>
    <t>Anita Dr</t>
  </si>
  <si>
    <t>Richmond Dr</t>
  </si>
  <si>
    <t>Library Ave</t>
  </si>
  <si>
    <t>Poplar Ave</t>
  </si>
  <si>
    <t>Lansdale Ave</t>
  </si>
  <si>
    <t>Taylor Blvd</t>
  </si>
  <si>
    <t>Palm Ave</t>
  </si>
  <si>
    <t>&gt; 6.0</t>
  </si>
  <si>
    <t>Crosswalk</t>
  </si>
  <si>
    <t>Silva Ave</t>
  </si>
  <si>
    <t>5.0 - 6.0</t>
  </si>
  <si>
    <t>970 El Camino Driveway</t>
  </si>
  <si>
    <t>Mateo Ave</t>
  </si>
  <si>
    <t>Hermosa Ave</t>
  </si>
  <si>
    <t>Hemlock Ave</t>
  </si>
  <si>
    <t>End</t>
  </si>
  <si>
    <t>Curve</t>
  </si>
  <si>
    <t>Hillcrest Blvd</t>
  </si>
  <si>
    <t>El Camino Real E</t>
  </si>
  <si>
    <t>Barclay Ave</t>
  </si>
  <si>
    <t>La Cruz Ave</t>
  </si>
  <si>
    <t>Sierra Ave</t>
  </si>
  <si>
    <t>Willow Ave</t>
  </si>
  <si>
    <t>Lewis Ave</t>
  </si>
  <si>
    <t>Victoria Ave</t>
  </si>
  <si>
    <t>Chadbourne Ave</t>
  </si>
  <si>
    <t>Linden Ave</t>
  </si>
  <si>
    <t>Millbrae Ave</t>
  </si>
  <si>
    <t>Elder Ave</t>
  </si>
  <si>
    <t>Murchison Dr</t>
  </si>
  <si>
    <t>California Dr</t>
  </si>
  <si>
    <t>Irwin Pl</t>
  </si>
  <si>
    <t>Rollins Rd</t>
  </si>
  <si>
    <t>Ramp</t>
  </si>
  <si>
    <t>Adrian Rd</t>
  </si>
  <si>
    <t>375 Adrian Rd</t>
  </si>
  <si>
    <t>From</t>
  </si>
  <si>
    <t>Weekday</t>
  </si>
  <si>
    <t>Weekend</t>
  </si>
  <si>
    <t>Combined</t>
  </si>
  <si>
    <t>Observations Where Occupancy &gt; 75%</t>
  </si>
  <si>
    <t>Turnover Rate</t>
  </si>
  <si>
    <t>Total Vehicle Hours</t>
  </si>
  <si>
    <t>Total Vehicles Count</t>
  </si>
  <si>
    <t>Weekly</t>
  </si>
  <si>
    <t>Annual</t>
  </si>
  <si>
    <t>Revenue</t>
  </si>
  <si>
    <t>Side</t>
  </si>
  <si>
    <t>Parking
Supply</t>
  </si>
  <si>
    <t>Total Vehicle Count</t>
  </si>
  <si>
    <t>Total Weekly Revenue</t>
  </si>
  <si>
    <t>Total Annual Revenue</t>
  </si>
  <si>
    <t>$0/hr</t>
  </si>
  <si>
    <t>$1/hr</t>
  </si>
  <si>
    <t>$2/hr</t>
  </si>
  <si>
    <t>$3/hr</t>
  </si>
  <si>
    <t>Total Chargeable Vehicle Hours</t>
  </si>
  <si>
    <t>2.0 - 2.5</t>
  </si>
  <si>
    <t>1.5 - 2.0</t>
  </si>
  <si>
    <t>Total Paid Parking Supply</t>
  </si>
  <si>
    <t>Kiosk Count</t>
  </si>
  <si>
    <t>Handheld Enforcement Devices</t>
  </si>
  <si>
    <t xml:space="preserve">   Construction Cost</t>
  </si>
  <si>
    <t xml:space="preserve">   Signage</t>
  </si>
  <si>
    <t>San Bruno, 186</t>
  </si>
  <si>
    <t>Oakland, 381</t>
  </si>
  <si>
    <t>Emeryville, 350</t>
  </si>
  <si>
    <t>Ogden, 1335</t>
  </si>
  <si>
    <t>Capital Cost per unit</t>
  </si>
  <si>
    <t>Kiosk</t>
  </si>
  <si>
    <t>LPR vehicle</t>
  </si>
  <si>
    <t>Signage</t>
  </si>
  <si>
    <t>First year various (software, training, etc)</t>
  </si>
  <si>
    <t>Construction cost</t>
  </si>
  <si>
    <t>Maintenance cost</t>
  </si>
  <si>
    <t>Enforcement officer, per person</t>
  </si>
  <si>
    <t xml:space="preserve"> </t>
  </si>
  <si>
    <t>Maintenance cost, total</t>
  </si>
  <si>
    <t>Income</t>
  </si>
  <si>
    <t>Citations/space</t>
  </si>
  <si>
    <t>Third Party Operator Contract</t>
  </si>
  <si>
    <t>LAZ, $2.5mil, 5yr</t>
  </si>
  <si>
    <t>N/A</t>
  </si>
  <si>
    <t>Total Chargeable Hours</t>
  </si>
  <si>
    <t>Phase 2</t>
  </si>
  <si>
    <t>Phase 1</t>
  </si>
  <si>
    <t>Millbrae</t>
  </si>
  <si>
    <t>$2000/kiosk</t>
  </si>
  <si>
    <t>$500/space</t>
  </si>
  <si>
    <t>Expenses</t>
  </si>
  <si>
    <t>Net Income</t>
  </si>
  <si>
    <t>Total Net Income</t>
  </si>
  <si>
    <t>Space Total</t>
  </si>
  <si>
    <t>On-Street</t>
  </si>
  <si>
    <t>Off-Street</t>
  </si>
  <si>
    <t>Total Revenue</t>
  </si>
  <si>
    <t>Total Expenses</t>
  </si>
  <si>
    <t xml:space="preserve">  Contribution to Community Benefits District</t>
  </si>
  <si>
    <t>OBJECTID_1 *</t>
  </si>
  <si>
    <t>Short Term Parking</t>
  </si>
  <si>
    <t>Medium Term Parking</t>
  </si>
  <si>
    <t>Unlimited Parking</t>
  </si>
  <si>
    <t>Handicapped Parking</t>
  </si>
  <si>
    <t>Loading Zone</t>
  </si>
  <si>
    <t>Permitted Parking</t>
  </si>
  <si>
    <t>TO_Sat_0-1 HRS</t>
  </si>
  <si>
    <t>TO_Sat_1-2 HRS</t>
  </si>
  <si>
    <t>TO_Sat_2-3 HRS</t>
  </si>
  <si>
    <t>TO_Sat_3-4 HRS</t>
  </si>
  <si>
    <t>TO_Sat_4-5 HRS</t>
  </si>
  <si>
    <t>TO_Sat_5-6 HRS</t>
  </si>
  <si>
    <t>TO_Sat_6-7 HRS</t>
  </si>
  <si>
    <t>TO_Sat_7-8 HRS</t>
  </si>
  <si>
    <t>TO_Sat_8-9 HRS</t>
  </si>
  <si>
    <t>TO_Sat_9-10 HRS</t>
  </si>
  <si>
    <t>TO_Thu_0-1 HRS</t>
  </si>
  <si>
    <t>TO_Thu_1-2 HRS</t>
  </si>
  <si>
    <t>TO_Thu_2-3 HRS</t>
  </si>
  <si>
    <t>TO_Thu_3-4 HRS</t>
  </si>
  <si>
    <t>TO_Thu_4-5 HRS</t>
  </si>
  <si>
    <t>TO_Thu_5-6 HRS</t>
  </si>
  <si>
    <t>TO_Thu_6-7 HRS</t>
  </si>
  <si>
    <t>TO_Thu_7-8 HRS</t>
  </si>
  <si>
    <t>TO_Thu_8-9 HRS</t>
  </si>
  <si>
    <t>TO_Thu_9-10 HRS</t>
  </si>
  <si>
    <t>PricingBoundary1</t>
  </si>
  <si>
    <t>PricingBoundary2</t>
  </si>
  <si>
    <t>PricingBoundary3</t>
  </si>
  <si>
    <t>Length_ft</t>
  </si>
  <si>
    <t>DataAvail</t>
  </si>
  <si>
    <t>PricingBoundary4</t>
  </si>
  <si>
    <t>Reduction</t>
  </si>
  <si>
    <t>&lt;Null&gt;</t>
  </si>
  <si>
    <t>Station Lot</t>
  </si>
  <si>
    <t>Park Pl Lot</t>
  </si>
  <si>
    <t>2-hr Parking</t>
  </si>
  <si>
    <t>8-hr Parking</t>
  </si>
  <si>
    <t>2hr Parking</t>
  </si>
  <si>
    <t xml:space="preserve"> $2/hr </t>
  </si>
  <si>
    <t xml:space="preserve"> $3/hr </t>
  </si>
  <si>
    <t>10-hr max</t>
  </si>
  <si>
    <t>$5.50 flat rate</t>
  </si>
  <si>
    <t>10hr Parking</t>
  </si>
  <si>
    <t>Weekly Revenue</t>
  </si>
  <si>
    <t>Annual Revenue</t>
  </si>
  <si>
    <t>Paid Parking Type</t>
  </si>
  <si>
    <t>$1/hr Revenue</t>
  </si>
  <si>
    <t>Hourly Chargeable Hours</t>
  </si>
  <si>
    <t>Long-Term Vehicle Count</t>
  </si>
  <si>
    <t>Total</t>
  </si>
  <si>
    <t>Hourly Parking</t>
  </si>
  <si>
    <t>Long-Term Parking</t>
  </si>
  <si>
    <t>Hourly Chargeable Hours (w/ Reduction)</t>
  </si>
  <si>
    <t>2hr Parking (Reduction)</t>
  </si>
  <si>
    <t>Supply</t>
  </si>
  <si>
    <t>Hourly Parking (Reduced)</t>
  </si>
  <si>
    <t>Item</t>
  </si>
  <si>
    <t>Quantity</t>
  </si>
  <si>
    <t>Pay-By-Plate Parking Kiosks</t>
  </si>
  <si>
    <t>ALPR vehicle</t>
  </si>
  <si>
    <t>Software and Training</t>
  </si>
  <si>
    <t>Construction Cost, per kiosk</t>
  </si>
  <si>
    <t>Signage, one every 150'</t>
  </si>
  <si>
    <t>Unit Cost (2025)</t>
  </si>
  <si>
    <t>Total (2025)</t>
  </si>
  <si>
    <t>Expenses Total</t>
  </si>
  <si>
    <t>Library Lot</t>
  </si>
  <si>
    <t>300 Magnolia Lot</t>
  </si>
  <si>
    <t>446 Broadway Lot</t>
  </si>
  <si>
    <t>238 Broadway Lot</t>
  </si>
  <si>
    <t>-</t>
  </si>
  <si>
    <t>City</t>
  </si>
  <si>
    <t>South San Francisco</t>
  </si>
  <si>
    <t>OpEx</t>
  </si>
  <si>
    <t>CapEx</t>
  </si>
  <si>
    <t>Rev</t>
  </si>
  <si>
    <t>Spaces</t>
  </si>
  <si>
    <t>San Bruno</t>
  </si>
  <si>
    <t>OpEx/Space</t>
  </si>
  <si>
    <t>Emeryville</t>
  </si>
  <si>
    <t>5449 (emeryville.ca.us)</t>
  </si>
  <si>
    <t>Parking District Fund (720) | FY2023-24 Adopted Budget. (cleargov.com)</t>
  </si>
  <si>
    <t>Reference folder, slideshow</t>
  </si>
  <si>
    <t>Amount (2025)</t>
  </si>
  <si>
    <t>VTPI</t>
  </si>
  <si>
    <t>Transpotation Cost and Benefit Analysis - Parking Costs (vtpi.org)</t>
  </si>
  <si>
    <t>p11</t>
  </si>
  <si>
    <t xml:space="preserve">   Third Party Enforcement Contract Cost</t>
  </si>
  <si>
    <t xml:space="preserve">   Paid Parking Revenue</t>
  </si>
  <si>
    <t>Revenue Total</t>
  </si>
  <si>
    <t xml:space="preserve">   Parking Kiosks Operating Cost</t>
  </si>
  <si>
    <t>Notes</t>
  </si>
  <si>
    <t>Lumped into Third Party Enforcement</t>
  </si>
  <si>
    <t>Third Party Enforcement Contract Cost</t>
  </si>
  <si>
    <t>Citation Operating Expenses</t>
  </si>
  <si>
    <t>Parking Kiosks Operating Cost</t>
  </si>
  <si>
    <t>From San Bruno TurboData, $1000/month</t>
  </si>
  <si>
    <t>Scaled from San Bruno T2 Quote</t>
  </si>
  <si>
    <t>Scaled from San Bruno LAZ Quote</t>
  </si>
  <si>
    <t>$1.5/hr</t>
  </si>
  <si>
    <t>Future Value</t>
  </si>
  <si>
    <t>Diff here</t>
  </si>
  <si>
    <t>In 2025 Dollars</t>
  </si>
  <si>
    <t>1.5 + 0.5</t>
  </si>
  <si>
    <t>1.5 + 1</t>
  </si>
  <si>
    <t>2 + 0.5</t>
  </si>
  <si>
    <t>2 + 1</t>
  </si>
  <si>
    <t xml:space="preserve">   Citation Revenue</t>
  </si>
  <si>
    <t>Per Weekday</t>
  </si>
  <si>
    <t>$1.50/hr, +$0.50 every 10 yrs</t>
  </si>
  <si>
    <t>$1.50/hr, +$1.00 every 10 yrs</t>
  </si>
  <si>
    <t>$2.00/hr, +$0.50 every 10 yrs</t>
  </si>
  <si>
    <t>$2.00/hr, +$1.00 every 10 yrs</t>
  </si>
  <si>
    <t>Halved!</t>
  </si>
  <si>
    <t>Cumsum</t>
  </si>
  <si>
    <t>Per dif</t>
  </si>
  <si>
    <t>Scenario A</t>
  </si>
  <si>
    <t>Scenario B</t>
  </si>
  <si>
    <t>Scenario C</t>
  </si>
  <si>
    <t>Scenario D</t>
  </si>
  <si>
    <r>
      <t xml:space="preserve">Scenario A: </t>
    </r>
    <r>
      <rPr>
        <sz val="13"/>
        <rFont val="Arial Nova"/>
        <family val="2"/>
      </rPr>
      <t>charge $1.50 per hour, increase rate by $0.50 per hour every 10 years</t>
    </r>
  </si>
  <si>
    <r>
      <t xml:space="preserve">Scenario A (cont.): </t>
    </r>
    <r>
      <rPr>
        <sz val="13"/>
        <rFont val="Arial Nova"/>
        <family val="2"/>
      </rPr>
      <t>charge $1.50 per hour, increase rate by $0.50 per hour every 10 years</t>
    </r>
  </si>
  <si>
    <r>
      <t xml:space="preserve">Scenario B: </t>
    </r>
    <r>
      <rPr>
        <sz val="13"/>
        <rFont val="Arial Nova"/>
        <family val="2"/>
      </rPr>
      <t>charge $1.50 per hour, increase rate by $1.00 per hour every 10 years</t>
    </r>
  </si>
  <si>
    <r>
      <t xml:space="preserve">Scenario B (cont.): </t>
    </r>
    <r>
      <rPr>
        <sz val="13"/>
        <rFont val="Arial Nova"/>
        <family val="2"/>
      </rPr>
      <t>charge $1.50 per hour, increase rate by $1.00 per hour every 10 years</t>
    </r>
  </si>
  <si>
    <r>
      <t xml:space="preserve">Scenario C: </t>
    </r>
    <r>
      <rPr>
        <sz val="13"/>
        <rFont val="Arial Nova"/>
        <family val="2"/>
      </rPr>
      <t>charge $2.00 per hour, increase rate by $0.50 per hour every 10 years</t>
    </r>
  </si>
  <si>
    <r>
      <t xml:space="preserve">Scenario C (cont.): </t>
    </r>
    <r>
      <rPr>
        <sz val="13"/>
        <rFont val="Arial Nova"/>
        <family val="2"/>
      </rPr>
      <t>charge $2.00 per hour, increase rate by $0.50 per hour every 10 years</t>
    </r>
  </si>
  <si>
    <r>
      <t xml:space="preserve">Scenario D: </t>
    </r>
    <r>
      <rPr>
        <sz val="13"/>
        <rFont val="Arial Nova"/>
        <family val="2"/>
      </rPr>
      <t>charge $2.00 per hour, increase rate by $1.00 per hour every 10 years</t>
    </r>
  </si>
  <si>
    <r>
      <t xml:space="preserve">Scenario D (cont.): </t>
    </r>
    <r>
      <rPr>
        <sz val="13"/>
        <rFont val="Arial Nova"/>
        <family val="2"/>
      </rPr>
      <t>charge $2.00 per hour, increase rate by $1.00 per hour every 10 years</t>
    </r>
  </si>
  <si>
    <t xml:space="preserve">   Parking Kiosks Procurement</t>
  </si>
  <si>
    <t>Capital and Operating Cost Assumptions</t>
  </si>
  <si>
    <t>Cost assumptions taken from similar paid parking programs in the Bay Area.</t>
  </si>
  <si>
    <t>Third Party Enforcement Contract (per year)</t>
  </si>
  <si>
    <t>Construction cost (per kiosk)</t>
  </si>
  <si>
    <t>Signage (each)</t>
  </si>
  <si>
    <t>Cost</t>
  </si>
  <si>
    <t xml:space="preserve">   Credit Card Transaction Fee</t>
  </si>
  <si>
    <t xml:space="preserve">  Credit Card Transaction Fee</t>
  </si>
  <si>
    <t>Credit Card Transaction Fee</t>
  </si>
  <si>
    <t>Parking Kiosks Procurement (each)</t>
  </si>
  <si>
    <t>Parking Kiosks Operating Cost (per year)</t>
  </si>
  <si>
    <t>3% of revenue</t>
  </si>
  <si>
    <t>Note that this financial analysis does not represent a full financial feasibility study and should not be used for underwriting purposes. Revenue and expenses are only professional opinions based on case study research of similar paid parking programs. Due to the uncertainty of economic variables, Kimley-Horn cannot guarantee that financial projections developed for this study will be realized. Future performance will be determined by many factors including price and demand fluctuations in the market, development timetables and occupancies, local economic conditions, pandemic and other unforeseen circumstances, managerial decisions made by the city and/or development partners, and other political decisions made by local and national government officials. Use of the parking revenue and cost estimates is intended for the Client’s use only and is at the Client’s own risk. No third-party beneficiary is intended.</t>
  </si>
  <si>
    <t>Scenario A: $1.50/hr, +$0.50 every 10 yrs</t>
  </si>
  <si>
    <t>Scenario B: $1.50/hr, +$1.00 every 10 yrs</t>
  </si>
  <si>
    <t>Total Net Income in 2050 by Pricing Scenario</t>
  </si>
  <si>
    <t>Scenario D: $2.00/hr, +$1.00 every 10 yrs</t>
  </si>
  <si>
    <t>Scenario C: $2.00/hr, +$0.50 every 10 yrs</t>
  </si>
  <si>
    <t>Vehicles parking 1hr</t>
  </si>
  <si>
    <t>Parking Revenue</t>
  </si>
  <si>
    <t>Revenue and Expense Model</t>
  </si>
  <si>
    <t xml:space="preserve"> Credit Card Transaction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</si>
</sst>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quot;$&quot;#,##0.00"/>
    <numFmt numFmtId="166" formatCode="_(* #,##0_);_(* \(#,##0\);_(* &quot;-&quot;??_);_(@_)"/>
    <numFmt numFmtId="167" formatCode="_(&quot;$&quot;* #,##0_);_(&quot;$&quot;* \(#,##0\);_(&quot;$&quot;* &quot;-&quot;??_);_(@_)"/>
    <numFmt numFmtId="168" formatCode="&quot;$&quot;#,##0"/>
  </numFmts>
  <fonts count="26" x14ac:knownFonts="1">
    <font>
      <sz val="10"/>
      <name val="Arial"/>
      <charset val="1"/>
    </font>
    <font>
      <sz val="10"/>
      <name val="Arial"/>
      <family val="2"/>
    </font>
    <font>
      <sz val="10"/>
      <name val="Arial"/>
      <family val="2"/>
    </font>
    <font>
      <sz val="10"/>
      <name val="Arial"/>
      <family val="2"/>
    </font>
    <font>
      <b/>
      <sz val="10"/>
      <color theme="0"/>
      <name val="Arial"/>
      <family val="2"/>
    </font>
    <font>
      <sz val="10"/>
      <color theme="1"/>
      <name val="Arial"/>
      <family val="2"/>
    </font>
    <font>
      <sz val="8"/>
      <name val="Arial"/>
      <family val="2"/>
    </font>
    <font>
      <sz val="10"/>
      <name val="Arial"/>
      <family val="2"/>
    </font>
    <font>
      <sz val="10"/>
      <name val="Arial"/>
      <family val="2"/>
    </font>
    <font>
      <b/>
      <sz val="10"/>
      <name val="Arial"/>
      <family val="2"/>
    </font>
    <font>
      <sz val="8"/>
      <name val="Arial"/>
      <family val="2"/>
    </font>
    <font>
      <b/>
      <sz val="11"/>
      <color theme="1"/>
      <name val="Calibri"/>
      <family val="2"/>
      <scheme val="minor"/>
    </font>
    <font>
      <b/>
      <sz val="9"/>
      <color indexed="81"/>
      <name val="Tahoma"/>
      <family val="2"/>
    </font>
    <font>
      <sz val="9"/>
      <color indexed="81"/>
      <name val="Tahoma"/>
      <family val="2"/>
    </font>
    <font>
      <sz val="9"/>
      <name val="Arial"/>
      <family val="2"/>
    </font>
    <font>
      <b/>
      <sz val="9"/>
      <name val="Arial"/>
      <family val="2"/>
    </font>
    <font>
      <b/>
      <sz val="10"/>
      <color rgb="FF6D7278"/>
      <name val="Montserrat"/>
    </font>
    <font>
      <u/>
      <sz val="10"/>
      <color theme="10"/>
      <name val="Arial"/>
      <family val="2"/>
    </font>
    <font>
      <sz val="10"/>
      <name val="Arial"/>
      <family val="2"/>
    </font>
    <font>
      <b/>
      <sz val="13"/>
      <name val="Arial Nova"/>
      <family val="2"/>
    </font>
    <font>
      <sz val="13"/>
      <name val="Arial Nova"/>
      <family val="2"/>
    </font>
    <font>
      <sz val="11"/>
      <name val="Arial Nova"/>
      <family val="2"/>
    </font>
    <font>
      <sz val="10"/>
      <name val="Arial Nova"/>
      <family val="2"/>
    </font>
    <font>
      <b/>
      <sz val="10"/>
      <name val="Arial Nova"/>
      <family val="2"/>
    </font>
    <font>
      <b/>
      <sz val="9"/>
      <name val="Arial Nova"/>
      <family val="2"/>
    </font>
    <font>
      <sz val="9"/>
      <name val="Arial Nova"/>
      <family val="2"/>
    </font>
  </fonts>
  <fills count="19">
    <fill>
      <patternFill patternType="none"/>
    </fill>
    <fill>
      <patternFill patternType="gray125"/>
    </fill>
    <fill>
      <patternFill patternType="solid">
        <fgColor indexed="22"/>
      </patternFill>
    </fill>
    <fill>
      <patternFill patternType="solid">
        <fgColor rgb="FF800000"/>
        <bgColor indexed="64"/>
      </patternFill>
    </fill>
    <fill>
      <patternFill patternType="solid">
        <fgColor theme="0"/>
        <bgColor indexed="64"/>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4.9989318521683403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style="thin">
        <color theme="0"/>
      </top>
      <bottom/>
      <diagonal/>
    </border>
    <border>
      <left style="thin">
        <color theme="0"/>
      </left>
      <right/>
      <top/>
      <bottom/>
      <diagonal/>
    </border>
    <border>
      <left style="thin">
        <color theme="0"/>
      </left>
      <right/>
      <top style="thick">
        <color theme="0"/>
      </top>
      <bottom/>
      <diagonal/>
    </border>
    <border>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5">
    <xf numFmtId="0" fontId="0" fillId="0" borderId="0" applyNumberFormat="0" applyFill="0" applyBorder="0" applyAlignment="0" applyProtection="0"/>
    <xf numFmtId="43" fontId="7" fillId="0" borderId="0" applyFont="0" applyFill="0" applyBorder="0" applyAlignment="0" applyProtection="0"/>
    <xf numFmtId="44" fontId="8" fillId="0" borderId="0" applyFont="0" applyFill="0" applyBorder="0" applyAlignment="0" applyProtection="0"/>
    <xf numFmtId="0" fontId="17" fillId="0" borderId="0" applyNumberFormat="0" applyFill="0" applyBorder="0" applyAlignment="0" applyProtection="0"/>
    <xf numFmtId="9" fontId="18" fillId="0" borderId="0" applyFont="0" applyFill="0" applyBorder="0" applyAlignment="0" applyProtection="0"/>
  </cellStyleXfs>
  <cellXfs count="244">
    <xf numFmtId="0" fontId="0" fillId="0" borderId="0" xfId="0"/>
    <xf numFmtId="2" fontId="0" fillId="0" borderId="0" xfId="0" applyNumberFormat="1"/>
    <xf numFmtId="0" fontId="0" fillId="0" borderId="0" xfId="0" applyAlignment="1">
      <alignment wrapText="1"/>
    </xf>
    <xf numFmtId="0" fontId="0" fillId="0" borderId="0" xfId="0" applyAlignment="1">
      <alignment horizontal="center"/>
    </xf>
    <xf numFmtId="1" fontId="2" fillId="0" borderId="1" xfId="0" applyNumberFormat="1" applyFont="1" applyFill="1" applyBorder="1" applyAlignment="1" applyProtection="1"/>
    <xf numFmtId="0" fontId="4" fillId="3" borderId="1" xfId="0" applyFont="1" applyFill="1" applyBorder="1" applyAlignment="1" applyProtection="1">
      <alignment horizontal="center" wrapText="1"/>
    </xf>
    <xf numFmtId="0" fontId="4" fillId="4" borderId="1" xfId="0" applyFont="1" applyFill="1" applyBorder="1" applyAlignment="1" applyProtection="1">
      <alignment horizontal="center" wrapText="1"/>
    </xf>
    <xf numFmtId="1" fontId="2" fillId="0" borderId="1" xfId="0" applyNumberFormat="1" applyFont="1" applyFill="1" applyBorder="1" applyAlignment="1" applyProtection="1">
      <alignment horizontal="right"/>
    </xf>
    <xf numFmtId="0" fontId="3" fillId="0" borderId="1" xfId="0" applyFont="1" applyFill="1" applyBorder="1" applyAlignment="1" applyProtection="1">
      <alignment horizontal="right"/>
    </xf>
    <xf numFmtId="0" fontId="4" fillId="2" borderId="0" xfId="0" applyFont="1" applyFill="1" applyBorder="1" applyAlignment="1">
      <alignment horizontal="center"/>
    </xf>
    <xf numFmtId="0" fontId="4" fillId="2" borderId="6" xfId="0" applyFont="1" applyFill="1" applyBorder="1" applyAlignment="1">
      <alignment horizontal="center"/>
    </xf>
    <xf numFmtId="2" fontId="4" fillId="2" borderId="6" xfId="0" applyNumberFormat="1" applyFont="1" applyFill="1" applyBorder="1" applyAlignment="1">
      <alignment horizontal="center"/>
    </xf>
    <xf numFmtId="0" fontId="5" fillId="6" borderId="7" xfId="0" applyFont="1" applyFill="1" applyBorder="1" applyAlignment="1"/>
    <xf numFmtId="1" fontId="5" fillId="5" borderId="8" xfId="0" applyNumberFormat="1" applyFont="1" applyFill="1" applyBorder="1" applyAlignment="1"/>
    <xf numFmtId="1" fontId="5" fillId="5" borderId="5" xfId="0" applyNumberFormat="1" applyFont="1" applyFill="1" applyBorder="1" applyAlignment="1"/>
    <xf numFmtId="0" fontId="5" fillId="5" borderId="5" xfId="0" applyFont="1" applyFill="1" applyBorder="1" applyAlignment="1"/>
    <xf numFmtId="0" fontId="5" fillId="5" borderId="5" xfId="0" applyNumberFormat="1" applyFont="1" applyFill="1" applyBorder="1" applyAlignment="1"/>
    <xf numFmtId="2" fontId="5" fillId="5" borderId="5" xfId="0" applyNumberFormat="1" applyFont="1" applyFill="1" applyBorder="1" applyAlignment="1"/>
    <xf numFmtId="1" fontId="5" fillId="6" borderId="8" xfId="0" applyNumberFormat="1" applyFont="1" applyFill="1" applyBorder="1" applyAlignment="1"/>
    <xf numFmtId="1" fontId="5" fillId="6" borderId="5" xfId="0" applyNumberFormat="1" applyFont="1" applyFill="1" applyBorder="1" applyAlignment="1"/>
    <xf numFmtId="0" fontId="5" fillId="6" borderId="5" xfId="0" applyFont="1" applyFill="1" applyBorder="1" applyAlignment="1"/>
    <xf numFmtId="0" fontId="5" fillId="6" borderId="5" xfId="0" applyNumberFormat="1" applyFont="1" applyFill="1" applyBorder="1" applyAlignment="1"/>
    <xf numFmtId="2" fontId="5" fillId="6" borderId="5" xfId="0" applyNumberFormat="1" applyFont="1" applyFill="1" applyBorder="1" applyAlignment="1"/>
    <xf numFmtId="0" fontId="0" fillId="0" borderId="1" xfId="0" applyBorder="1"/>
    <xf numFmtId="0" fontId="0" fillId="0" borderId="1" xfId="0" applyBorder="1" applyAlignment="1">
      <alignment horizontal="right"/>
    </xf>
    <xf numFmtId="0" fontId="0" fillId="0" borderId="0" xfId="0" applyAlignment="1">
      <alignment horizontal="right"/>
    </xf>
    <xf numFmtId="2" fontId="0" fillId="0" borderId="0" xfId="0" applyNumberFormat="1" applyAlignment="1">
      <alignment horizontal="right"/>
    </xf>
    <xf numFmtId="0" fontId="0" fillId="0" borderId="1" xfId="0" applyBorder="1" applyAlignment="1">
      <alignment horizontal="center"/>
    </xf>
    <xf numFmtId="165" fontId="0" fillId="0" borderId="1" xfId="0" applyNumberFormat="1" applyBorder="1" applyAlignment="1">
      <alignment horizontal="right"/>
    </xf>
    <xf numFmtId="0" fontId="0" fillId="0" borderId="0" xfId="0" applyAlignment="1">
      <alignment horizontal="center" wrapText="1"/>
    </xf>
    <xf numFmtId="0" fontId="4" fillId="3" borderId="1" xfId="0" applyFont="1" applyFill="1" applyBorder="1" applyAlignment="1">
      <alignment horizontal="center" wrapText="1"/>
    </xf>
    <xf numFmtId="164" fontId="0" fillId="0" borderId="1" xfId="0" applyNumberFormat="1" applyBorder="1" applyAlignment="1">
      <alignment horizontal="right"/>
    </xf>
    <xf numFmtId="1" fontId="0" fillId="0" borderId="1" xfId="0" applyNumberFormat="1" applyBorder="1" applyAlignment="1">
      <alignment horizontal="right"/>
    </xf>
    <xf numFmtId="165" fontId="0" fillId="0" borderId="1" xfId="0" applyNumberFormat="1" applyBorder="1"/>
    <xf numFmtId="166" fontId="0" fillId="0" borderId="1" xfId="1" applyNumberFormat="1" applyFont="1" applyBorder="1"/>
    <xf numFmtId="0" fontId="1" fillId="0" borderId="1" xfId="0" applyFont="1" applyBorder="1"/>
    <xf numFmtId="44" fontId="4" fillId="3" borderId="1" xfId="2" applyFont="1" applyFill="1" applyBorder="1" applyAlignment="1">
      <alignment horizontal="center"/>
    </xf>
    <xf numFmtId="44" fontId="0" fillId="0" borderId="1" xfId="2" applyFont="1" applyBorder="1" applyAlignment="1">
      <alignment horizontal="right"/>
    </xf>
    <xf numFmtId="44" fontId="0" fillId="0" borderId="0" xfId="2" applyFont="1" applyAlignment="1">
      <alignment horizontal="right"/>
    </xf>
    <xf numFmtId="165" fontId="4" fillId="3" borderId="1" xfId="0" applyNumberFormat="1" applyFont="1" applyFill="1" applyBorder="1" applyAlignment="1">
      <alignment horizontal="center"/>
    </xf>
    <xf numFmtId="6" fontId="0" fillId="0" borderId="1" xfId="0" applyNumberFormat="1" applyBorder="1"/>
    <xf numFmtId="43" fontId="0" fillId="0" borderId="1" xfId="0" applyNumberFormat="1" applyBorder="1"/>
    <xf numFmtId="164" fontId="3" fillId="0" borderId="1" xfId="0" applyNumberFormat="1" applyFont="1" applyFill="1" applyBorder="1" applyAlignment="1" applyProtection="1">
      <alignment horizontal="right"/>
    </xf>
    <xf numFmtId="164" fontId="4" fillId="3" borderId="1" xfId="0" applyNumberFormat="1" applyFont="1" applyFill="1" applyBorder="1" applyAlignment="1" applyProtection="1">
      <alignment horizontal="center" wrapText="1"/>
    </xf>
    <xf numFmtId="164" fontId="0" fillId="0" borderId="0" xfId="0" applyNumberFormat="1" applyAlignment="1">
      <alignment horizontal="right"/>
    </xf>
    <xf numFmtId="1" fontId="4" fillId="3" borderId="1" xfId="0" applyNumberFormat="1" applyFont="1" applyFill="1" applyBorder="1" applyAlignment="1" applyProtection="1">
      <alignment horizontal="center" wrapText="1"/>
    </xf>
    <xf numFmtId="1" fontId="3" fillId="0" borderId="1" xfId="0" applyNumberFormat="1" applyFont="1" applyFill="1" applyBorder="1" applyAlignment="1" applyProtection="1">
      <alignment horizontal="right"/>
    </xf>
    <xf numFmtId="1" fontId="0" fillId="0" borderId="0" xfId="0" applyNumberFormat="1" applyAlignment="1">
      <alignment horizontal="right"/>
    </xf>
    <xf numFmtId="0" fontId="9" fillId="0" borderId="0" xfId="0" applyFont="1"/>
    <xf numFmtId="0" fontId="1" fillId="0" borderId="2" xfId="0" applyFont="1" applyBorder="1" applyAlignment="1">
      <alignment horizontal="left"/>
    </xf>
    <xf numFmtId="0" fontId="1" fillId="0" borderId="1" xfId="0" applyFont="1" applyBorder="1" applyAlignment="1">
      <alignment horizontal="left"/>
    </xf>
    <xf numFmtId="44" fontId="0" fillId="0" borderId="0" xfId="2" applyFont="1"/>
    <xf numFmtId="0" fontId="1" fillId="0" borderId="0" xfId="0" applyFont="1"/>
    <xf numFmtId="2" fontId="0" fillId="0" borderId="1" xfId="0" applyNumberFormat="1" applyBorder="1" applyAlignment="1">
      <alignment horizontal="right"/>
    </xf>
    <xf numFmtId="0" fontId="0" fillId="0" borderId="0" xfId="0" applyBorder="1"/>
    <xf numFmtId="0" fontId="9" fillId="0" borderId="0" xfId="0" applyFont="1" applyBorder="1"/>
    <xf numFmtId="6" fontId="0" fillId="0" borderId="0" xfId="0" applyNumberFormat="1" applyBorder="1"/>
    <xf numFmtId="0" fontId="1" fillId="0" borderId="0" xfId="0" applyFont="1" applyBorder="1" applyAlignment="1">
      <alignment horizontal="left"/>
    </xf>
    <xf numFmtId="166" fontId="0" fillId="0" borderId="0" xfId="1" applyNumberFormat="1" applyFont="1" applyBorder="1"/>
    <xf numFmtId="43" fontId="0" fillId="0" borderId="0" xfId="0" applyNumberFormat="1" applyBorder="1"/>
    <xf numFmtId="165" fontId="0" fillId="0" borderId="0" xfId="0" applyNumberFormat="1" applyBorder="1"/>
    <xf numFmtId="0" fontId="0" fillId="0" borderId="11" xfId="0" applyBorder="1"/>
    <xf numFmtId="0" fontId="11" fillId="0" borderId="0" xfId="0" applyFont="1"/>
    <xf numFmtId="44" fontId="0" fillId="0" borderId="1" xfId="2" applyFont="1" applyBorder="1"/>
    <xf numFmtId="0" fontId="1" fillId="8" borderId="1" xfId="0" applyFont="1" applyFill="1" applyBorder="1" applyAlignment="1">
      <alignment horizontal="left"/>
    </xf>
    <xf numFmtId="44" fontId="11" fillId="10" borderId="0" xfId="2" applyFont="1" applyFill="1"/>
    <xf numFmtId="44" fontId="0" fillId="10" borderId="0" xfId="2" applyFont="1" applyFill="1"/>
    <xf numFmtId="0" fontId="0" fillId="0" borderId="9" xfId="0" applyBorder="1"/>
    <xf numFmtId="0" fontId="0" fillId="0" borderId="9" xfId="0" applyBorder="1" applyAlignment="1">
      <alignment horizontal="right"/>
    </xf>
    <xf numFmtId="2" fontId="0" fillId="0" borderId="9" xfId="0" applyNumberFormat="1" applyBorder="1" applyAlignment="1">
      <alignment horizontal="right"/>
    </xf>
    <xf numFmtId="44" fontId="0" fillId="0" borderId="9" xfId="2" applyFont="1" applyBorder="1" applyAlignment="1">
      <alignment horizontal="right"/>
    </xf>
    <xf numFmtId="0" fontId="0" fillId="0" borderId="0" xfId="0" applyBorder="1" applyAlignment="1">
      <alignment horizontal="right"/>
    </xf>
    <xf numFmtId="2" fontId="0" fillId="0" borderId="0" xfId="0" applyNumberFormat="1" applyBorder="1" applyAlignment="1">
      <alignment horizontal="right"/>
    </xf>
    <xf numFmtId="44" fontId="0" fillId="0" borderId="0" xfId="2" applyFont="1" applyBorder="1" applyAlignment="1">
      <alignment horizontal="right"/>
    </xf>
    <xf numFmtId="1" fontId="0" fillId="0" borderId="0" xfId="0" applyNumberFormat="1" applyBorder="1" applyAlignment="1">
      <alignment horizontal="right"/>
    </xf>
    <xf numFmtId="0" fontId="0" fillId="0" borderId="11" xfId="0" applyBorder="1" applyAlignment="1">
      <alignment horizontal="right"/>
    </xf>
    <xf numFmtId="2" fontId="0" fillId="0" borderId="11" xfId="0" applyNumberFormat="1" applyBorder="1" applyAlignment="1">
      <alignment horizontal="right"/>
    </xf>
    <xf numFmtId="44" fontId="0" fillId="0" borderId="11" xfId="2" applyFont="1" applyBorder="1" applyAlignment="1">
      <alignment horizontal="right"/>
    </xf>
    <xf numFmtId="1" fontId="5" fillId="6" borderId="6" xfId="0" applyNumberFormat="1" applyFont="1" applyFill="1" applyBorder="1" applyAlignment="1"/>
    <xf numFmtId="1" fontId="5" fillId="5" borderId="6" xfId="0" applyNumberFormat="1" applyFont="1" applyFill="1" applyBorder="1" applyAlignment="1"/>
    <xf numFmtId="3" fontId="0" fillId="0" borderId="0" xfId="0" applyNumberFormat="1"/>
    <xf numFmtId="8" fontId="0" fillId="0" borderId="0" xfId="0" applyNumberFormat="1"/>
    <xf numFmtId="0" fontId="9" fillId="8" borderId="2" xfId="0" applyFont="1" applyFill="1" applyBorder="1" applyAlignment="1" applyProtection="1">
      <alignment horizontal="left" wrapText="1"/>
    </xf>
    <xf numFmtId="0" fontId="9" fillId="8" borderId="3" xfId="0" applyFont="1" applyFill="1" applyBorder="1" applyAlignment="1" applyProtection="1">
      <alignment horizontal="left" wrapText="1"/>
    </xf>
    <xf numFmtId="0" fontId="9" fillId="8" borderId="9" xfId="0" applyFont="1" applyFill="1" applyBorder="1" applyAlignment="1" applyProtection="1">
      <alignment horizontal="left" wrapText="1"/>
    </xf>
    <xf numFmtId="0" fontId="9" fillId="8" borderId="10" xfId="0" applyFont="1" applyFill="1" applyBorder="1" applyAlignment="1" applyProtection="1">
      <alignment horizontal="left" wrapText="1"/>
    </xf>
    <xf numFmtId="0" fontId="4" fillId="3" borderId="2" xfId="0" applyFont="1" applyFill="1" applyBorder="1" applyAlignment="1" applyProtection="1">
      <alignment horizontal="center" wrapText="1"/>
    </xf>
    <xf numFmtId="0" fontId="4" fillId="3" borderId="3" xfId="0" applyFont="1" applyFill="1" applyBorder="1" applyAlignment="1" applyProtection="1">
      <alignment horizontal="center" wrapText="1"/>
    </xf>
    <xf numFmtId="1" fontId="0" fillId="0" borderId="0" xfId="0" applyNumberFormat="1"/>
    <xf numFmtId="0" fontId="1" fillId="0" borderId="0" xfId="0" applyFont="1" applyBorder="1" applyAlignment="1"/>
    <xf numFmtId="0" fontId="1" fillId="0" borderId="0" xfId="0" applyFont="1" applyBorder="1" applyAlignment="1">
      <alignment wrapText="1"/>
    </xf>
    <xf numFmtId="166" fontId="1" fillId="0" borderId="1" xfId="1" applyNumberFormat="1" applyFont="1" applyBorder="1"/>
    <xf numFmtId="0" fontId="9" fillId="8" borderId="1" xfId="0" applyFont="1" applyFill="1" applyBorder="1" applyAlignment="1" applyProtection="1">
      <alignment horizontal="left" wrapText="1"/>
    </xf>
    <xf numFmtId="166" fontId="9" fillId="0" borderId="1" xfId="0" applyNumberFormat="1" applyFont="1" applyBorder="1"/>
    <xf numFmtId="0" fontId="0" fillId="0" borderId="0" xfId="0" applyBorder="1" applyAlignment="1">
      <alignment horizontal="center"/>
    </xf>
    <xf numFmtId="0" fontId="4" fillId="3" borderId="0" xfId="0" applyFont="1" applyFill="1" applyBorder="1" applyAlignment="1" applyProtection="1">
      <alignment horizontal="center" wrapText="1"/>
    </xf>
    <xf numFmtId="0" fontId="3" fillId="0" borderId="0" xfId="0" applyFont="1" applyFill="1" applyBorder="1" applyAlignment="1" applyProtection="1">
      <alignment horizontal="right"/>
    </xf>
    <xf numFmtId="0" fontId="9" fillId="8" borderId="2" xfId="0" applyFont="1" applyFill="1" applyBorder="1" applyAlignment="1" applyProtection="1">
      <alignment wrapText="1"/>
    </xf>
    <xf numFmtId="0" fontId="9" fillId="8" borderId="3" xfId="0" applyFont="1" applyFill="1" applyBorder="1" applyAlignment="1" applyProtection="1">
      <alignment wrapText="1"/>
    </xf>
    <xf numFmtId="0" fontId="4" fillId="3" borderId="2" xfId="0" applyFont="1" applyFill="1" applyBorder="1" applyAlignment="1" applyProtection="1">
      <alignment wrapText="1"/>
    </xf>
    <xf numFmtId="0" fontId="4" fillId="3" borderId="3" xfId="0" applyFont="1" applyFill="1" applyBorder="1" applyAlignment="1" applyProtection="1">
      <alignment wrapText="1"/>
    </xf>
    <xf numFmtId="0" fontId="9" fillId="8" borderId="9" xfId="0" applyFont="1" applyFill="1" applyBorder="1" applyAlignment="1" applyProtection="1">
      <alignment wrapText="1"/>
    </xf>
    <xf numFmtId="0" fontId="9" fillId="8" borderId="10" xfId="0" applyFont="1" applyFill="1" applyBorder="1" applyAlignment="1" applyProtection="1">
      <alignment wrapText="1"/>
    </xf>
    <xf numFmtId="0" fontId="4" fillId="3" borderId="1" xfId="0" applyFont="1" applyFill="1" applyBorder="1" applyAlignment="1">
      <alignment wrapText="1"/>
    </xf>
    <xf numFmtId="44" fontId="4" fillId="3" borderId="1" xfId="2" applyFont="1" applyFill="1" applyBorder="1" applyAlignment="1">
      <alignment wrapText="1"/>
    </xf>
    <xf numFmtId="0" fontId="1" fillId="8" borderId="1" xfId="0" applyFont="1" applyFill="1" applyBorder="1"/>
    <xf numFmtId="44" fontId="0" fillId="11" borderId="0" xfId="2" applyFont="1" applyFill="1" applyBorder="1"/>
    <xf numFmtId="0" fontId="9" fillId="9" borderId="0" xfId="0" applyFont="1" applyFill="1" applyBorder="1"/>
    <xf numFmtId="0" fontId="0" fillId="9" borderId="0" xfId="0" applyFill="1" applyBorder="1"/>
    <xf numFmtId="0" fontId="9" fillId="11" borderId="0" xfId="0" applyFont="1" applyFill="1" applyBorder="1"/>
    <xf numFmtId="0" fontId="0" fillId="11" borderId="0" xfId="0" applyFill="1" applyBorder="1"/>
    <xf numFmtId="0" fontId="1" fillId="11" borderId="0" xfId="0" applyFont="1" applyFill="1" applyBorder="1"/>
    <xf numFmtId="44" fontId="1" fillId="11" borderId="0" xfId="2" applyFont="1" applyFill="1" applyBorder="1"/>
    <xf numFmtId="0" fontId="9" fillId="12" borderId="0" xfId="0" applyFont="1" applyFill="1" applyBorder="1"/>
    <xf numFmtId="0" fontId="9" fillId="7" borderId="13" xfId="0" applyFont="1" applyFill="1" applyBorder="1"/>
    <xf numFmtId="0" fontId="0" fillId="7" borderId="13" xfId="0" applyNumberFormat="1" applyFill="1" applyBorder="1"/>
    <xf numFmtId="44" fontId="9" fillId="12" borderId="0" xfId="0" applyNumberFormat="1" applyFont="1" applyFill="1" applyBorder="1"/>
    <xf numFmtId="167" fontId="14" fillId="9" borderId="12" xfId="2" applyNumberFormat="1" applyFont="1" applyFill="1" applyBorder="1"/>
    <xf numFmtId="167" fontId="14" fillId="9" borderId="0" xfId="2" applyNumberFormat="1" applyFont="1" applyFill="1" applyBorder="1"/>
    <xf numFmtId="167" fontId="14" fillId="0" borderId="12" xfId="2" applyNumberFormat="1" applyFont="1" applyBorder="1"/>
    <xf numFmtId="167" fontId="14" fillId="0" borderId="0" xfId="2" applyNumberFormat="1" applyFont="1" applyBorder="1"/>
    <xf numFmtId="167" fontId="14" fillId="11" borderId="12" xfId="2" applyNumberFormat="1" applyFont="1" applyFill="1" applyBorder="1"/>
    <xf numFmtId="167" fontId="14" fillId="11" borderId="0" xfId="2" applyNumberFormat="1" applyFont="1" applyFill="1" applyBorder="1"/>
    <xf numFmtId="167" fontId="15" fillId="11" borderId="12" xfId="2" applyNumberFormat="1" applyFont="1" applyFill="1" applyBorder="1"/>
    <xf numFmtId="167" fontId="15" fillId="11" borderId="0" xfId="2" applyNumberFormat="1" applyFont="1" applyFill="1" applyBorder="1"/>
    <xf numFmtId="167" fontId="15" fillId="12" borderId="12" xfId="2" applyNumberFormat="1" applyFont="1" applyFill="1" applyBorder="1"/>
    <xf numFmtId="167" fontId="15" fillId="12" borderId="0" xfId="2" applyNumberFormat="1" applyFont="1" applyFill="1" applyBorder="1"/>
    <xf numFmtId="0" fontId="0" fillId="13" borderId="0" xfId="0" applyFill="1"/>
    <xf numFmtId="0" fontId="0" fillId="14" borderId="0" xfId="0" applyFill="1"/>
    <xf numFmtId="165" fontId="1" fillId="0" borderId="1" xfId="0" applyNumberFormat="1" applyFont="1" applyBorder="1"/>
    <xf numFmtId="166" fontId="0" fillId="0" borderId="1" xfId="0" applyNumberFormat="1" applyBorder="1"/>
    <xf numFmtId="168" fontId="0" fillId="0" borderId="1" xfId="0" applyNumberFormat="1" applyBorder="1"/>
    <xf numFmtId="0" fontId="0" fillId="15" borderId="0" xfId="0" applyFill="1"/>
    <xf numFmtId="2" fontId="0" fillId="15" borderId="0" xfId="0" applyNumberFormat="1" applyFill="1"/>
    <xf numFmtId="0" fontId="0" fillId="16" borderId="0" xfId="0" applyFill="1"/>
    <xf numFmtId="44" fontId="1" fillId="0" borderId="0" xfId="2" applyFont="1"/>
    <xf numFmtId="44" fontId="16" fillId="0" borderId="0" xfId="2" applyFont="1"/>
    <xf numFmtId="0" fontId="17" fillId="0" borderId="0" xfId="3"/>
    <xf numFmtId="0" fontId="1" fillId="9" borderId="0" xfId="0" applyFont="1" applyFill="1" applyBorder="1"/>
    <xf numFmtId="167" fontId="15" fillId="9" borderId="12" xfId="2" applyNumberFormat="1" applyFont="1" applyFill="1" applyBorder="1"/>
    <xf numFmtId="167" fontId="15" fillId="9" borderId="0" xfId="2" applyNumberFormat="1" applyFont="1" applyFill="1" applyBorder="1"/>
    <xf numFmtId="0" fontId="0" fillId="0" borderId="1" xfId="0" applyFill="1" applyBorder="1"/>
    <xf numFmtId="44" fontId="1" fillId="0" borderId="1" xfId="2" applyFont="1" applyBorder="1"/>
    <xf numFmtId="0" fontId="0" fillId="0" borderId="0" xfId="0" applyFill="1" applyBorder="1"/>
    <xf numFmtId="44" fontId="14" fillId="0" borderId="0" xfId="2" applyFont="1" applyBorder="1"/>
    <xf numFmtId="0" fontId="15" fillId="7" borderId="14" xfId="2" applyNumberFormat="1" applyFont="1" applyFill="1" applyBorder="1"/>
    <xf numFmtId="0" fontId="15" fillId="7" borderId="13" xfId="2" applyNumberFormat="1" applyFont="1" applyFill="1" applyBorder="1"/>
    <xf numFmtId="0" fontId="14" fillId="0" borderId="0" xfId="0" applyFont="1" applyBorder="1"/>
    <xf numFmtId="0" fontId="14" fillId="0" borderId="0" xfId="2" applyNumberFormat="1" applyFont="1" applyBorder="1"/>
    <xf numFmtId="44" fontId="14" fillId="0" borderId="12" xfId="2" applyFont="1" applyBorder="1"/>
    <xf numFmtId="167" fontId="14" fillId="0" borderId="0" xfId="2" applyNumberFormat="1" applyFont="1" applyFill="1" applyBorder="1"/>
    <xf numFmtId="0" fontId="1" fillId="0" borderId="0" xfId="0" applyFont="1" applyFill="1" applyBorder="1"/>
    <xf numFmtId="167" fontId="0" fillId="0" borderId="1" xfId="2" applyNumberFormat="1" applyFont="1" applyBorder="1"/>
    <xf numFmtId="0" fontId="4" fillId="3" borderId="2" xfId="0" applyFont="1" applyFill="1" applyBorder="1" applyAlignment="1" applyProtection="1">
      <alignment horizontal="left" wrapText="1"/>
    </xf>
    <xf numFmtId="167" fontId="0" fillId="0" borderId="1" xfId="2" applyNumberFormat="1" applyFont="1" applyBorder="1" applyAlignment="1"/>
    <xf numFmtId="1" fontId="2" fillId="13" borderId="1" xfId="0" applyNumberFormat="1" applyFont="1" applyFill="1" applyBorder="1" applyAlignment="1" applyProtection="1"/>
    <xf numFmtId="0" fontId="0" fillId="13" borderId="1" xfId="0" applyFill="1" applyBorder="1"/>
    <xf numFmtId="1" fontId="2" fillId="13" borderId="1" xfId="0" applyNumberFormat="1" applyFont="1" applyFill="1" applyBorder="1" applyAlignment="1" applyProtection="1">
      <alignment horizontal="right"/>
    </xf>
    <xf numFmtId="164" fontId="3" fillId="13" borderId="1" xfId="0" applyNumberFormat="1" applyFont="1" applyFill="1" applyBorder="1" applyAlignment="1" applyProtection="1">
      <alignment horizontal="right"/>
    </xf>
    <xf numFmtId="1" fontId="3" fillId="13" borderId="1" xfId="0" applyNumberFormat="1" applyFont="1" applyFill="1" applyBorder="1" applyAlignment="1" applyProtection="1">
      <alignment horizontal="right"/>
    </xf>
    <xf numFmtId="1" fontId="0" fillId="13" borderId="1" xfId="0" applyNumberFormat="1" applyFill="1" applyBorder="1" applyAlignment="1">
      <alignment horizontal="right"/>
    </xf>
    <xf numFmtId="0" fontId="3" fillId="13" borderId="1" xfId="0" applyFont="1" applyFill="1" applyBorder="1" applyAlignment="1" applyProtection="1">
      <alignment horizontal="right"/>
    </xf>
    <xf numFmtId="0" fontId="3" fillId="13" borderId="0" xfId="0" applyFont="1" applyFill="1" applyBorder="1" applyAlignment="1" applyProtection="1">
      <alignment horizontal="right"/>
    </xf>
    <xf numFmtId="0" fontId="1" fillId="13" borderId="0" xfId="0" applyFont="1" applyFill="1" applyBorder="1" applyAlignment="1" applyProtection="1">
      <alignment horizontal="right"/>
    </xf>
    <xf numFmtId="44" fontId="14" fillId="0" borderId="0" xfId="0" applyNumberFormat="1" applyFont="1"/>
    <xf numFmtId="44" fontId="0" fillId="0" borderId="0" xfId="4" applyNumberFormat="1" applyFont="1"/>
    <xf numFmtId="0" fontId="19" fillId="0" borderId="0" xfId="0" applyFont="1" applyAlignment="1">
      <alignment vertical="center"/>
    </xf>
    <xf numFmtId="0" fontId="21" fillId="0" borderId="0" xfId="0" applyFont="1" applyAlignment="1">
      <alignment vertical="center" wrapText="1"/>
    </xf>
    <xf numFmtId="0" fontId="22" fillId="0" borderId="0" xfId="0" applyFont="1"/>
    <xf numFmtId="0" fontId="23" fillId="17" borderId="1" xfId="0" applyFont="1" applyFill="1" applyBorder="1" applyAlignment="1">
      <alignment horizontal="center"/>
    </xf>
    <xf numFmtId="0" fontId="22" fillId="11" borderId="1" xfId="0" applyFont="1" applyFill="1" applyBorder="1"/>
    <xf numFmtId="0" fontId="23" fillId="7" borderId="13" xfId="0" applyFont="1" applyFill="1" applyBorder="1"/>
    <xf numFmtId="0" fontId="24" fillId="7" borderId="14" xfId="2" applyNumberFormat="1" applyFont="1" applyFill="1" applyBorder="1"/>
    <xf numFmtId="0" fontId="24" fillId="7" borderId="13" xfId="2" applyNumberFormat="1" applyFont="1" applyFill="1" applyBorder="1"/>
    <xf numFmtId="0" fontId="23" fillId="9" borderId="0" xfId="0" applyFont="1" applyFill="1" applyBorder="1"/>
    <xf numFmtId="167" fontId="25" fillId="9" borderId="12" xfId="2" applyNumberFormat="1" applyFont="1" applyFill="1" applyBorder="1"/>
    <xf numFmtId="167" fontId="25" fillId="9" borderId="0" xfId="2" applyNumberFormat="1" applyFont="1" applyFill="1" applyBorder="1"/>
    <xf numFmtId="0" fontId="22" fillId="9" borderId="0" xfId="0" applyFont="1" applyFill="1" applyBorder="1"/>
    <xf numFmtId="167" fontId="24" fillId="9" borderId="12" xfId="2" applyNumberFormat="1" applyFont="1" applyFill="1" applyBorder="1"/>
    <xf numFmtId="167" fontId="24" fillId="9" borderId="0" xfId="2" applyNumberFormat="1" applyFont="1" applyFill="1" applyBorder="1"/>
    <xf numFmtId="0" fontId="22" fillId="0" borderId="0" xfId="0" applyFont="1" applyBorder="1"/>
    <xf numFmtId="167" fontId="25" fillId="0" borderId="12" xfId="2" applyNumberFormat="1" applyFont="1" applyBorder="1"/>
    <xf numFmtId="167" fontId="25" fillId="0" borderId="0" xfId="2" applyNumberFormat="1" applyFont="1" applyBorder="1"/>
    <xf numFmtId="0" fontId="23" fillId="11" borderId="0" xfId="0" applyFont="1" applyFill="1" applyBorder="1"/>
    <xf numFmtId="167" fontId="25" fillId="11" borderId="12" xfId="2" applyNumberFormat="1" applyFont="1" applyFill="1" applyBorder="1"/>
    <xf numFmtId="167" fontId="25" fillId="11" borderId="0" xfId="2" applyNumberFormat="1" applyFont="1" applyFill="1" applyBorder="1"/>
    <xf numFmtId="0" fontId="22" fillId="11" borderId="0" xfId="0" applyFont="1" applyFill="1" applyBorder="1"/>
    <xf numFmtId="44" fontId="22" fillId="11" borderId="0" xfId="2" applyFont="1" applyFill="1" applyBorder="1"/>
    <xf numFmtId="167" fontId="24" fillId="11" borderId="12" xfId="2" applyNumberFormat="1" applyFont="1" applyFill="1" applyBorder="1"/>
    <xf numFmtId="167" fontId="24" fillId="11" borderId="0" xfId="2" applyNumberFormat="1" applyFont="1" applyFill="1" applyBorder="1"/>
    <xf numFmtId="0" fontId="23" fillId="12" borderId="0" xfId="0" applyFont="1" applyFill="1" applyBorder="1"/>
    <xf numFmtId="167" fontId="24" fillId="12" borderId="12" xfId="2" applyNumberFormat="1" applyFont="1" applyFill="1" applyBorder="1"/>
    <xf numFmtId="167" fontId="24" fillId="12" borderId="0" xfId="2" applyNumberFormat="1" applyFont="1" applyFill="1" applyBorder="1"/>
    <xf numFmtId="0" fontId="4" fillId="3" borderId="4" xfId="0" applyFont="1" applyFill="1" applyBorder="1" applyAlignment="1">
      <alignment horizontal="center"/>
    </xf>
    <xf numFmtId="167" fontId="24" fillId="9" borderId="17" xfId="2" applyNumberFormat="1" applyFont="1" applyFill="1" applyBorder="1"/>
    <xf numFmtId="0" fontId="24" fillId="7" borderId="10" xfId="2" applyNumberFormat="1" applyFont="1" applyFill="1" applyBorder="1"/>
    <xf numFmtId="167" fontId="24" fillId="9" borderId="18" xfId="2" applyNumberFormat="1" applyFont="1" applyFill="1" applyBorder="1"/>
    <xf numFmtId="167" fontId="25" fillId="0" borderId="18" xfId="2" applyNumberFormat="1" applyFont="1" applyBorder="1"/>
    <xf numFmtId="167" fontId="25" fillId="11" borderId="18" xfId="2" applyNumberFormat="1" applyFont="1" applyFill="1" applyBorder="1"/>
    <xf numFmtId="167" fontId="24" fillId="11" borderId="18" xfId="2" applyNumberFormat="1" applyFont="1" applyFill="1" applyBorder="1"/>
    <xf numFmtId="167" fontId="24" fillId="12" borderId="18" xfId="2" applyNumberFormat="1" applyFont="1" applyFill="1" applyBorder="1"/>
    <xf numFmtId="0" fontId="4" fillId="3"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164" fontId="4" fillId="3" borderId="2" xfId="0" applyNumberFormat="1" applyFont="1" applyFill="1" applyBorder="1" applyAlignment="1">
      <alignment horizontal="center"/>
    </xf>
    <xf numFmtId="164" fontId="4" fillId="3" borderId="3" xfId="0" applyNumberFormat="1" applyFont="1" applyFill="1" applyBorder="1" applyAlignment="1">
      <alignment horizontal="center"/>
    </xf>
    <xf numFmtId="165" fontId="4" fillId="3" borderId="2" xfId="0" applyNumberFormat="1" applyFont="1" applyFill="1" applyBorder="1" applyAlignment="1">
      <alignment horizontal="center"/>
    </xf>
    <xf numFmtId="165" fontId="4" fillId="3" borderId="3" xfId="0" applyNumberFormat="1" applyFont="1" applyFill="1" applyBorder="1" applyAlignment="1">
      <alignment horizontal="center"/>
    </xf>
    <xf numFmtId="1" fontId="4" fillId="3" borderId="2" xfId="0" applyNumberFormat="1" applyFont="1" applyFill="1" applyBorder="1" applyAlignment="1">
      <alignment horizontal="center"/>
    </xf>
    <xf numFmtId="1" fontId="4" fillId="3" borderId="3" xfId="0" applyNumberFormat="1" applyFont="1" applyFill="1" applyBorder="1" applyAlignment="1">
      <alignment horizontal="center"/>
    </xf>
    <xf numFmtId="0" fontId="4" fillId="3" borderId="17" xfId="0" applyFont="1" applyFill="1" applyBorder="1" applyAlignment="1">
      <alignment horizontal="center" wrapText="1"/>
    </xf>
    <xf numFmtId="0" fontId="4" fillId="3" borderId="16" xfId="0" applyFont="1" applyFill="1" applyBorder="1" applyAlignment="1">
      <alignment horizontal="center" wrapText="1"/>
    </xf>
    <xf numFmtId="0" fontId="1" fillId="0" borderId="0"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9" xfId="0" applyFont="1" applyBorder="1" applyAlignment="1">
      <alignment horizontal="left" wrapText="1"/>
    </xf>
    <xf numFmtId="0" fontId="1" fillId="0" borderId="10" xfId="0" applyFont="1" applyBorder="1" applyAlignment="1">
      <alignment horizontal="left" wrapText="1"/>
    </xf>
    <xf numFmtId="2" fontId="4" fillId="3" borderId="2" xfId="0" applyNumberFormat="1" applyFont="1" applyFill="1" applyBorder="1" applyAlignment="1">
      <alignment horizontal="center"/>
    </xf>
    <xf numFmtId="2" fontId="4" fillId="3" borderId="3" xfId="0" applyNumberFormat="1" applyFont="1" applyFill="1" applyBorder="1" applyAlignment="1">
      <alignment horizontal="center"/>
    </xf>
    <xf numFmtId="0" fontId="1" fillId="0" borderId="0" xfId="0" applyFont="1" applyBorder="1" applyAlignment="1">
      <alignment horizontal="left" wrapText="1"/>
    </xf>
    <xf numFmtId="44" fontId="4" fillId="3" borderId="1" xfId="2" applyFont="1" applyFill="1" applyBorder="1" applyAlignment="1">
      <alignment horizontal="center"/>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center"/>
    </xf>
    <xf numFmtId="0" fontId="9" fillId="8" borderId="2" xfId="0" applyFont="1" applyFill="1" applyBorder="1" applyAlignment="1" applyProtection="1">
      <alignment horizontal="left" wrapText="1"/>
    </xf>
    <xf numFmtId="0" fontId="9" fillId="8" borderId="3" xfId="0" applyFont="1" applyFill="1" applyBorder="1" applyAlignment="1" applyProtection="1">
      <alignment horizontal="left" wrapText="1"/>
    </xf>
    <xf numFmtId="0" fontId="4" fillId="3" borderId="2" xfId="0" applyFont="1" applyFill="1" applyBorder="1" applyAlignment="1" applyProtection="1">
      <alignment horizontal="center" wrapText="1"/>
    </xf>
    <xf numFmtId="0" fontId="4" fillId="3" borderId="3" xfId="0" applyFont="1" applyFill="1" applyBorder="1" applyAlignment="1" applyProtection="1">
      <alignment horizontal="center" wrapText="1"/>
    </xf>
    <xf numFmtId="0" fontId="9" fillId="8" borderId="9" xfId="0" applyFont="1" applyFill="1" applyBorder="1" applyAlignment="1" applyProtection="1">
      <alignment horizontal="left" wrapText="1"/>
    </xf>
    <xf numFmtId="0" fontId="9" fillId="8" borderId="10" xfId="0" applyFont="1" applyFill="1" applyBorder="1" applyAlignment="1" applyProtection="1">
      <alignment horizontal="left" wrapText="1"/>
    </xf>
    <xf numFmtId="0" fontId="9" fillId="8" borderId="9" xfId="0" applyFont="1" applyFill="1" applyBorder="1" applyAlignment="1" applyProtection="1">
      <alignment horizontal="center" vertical="center" wrapText="1"/>
    </xf>
    <xf numFmtId="0" fontId="9" fillId="8" borderId="10" xfId="0" applyFont="1" applyFill="1" applyBorder="1" applyAlignment="1" applyProtection="1">
      <alignment horizontal="center" vertical="center" wrapText="1"/>
    </xf>
    <xf numFmtId="44" fontId="4" fillId="3" borderId="1" xfId="2" applyFont="1" applyFill="1" applyBorder="1" applyAlignment="1">
      <alignment wrapText="1"/>
    </xf>
    <xf numFmtId="167" fontId="0" fillId="0" borderId="2" xfId="2" applyNumberFormat="1" applyFont="1" applyBorder="1" applyAlignment="1"/>
    <xf numFmtId="167" fontId="0" fillId="0" borderId="3" xfId="2" applyNumberFormat="1" applyFont="1" applyBorder="1" applyAlignment="1"/>
    <xf numFmtId="167" fontId="22" fillId="18" borderId="1" xfId="2" applyNumberFormat="1" applyFont="1" applyFill="1" applyBorder="1" applyAlignment="1"/>
    <xf numFmtId="0" fontId="23" fillId="17" borderId="1" xfId="0" applyFont="1" applyFill="1" applyBorder="1" applyAlignment="1">
      <alignment horizontal="center"/>
    </xf>
    <xf numFmtId="0" fontId="22" fillId="18" borderId="1" xfId="0" applyFont="1" applyFill="1" applyBorder="1" applyAlignment="1">
      <alignment horizontal="right"/>
    </xf>
    <xf numFmtId="0" fontId="22" fillId="0" borderId="0" xfId="0" applyFont="1" applyAlignment="1">
      <alignment horizontal="left" vertical="center" wrapText="1"/>
    </xf>
    <xf numFmtId="0" fontId="19" fillId="0" borderId="0" xfId="0" applyFont="1" applyAlignment="1">
      <alignment horizontal="left" vertical="center" wrapText="1"/>
    </xf>
    <xf numFmtId="0" fontId="4" fillId="3" borderId="12" xfId="0" applyFont="1" applyFill="1" applyBorder="1" applyAlignment="1">
      <alignment wrapText="1"/>
    </xf>
    <xf numFmtId="0" fontId="4" fillId="3" borderId="15" xfId="0" applyFont="1" applyFill="1" applyBorder="1" applyAlignment="1">
      <alignment wrapText="1"/>
    </xf>
    <xf numFmtId="167" fontId="1" fillId="0" borderId="1" xfId="2" applyNumberFormat="1" applyFont="1" applyBorder="1"/>
    <xf numFmtId="0" fontId="4" fillId="3" borderId="0" xfId="0" applyFont="1" applyFill="1" applyBorder="1" applyAlignment="1">
      <alignment wrapText="1"/>
    </xf>
  </cellXfs>
  <cellStyles count="5">
    <cellStyle name="Comma" xfId="1" builtinId="3"/>
    <cellStyle name="Currency" xfId="2" builtinId="4"/>
    <cellStyle name="Hyperlink" xfId="3" builtinId="8"/>
    <cellStyle name="Normal" xfId="0" builtinId="0"/>
    <cellStyle name="Percent" xfId="4" builtinId="5"/>
  </cellStyles>
  <dxfs count="44">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b/>
        <i val="0"/>
        <color theme="0"/>
      </font>
      <fill>
        <patternFill>
          <bgColor rgb="FFBC561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b/>
        <i val="0"/>
        <color theme="0"/>
      </font>
      <fill>
        <patternFill>
          <bgColor rgb="FFBC561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b/>
        <i val="0"/>
        <color theme="0"/>
      </font>
      <fill>
        <patternFill>
          <bgColor rgb="FFBC561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ont>
        <b/>
        <i val="0"/>
        <color theme="0"/>
      </font>
      <fill>
        <patternFill>
          <bgColor rgb="FFBC5610"/>
        </patternFill>
      </fill>
    </dxf>
  </dxfs>
  <tableStyles count="0" defaultTableStyle="TableStyleMedium2" defaultPivotStyle="PivotStyleLight16"/>
  <colors>
    <mruColors>
      <color rgb="FFBC5610"/>
      <color rgb="FF800000"/>
      <color rgb="FFE3CB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'$1.5 per hr + $0.5 Projection'!$A$4</c:f>
              <c:strCache>
                <c:ptCount val="1"/>
                <c:pt idx="0">
                  <c:v>Revenue</c:v>
                </c:pt>
              </c:strCache>
            </c:strRef>
          </c:tx>
          <c:spPr>
            <a:ln w="28575" cap="rnd">
              <a:solidFill>
                <a:schemeClr val="accent6"/>
              </a:solidFill>
              <a:round/>
            </a:ln>
            <a:effectLst/>
          </c:spPr>
          <c:marker>
            <c:symbol val="none"/>
          </c:marker>
          <c:cat>
            <c:numRef>
              <c:f>'$1.5 per hr + $0.5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'$1.5 per hr + $0.5 Projection'!$B$7:$AA$7</c:f>
              <c:numCache>
                <c:formatCode>_("$"* #,##0_);_("$"* \(#,##0\);_("$"* "-"??_);_(@_)</c:formatCode>
                <c:ptCount val="26"/>
                <c:pt idx="0">
                  <c:v>0</c:v>
                </c:pt>
                <c:pt idx="1">
                  <c:v>2186962.1338857482</c:v>
                </c:pt>
                <c:pt idx="2">
                  <c:v>2043276.0334688982</c:v>
                </c:pt>
                <c:pt idx="3">
                  <c:v>2053492.4136362425</c:v>
                </c:pt>
                <c:pt idx="4">
                  <c:v>2063759.8757044233</c:v>
                </c:pt>
                <c:pt idx="5">
                  <c:v>2074078.6750829453</c:v>
                </c:pt>
                <c:pt idx="6">
                  <c:v>2084449.0684583595</c:v>
                </c:pt>
                <c:pt idx="7">
                  <c:v>2094871.3138006509</c:v>
                </c:pt>
                <c:pt idx="8">
                  <c:v>2105345.6703696535</c:v>
                </c:pt>
                <c:pt idx="9">
                  <c:v>2115872.3987215017</c:v>
                </c:pt>
                <c:pt idx="10">
                  <c:v>2797465.4274296546</c:v>
                </c:pt>
                <c:pt idx="11">
                  <c:v>2811452.7545668022</c:v>
                </c:pt>
                <c:pt idx="12">
                  <c:v>2825510.0183396363</c:v>
                </c:pt>
                <c:pt idx="13">
                  <c:v>2839637.5684313336</c:v>
                </c:pt>
                <c:pt idx="14">
                  <c:v>2853835.7562734894</c:v>
                </c:pt>
                <c:pt idx="15">
                  <c:v>2868104.9350548568</c:v>
                </c:pt>
                <c:pt idx="16">
                  <c:v>2882445.4597301306</c:v>
                </c:pt>
                <c:pt idx="17">
                  <c:v>2896857.687028781</c:v>
                </c:pt>
                <c:pt idx="18">
                  <c:v>2911341.9754639249</c:v>
                </c:pt>
                <c:pt idx="19">
                  <c:v>2925898.6853412441</c:v>
                </c:pt>
                <c:pt idx="20">
                  <c:v>3638903.621225338</c:v>
                </c:pt>
                <c:pt idx="21">
                  <c:v>3657098.1393314642</c:v>
                </c:pt>
                <c:pt idx="22">
                  <c:v>3675383.6300281212</c:v>
                </c:pt>
                <c:pt idx="23">
                  <c:v>3693760.5481782607</c:v>
                </c:pt>
                <c:pt idx="24">
                  <c:v>3712229.3509191512</c:v>
                </c:pt>
                <c:pt idx="25">
                  <c:v>3730790.4976737467</c:v>
                </c:pt>
              </c:numCache>
            </c:numRef>
          </c:val>
          <c:smooth val="0"/>
          <c:extLst>
            <c:ext xmlns:c16="http://schemas.microsoft.com/office/drawing/2014/chart" uri="{C3380CC4-5D6E-409C-BE32-E72D297353CC}">
              <c16:uniqueId val="{00000000-18A6-4093-AF67-175DD90EE390}"/>
            </c:ext>
          </c:extLst>
        </c:ser>
        <c:ser>
          <c:idx val="0"/>
          <c:order val="1"/>
          <c:tx>
            <c:strRef>
              <c:f>'$1.5 per hr + $0.5 Projection'!$A$9</c:f>
              <c:strCache>
                <c:ptCount val="1"/>
                <c:pt idx="0">
                  <c:v>Expenses</c:v>
                </c:pt>
              </c:strCache>
            </c:strRef>
          </c:tx>
          <c:spPr>
            <a:ln w="28575" cap="rnd">
              <a:solidFill>
                <a:srgbClr val="C00000"/>
              </a:solidFill>
              <a:round/>
            </a:ln>
            <a:effectLst/>
          </c:spPr>
          <c:marker>
            <c:symbol val="none"/>
          </c:marker>
          <c:cat>
            <c:numRef>
              <c:f>'$1.5 per hr + $0.5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'$1.5 per hr + $0.5 Projection'!$B$17:$AA$17</c:f>
              <c:numCache>
                <c:formatCode>_("$"* #,##0_);_("$"* \(#,##0\);_("$"* "-"??_);_(@_)</c:formatCode>
                <c:ptCount val="26"/>
                <c:pt idx="0">
                  <c:v>778000</c:v>
                </c:pt>
                <c:pt idx="1">
                  <c:v>885047.97761491523</c:v>
                </c:pt>
                <c:pt idx="2">
                  <c:v>905948.45290366025</c:v>
                </c:pt>
                <c:pt idx="3">
                  <c:v>931747.69516817853</c:v>
                </c:pt>
                <c:pt idx="4">
                  <c:v>958314.01864401938</c:v>
                </c:pt>
                <c:pt idx="5">
                  <c:v>985670.40128723939</c:v>
                </c:pt>
                <c:pt idx="6">
                  <c:v>1013840.5102201755</c:v>
                </c:pt>
                <c:pt idx="7">
                  <c:v>1042848.7224055715</c:v>
                </c:pt>
                <c:pt idx="8">
                  <c:v>1072720.1459409234</c:v>
                </c:pt>
                <c:pt idx="9">
                  <c:v>1103480.6419916514</c:v>
                </c:pt>
                <c:pt idx="10">
                  <c:v>2198841.1595132831</c:v>
                </c:pt>
                <c:pt idx="11">
                  <c:v>1185984.1537115481</c:v>
                </c:pt>
                <c:pt idx="12">
                  <c:v>1219665.9477135623</c:v>
                </c:pt>
                <c:pt idx="13">
                  <c:v>1254348.7068825895</c:v>
                </c:pt>
                <c:pt idx="14">
                  <c:v>1290062.4127303762</c:v>
                </c:pt>
                <c:pt idx="15">
                  <c:v>1326837.9459768028</c:v>
                </c:pt>
                <c:pt idx="16">
                  <c:v>1364707.113524945</c:v>
                </c:pt>
                <c:pt idx="17">
                  <c:v>1403702.6762453753</c:v>
                </c:pt>
                <c:pt idx="18">
                  <c:v>1443858.377593992</c:v>
                </c:pt>
                <c:pt idx="19">
                  <c:v>1485208.9730883737</c:v>
                </c:pt>
                <c:pt idx="20">
                  <c:v>2951800.9381875726</c:v>
                </c:pt>
                <c:pt idx="21">
                  <c:v>1590589.5295988848</c:v>
                </c:pt>
                <c:pt idx="22">
                  <c:v>1635838.6742428024</c:v>
                </c:pt>
                <c:pt idx="23">
                  <c:v>1682432.9505198179</c:v>
                </c:pt>
                <c:pt idx="24">
                  <c:v>1730412.6506653919</c:v>
                </c:pt>
                <c:pt idx="25">
                  <c:v>1779819.2753734831</c:v>
                </c:pt>
              </c:numCache>
            </c:numRef>
          </c:val>
          <c:smooth val="0"/>
          <c:extLst>
            <c:ext xmlns:c16="http://schemas.microsoft.com/office/drawing/2014/chart" uri="{C3380CC4-5D6E-409C-BE32-E72D297353CC}">
              <c16:uniqueId val="{00000001-18A6-4093-AF67-175DD90EE390}"/>
            </c:ext>
          </c:extLst>
        </c:ser>
        <c:dLbls>
          <c:showLegendKey val="0"/>
          <c:showVal val="0"/>
          <c:showCatName val="0"/>
          <c:showSerName val="0"/>
          <c:showPercent val="0"/>
          <c:showBubbleSize val="0"/>
        </c:dLbls>
        <c:smooth val="0"/>
        <c:axId val="1444131888"/>
        <c:axId val="1296867824"/>
      </c:lineChart>
      <c:catAx>
        <c:axId val="144413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7824"/>
        <c:crosses val="autoZero"/>
        <c:auto val="1"/>
        <c:lblAlgn val="ctr"/>
        <c:lblOffset val="100"/>
        <c:tickMarkSkip val="5"/>
        <c:noMultiLvlLbl val="0"/>
      </c:catAx>
      <c:valAx>
        <c:axId val="12968678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3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 (2025</a:t>
            </a:r>
            <a:r>
              <a:rPr lang="en-US" baseline="0"/>
              <a:t> Dollars)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'$1.5 per hr + $0.5 Projection'!$A$25</c:f>
              <c:strCache>
                <c:ptCount val="1"/>
                <c:pt idx="0">
                  <c:v>Net Income</c:v>
                </c:pt>
              </c:strCache>
            </c:strRef>
          </c:tx>
          <c:spPr>
            <a:ln w="28575" cap="rnd">
              <a:solidFill>
                <a:schemeClr val="accent1"/>
              </a:solidFill>
              <a:round/>
            </a:ln>
            <a:effectLst/>
          </c:spPr>
          <c:marker>
            <c:symbol val="none"/>
          </c:marker>
          <c:cat>
            <c:numRef>
              <c:f>'$1.5 per hr + $0.5 Projection'!$B$22:$AA$22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'$1.5 per hr + $0.5 Projection'!$B$25:$AA$25</c:f>
              <c:numCache>
                <c:formatCode>_("$"* #,##0_);_("$"* \(#,##0\);_("$"* "-"??_);_(@_)</c:formatCode>
                <c:ptCount val="26"/>
                <c:pt idx="0">
                  <c:v>-778000</c:v>
                </c:pt>
                <c:pt idx="1">
                  <c:v>1263994.3264765369</c:v>
                </c:pt>
                <c:pt idx="2">
                  <c:v>1072040.3247857837</c:v>
                </c:pt>
                <c:pt idx="3">
                  <c:v>1026555.3230295068</c:v>
                </c:pt>
                <c:pt idx="4">
                  <c:v>982174.32617022702</c:v>
                </c:pt>
                <c:pt idx="5">
                  <c:v>938870.53797258018</c:v>
                </c:pt>
                <c:pt idx="6">
                  <c:v>896617.81259526452</c:v>
                </c:pt>
                <c:pt idx="7">
                  <c:v>855390.63880477659</c:v>
                </c:pt>
                <c:pt idx="8">
                  <c:v>815164.12457231025</c:v>
                </c:pt>
                <c:pt idx="9">
                  <c:v>775913.98204451601</c:v>
                </c:pt>
                <c:pt idx="10">
                  <c:v>445432.67506607901</c:v>
                </c:pt>
                <c:pt idx="11">
                  <c:v>1174273.1017010566</c:v>
                </c:pt>
                <c:pt idx="12">
                  <c:v>1126306.7218643122</c:v>
                </c:pt>
                <c:pt idx="13">
                  <c:v>1079504.5745478768</c:v>
                </c:pt>
                <c:pt idx="14">
                  <c:v>1033838.4016808689</c:v>
                </c:pt>
                <c:pt idx="15">
                  <c:v>989280.63106791535</c:v>
                </c:pt>
                <c:pt idx="16">
                  <c:v>945804.35974168382</c:v>
                </c:pt>
                <c:pt idx="17">
                  <c:v>903383.33771948714</c:v>
                </c:pt>
                <c:pt idx="18">
                  <c:v>861991.9521541401</c:v>
                </c:pt>
                <c:pt idx="19">
                  <c:v>821605.211869505</c:v>
                </c:pt>
                <c:pt idx="20">
                  <c:v>380432.096234389</c:v>
                </c:pt>
                <c:pt idx="21">
                  <c:v>1110850.2068215928</c:v>
                </c:pt>
                <c:pt idx="22">
                  <c:v>1064423.2176372623</c:v>
                </c:pt>
                <c:pt idx="23">
                  <c:v>1019123.0971224539</c:v>
                </c:pt>
                <c:pt idx="24">
                  <c:v>974922.49409586948</c:v>
                </c:pt>
                <c:pt idx="25">
                  <c:v>931794.72123983339</c:v>
                </c:pt>
              </c:numCache>
            </c:numRef>
          </c:val>
          <c:smooth val="0"/>
          <c:extLst>
            <c:ext xmlns:c16="http://schemas.microsoft.com/office/drawing/2014/chart" uri="{C3380CC4-5D6E-409C-BE32-E72D297353CC}">
              <c16:uniqueId val="{00000000-15AA-49F6-A021-E498F42BC32C}"/>
            </c:ext>
          </c:extLst>
        </c:ser>
        <c:dLbls>
          <c:showLegendKey val="0"/>
          <c:showVal val="0"/>
          <c:showCatName val="0"/>
          <c:showSerName val="0"/>
          <c:showPercent val="0"/>
          <c:showBubbleSize val="0"/>
        </c:dLbls>
        <c:smooth val="0"/>
        <c:axId val="1737784640"/>
        <c:axId val="1540339344"/>
      </c:lineChart>
      <c:catAx>
        <c:axId val="173778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5875" cap="flat" cmpd="sng" algn="ctr">
            <a:solidFill>
              <a:schemeClr val="tx1"/>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39344"/>
        <c:crosses val="autoZero"/>
        <c:auto val="1"/>
        <c:lblAlgn val="ctr"/>
        <c:lblOffset val="100"/>
        <c:tickMarkSkip val="5"/>
        <c:noMultiLvlLbl val="0"/>
      </c:catAx>
      <c:valAx>
        <c:axId val="15403393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8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 Per Annum (2025 Dollars)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'$1.5 per hr + $0.5 Projection'!$A$25</c:f>
              <c:strCache>
                <c:ptCount val="1"/>
                <c:pt idx="0">
                  <c:v>Net Income</c:v>
                </c:pt>
              </c:strCache>
            </c:strRef>
          </c:tx>
          <c:spPr>
            <a:solidFill>
              <a:schemeClr val="accent2"/>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'$1.5 per hr + $0.5 Projection'!$B$22:$K$22</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'$1.5 per hr + $0.5 Projection'!$B$19:$K$19</c:f>
              <c:numCache>
                <c:formatCode>_("$"* #,##0_);_("$"* \(#,##0\);_("$"* "-"??_);_(@_)</c:formatCode>
                <c:ptCount val="10"/>
                <c:pt idx="0">
                  <c:v>-778000</c:v>
                </c:pt>
                <c:pt idx="1">
                  <c:v>1301914.156270833</c:v>
                </c:pt>
                <c:pt idx="2">
                  <c:v>1137327.5805652379</c:v>
                </c:pt>
                <c:pt idx="3">
                  <c:v>1121744.718468064</c:v>
                </c:pt>
                <c:pt idx="4">
                  <c:v>1105445.857060404</c:v>
                </c:pt>
                <c:pt idx="5">
                  <c:v>1088408.2737957058</c:v>
                </c:pt>
                <c:pt idx="6">
                  <c:v>1070608.5582381841</c:v>
                </c:pt>
                <c:pt idx="7">
                  <c:v>1052022.5913950794</c:v>
                </c:pt>
                <c:pt idx="8">
                  <c:v>1032625.5244287301</c:v>
                </c:pt>
                <c:pt idx="9">
                  <c:v>1012391.7567298503</c:v>
                </c:pt>
              </c:numCache>
            </c:numRef>
          </c:val>
          <c:extLst>
            <c:ext xmlns:c16="http://schemas.microsoft.com/office/drawing/2014/chart" uri="{C3380CC4-5D6E-409C-BE32-E72D297353CC}">
              <c16:uniqueId val="{00000001-38EF-4EFD-A71D-3922D17B03B2}"/>
            </c:ext>
          </c:extLst>
        </c:ser>
        <c:dLbls>
          <c:showLegendKey val="0"/>
          <c:showVal val="0"/>
          <c:showCatName val="0"/>
          <c:showSerName val="0"/>
          <c:showPercent val="0"/>
          <c:showBubbleSize val="0"/>
        </c:dLbls>
        <c:gapWidth val="100"/>
        <c:overlap val="-27"/>
        <c:axId val="1825390287"/>
        <c:axId val="1825389807"/>
        <c:extLst>
          <c:ext xmlns:c15="http://schemas.microsoft.com/office/drawing/2012/chart" uri="{02D57815-91ED-43cb-92C2-25804820EDAC}">
            <c15:filteredBarSeries>
              <c15:ser>
                <c:idx val="0"/>
                <c:order val="0"/>
                <c:tx>
                  <c:strRef>
                    <c:extLst>
                      <c:ext uri="{02D57815-91ED-43cb-92C2-25804820EDAC}">
                        <c15:formulaRef>
                          <c15:sqref>'$1.5 per hr + $0.5 Projection'!$A$22</c15:sqref>
                        </c15:formulaRef>
                      </c:ext>
                    </c:extLst>
                    <c:strCache>
                      <c:ptCount val="1"/>
                      <c:pt idx="0">
                        <c:v>In 2025 Dollars</c:v>
                      </c:pt>
                    </c:strCache>
                  </c:strRef>
                </c:tx>
                <c:spPr>
                  <a:solidFill>
                    <a:schemeClr val="accent1"/>
                  </a:solidFill>
                  <a:ln>
                    <a:noFill/>
                  </a:ln>
                  <a:effectLst/>
                </c:spPr>
                <c:invertIfNegative val="0"/>
                <c:cat>
                  <c:numRef>
                    <c:extLst>
                      <c:ext uri="{02D57815-91ED-43cb-92C2-25804820EDAC}">
                        <c15:formulaRef>
                          <c15:sqref>'$1.5 per hr + $0.5 Projection'!$B$22:$K$22</c15:sqref>
                        </c15:formulaRef>
                      </c:ext>
                    </c:extLst>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extLst>
                      <c:ext uri="{02D57815-91ED-43cb-92C2-25804820EDAC}">
                        <c15:formulaRef>
                          <c15:sqref>'$1.5 per hr + $0.5 Projection'!$B$22:$K$22</c15:sqref>
                        </c15:formulaRef>
                      </c:ext>
                    </c:extLst>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val>
                <c:extLst>
                  <c:ext xmlns:c16="http://schemas.microsoft.com/office/drawing/2014/chart" uri="{C3380CC4-5D6E-409C-BE32-E72D297353CC}">
                    <c16:uniqueId val="{00000000-38EF-4EFD-A71D-3922D17B03B2}"/>
                  </c:ext>
                </c:extLst>
              </c15:ser>
            </c15:filteredBarSeries>
          </c:ext>
        </c:extLst>
      </c:barChart>
      <c:catAx>
        <c:axId val="182539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389807"/>
        <c:crosses val="autoZero"/>
        <c:auto val="1"/>
        <c:lblAlgn val="ctr"/>
        <c:lblOffset val="100"/>
        <c:noMultiLvlLbl val="0"/>
      </c:catAx>
      <c:valAx>
        <c:axId val="1825389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39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'$1.5 per hr + $1 Projection'!$A$4</c:f>
              <c:strCache>
                <c:ptCount val="1"/>
                <c:pt idx="0">
                  <c:v>Revenue</c:v>
                </c:pt>
              </c:strCache>
            </c:strRef>
          </c:tx>
          <c:spPr>
            <a:ln w="28575" cap="rnd">
              <a:solidFill>
                <a:schemeClr val="accent6"/>
              </a:solidFill>
              <a:round/>
            </a:ln>
            <a:effectLst/>
          </c:spPr>
          <c:marker>
            <c:symbol val="none"/>
          </c:marker>
          <c:cat>
            <c:numRef>
              <c:f>'$1.5 per hr + $1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'$1.5 per hr + $1 Projection'!$B$7:$AA$7</c:f>
              <c:numCache>
                <c:formatCode>_("$"* #,##0_);_("$"* \(#,##0\);_("$"* "-"??_);_(@_)</c:formatCode>
                <c:ptCount val="26"/>
                <c:pt idx="0">
                  <c:v>0</c:v>
                </c:pt>
                <c:pt idx="1">
                  <c:v>2636962.1338857482</c:v>
                </c:pt>
                <c:pt idx="2">
                  <c:v>2495526.0334688979</c:v>
                </c:pt>
                <c:pt idx="3">
                  <c:v>2508003.6636362425</c:v>
                </c:pt>
                <c:pt idx="4">
                  <c:v>2520543.681954423</c:v>
                </c:pt>
                <c:pt idx="5">
                  <c:v>2533146.400364195</c:v>
                </c:pt>
                <c:pt idx="6">
                  <c:v>2545812.1323660156</c:v>
                </c:pt>
                <c:pt idx="7">
                  <c:v>2558541.1930278451</c:v>
                </c:pt>
                <c:pt idx="8">
                  <c:v>2571333.8989929836</c:v>
                </c:pt>
                <c:pt idx="9">
                  <c:v>2584190.5684879483</c:v>
                </c:pt>
                <c:pt idx="10">
                  <c:v>3920237.0613309001</c:v>
                </c:pt>
                <c:pt idx="11">
                  <c:v>3939838.2466375539</c:v>
                </c:pt>
                <c:pt idx="12">
                  <c:v>3959537.4378707414</c:v>
                </c:pt>
                <c:pt idx="13">
                  <c:v>3979335.1250600936</c:v>
                </c:pt>
                <c:pt idx="14">
                  <c:v>3999231.8006853936</c:v>
                </c:pt>
                <c:pt idx="15">
                  <c:v>4019227.9596888199</c:v>
                </c:pt>
                <c:pt idx="16">
                  <c:v>4039324.0994872632</c:v>
                </c:pt>
                <c:pt idx="17">
                  <c:v>4059520.719984699</c:v>
                </c:pt>
                <c:pt idx="18">
                  <c:v>4079818.3235846227</c:v>
                </c:pt>
                <c:pt idx="19">
                  <c:v>4100217.415202545</c:v>
                </c:pt>
                <c:pt idx="20">
                  <c:v>5489892.001300564</c:v>
                </c:pt>
                <c:pt idx="21">
                  <c:v>5517341.4613070656</c:v>
                </c:pt>
                <c:pt idx="22">
                  <c:v>5544928.1686136005</c:v>
                </c:pt>
                <c:pt idx="23">
                  <c:v>5572652.8094566669</c:v>
                </c:pt>
                <c:pt idx="24">
                  <c:v>5600516.0735039497</c:v>
                </c:pt>
                <c:pt idx="25">
                  <c:v>5628518.6538714683</c:v>
                </c:pt>
              </c:numCache>
            </c:numRef>
          </c:val>
          <c:smooth val="0"/>
          <c:extLst>
            <c:ext xmlns:c16="http://schemas.microsoft.com/office/drawing/2014/chart" uri="{C3380CC4-5D6E-409C-BE32-E72D297353CC}">
              <c16:uniqueId val="{00000000-8063-4B7F-B7EB-78F584587DDB}"/>
            </c:ext>
          </c:extLst>
        </c:ser>
        <c:ser>
          <c:idx val="0"/>
          <c:order val="1"/>
          <c:tx>
            <c:strRef>
              <c:f>'$1.5 per hr + $1 Projection'!$A$9</c:f>
              <c:strCache>
                <c:ptCount val="1"/>
                <c:pt idx="0">
                  <c:v>Expenses</c:v>
                </c:pt>
              </c:strCache>
            </c:strRef>
          </c:tx>
          <c:spPr>
            <a:ln w="28575" cap="rnd">
              <a:solidFill>
                <a:srgbClr val="C00000"/>
              </a:solidFill>
              <a:round/>
            </a:ln>
            <a:effectLst/>
          </c:spPr>
          <c:marker>
            <c:symbol val="none"/>
          </c:marker>
          <c:cat>
            <c:numRef>
              <c:f>'$1.5 per hr + $1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'$1.5 per hr + $1 Projection'!$B$17:$AA$17</c:f>
              <c:numCache>
                <c:formatCode>_("$"* #,##0_);_("$"* \(#,##0\);_("$"* "-"??_);_(@_)</c:formatCode>
                <c:ptCount val="26"/>
                <c:pt idx="0">
                  <c:v>848000</c:v>
                </c:pt>
                <c:pt idx="1">
                  <c:v>1147197.9776149152</c:v>
                </c:pt>
                <c:pt idx="2">
                  <c:v>1175659.2029036602</c:v>
                </c:pt>
                <c:pt idx="3">
                  <c:v>1209244.4989181785</c:v>
                </c:pt>
                <c:pt idx="4">
                  <c:v>1243828.9314127695</c:v>
                </c:pt>
                <c:pt idx="5">
                  <c:v>1279442.4323698331</c:v>
                </c:pt>
                <c:pt idx="6">
                  <c:v>1316115.8315206822</c:v>
                </c:pt>
                <c:pt idx="7">
                  <c:v>1353880.8832769557</c:v>
                </c:pt>
                <c:pt idx="8">
                  <c:v>1392770.2944699707</c:v>
                </c:pt>
                <c:pt idx="9">
                  <c:v>1432817.7529222493</c:v>
                </c:pt>
                <c:pt idx="10">
                  <c:v>2649423.4361400162</c:v>
                </c:pt>
                <c:pt idx="11">
                  <c:v>1552429.6568334887</c:v>
                </c:pt>
                <c:pt idx="12">
                  <c:v>1596343.1557220134</c:v>
                </c:pt>
                <c:pt idx="13">
                  <c:v>1641560.7626231108</c:v>
                </c:pt>
                <c:pt idx="14">
                  <c:v>1688121.5342923887</c:v>
                </c:pt>
                <c:pt idx="15">
                  <c:v>1736065.6988556976</c:v>
                </c:pt>
                <c:pt idx="16">
                  <c:v>1785434.6909485788</c:v>
                </c:pt>
                <c:pt idx="17">
                  <c:v>1836271.1879098821</c:v>
                </c:pt>
                <c:pt idx="18">
                  <c:v>1888619.1470611885</c:v>
                </c:pt>
                <c:pt idx="19">
                  <c:v>1942523.8441046048</c:v>
                </c:pt>
                <c:pt idx="20">
                  <c:v>3566581.9241457377</c:v>
                </c:pt>
                <c:pt idx="21">
                  <c:v>2092343.9079595795</c:v>
                </c:pt>
                <c:pt idx="22">
                  <c:v>2151390.0197119843</c:v>
                </c:pt>
                <c:pt idx="23">
                  <c:v>2212188.8937895298</c:v>
                </c:pt>
                <c:pt idx="24">
                  <c:v>2274793.0199568323</c:v>
                </c:pt>
                <c:pt idx="25">
                  <c:v>2339256.4622059222</c:v>
                </c:pt>
              </c:numCache>
            </c:numRef>
          </c:val>
          <c:smooth val="0"/>
          <c:extLst>
            <c:ext xmlns:c16="http://schemas.microsoft.com/office/drawing/2014/chart" uri="{C3380CC4-5D6E-409C-BE32-E72D297353CC}">
              <c16:uniqueId val="{00000001-8063-4B7F-B7EB-78F584587DDB}"/>
            </c:ext>
          </c:extLst>
        </c:ser>
        <c:dLbls>
          <c:showLegendKey val="0"/>
          <c:showVal val="0"/>
          <c:showCatName val="0"/>
          <c:showSerName val="0"/>
          <c:showPercent val="0"/>
          <c:showBubbleSize val="0"/>
        </c:dLbls>
        <c:smooth val="0"/>
        <c:axId val="1444131888"/>
        <c:axId val="1296867824"/>
      </c:lineChart>
      <c:catAx>
        <c:axId val="144413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7824"/>
        <c:crosses val="autoZero"/>
        <c:auto val="1"/>
        <c:lblAlgn val="ctr"/>
        <c:lblOffset val="100"/>
        <c:tickMarkSkip val="5"/>
        <c:noMultiLvlLbl val="0"/>
      </c:catAx>
      <c:valAx>
        <c:axId val="12968678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3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 (2025</a:t>
            </a:r>
            <a:r>
              <a:rPr lang="en-US" baseline="0"/>
              <a:t> Dollars)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'$1.5 per hr + $1 Projection'!$A$25</c:f>
              <c:strCache>
                <c:ptCount val="1"/>
                <c:pt idx="0">
                  <c:v>Net Income</c:v>
                </c:pt>
              </c:strCache>
            </c:strRef>
          </c:tx>
          <c:spPr>
            <a:ln w="28575" cap="rnd">
              <a:solidFill>
                <a:schemeClr val="accent1"/>
              </a:solidFill>
              <a:round/>
            </a:ln>
            <a:effectLst/>
          </c:spPr>
          <c:marker>
            <c:symbol val="none"/>
          </c:marker>
          <c:cat>
            <c:numRef>
              <c:f>'$1.5 per hr + $1 Projection'!$B$22:$AA$22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'$1.5 per hr + $1 Projection'!$B$25:$AA$25</c:f>
              <c:numCache>
                <c:formatCode>_("$"* #,##0_);_("$"* \(#,##0\);_("$"* "-"??_);_(@_)</c:formatCode>
                <c:ptCount val="26"/>
                <c:pt idx="0">
                  <c:v>-848000</c:v>
                </c:pt>
                <c:pt idx="1">
                  <c:v>1446372.9672532359</c:v>
                </c:pt>
                <c:pt idx="2">
                  <c:v>1244101.0750921271</c:v>
                </c:pt>
                <c:pt idx="3">
                  <c:v>1188548.6171002125</c:v>
                </c:pt>
                <c:pt idx="4">
                  <c:v>1134344.5197391689</c:v>
                </c:pt>
                <c:pt idx="5">
                  <c:v>1081456.0558092194</c:v>
                </c:pt>
                <c:pt idx="6">
                  <c:v>1029851.2924600935</c:v>
                </c:pt>
                <c:pt idx="7">
                  <c:v>979499.07191070332</c:v>
                </c:pt>
                <c:pt idx="8">
                  <c:v>930368.99263678386</c:v>
                </c:pt>
                <c:pt idx="9">
                  <c:v>882431.39101514453</c:v>
                </c:pt>
                <c:pt idx="10">
                  <c:v>945604.68547238433</c:v>
                </c:pt>
                <c:pt idx="11">
                  <c:v>1724714.7612091037</c:v>
                </c:pt>
                <c:pt idx="12">
                  <c:v>1657496.9224861942</c:v>
                </c:pt>
                <c:pt idx="13">
                  <c:v>1591910.5847031607</c:v>
                </c:pt>
                <c:pt idx="14">
                  <c:v>1527916.1483226281</c:v>
                </c:pt>
                <c:pt idx="15">
                  <c:v>1465474.9749610405</c:v>
                </c:pt>
                <c:pt idx="16">
                  <c:v>1404549.3640596857</c:v>
                </c:pt>
                <c:pt idx="17">
                  <c:v>1345102.5301219565</c:v>
                </c:pt>
                <c:pt idx="18">
                  <c:v>1287098.5805031043</c:v>
                </c:pt>
                <c:pt idx="19">
                  <c:v>1230502.4937390781</c:v>
                </c:pt>
                <c:pt idx="20">
                  <c:v>1064890.1575028766</c:v>
                </c:pt>
                <c:pt idx="21">
                  <c:v>1841104.9547922539</c:v>
                </c:pt>
                <c:pt idx="22">
                  <c:v>1771062.1113707244</c:v>
                </c:pt>
                <c:pt idx="23">
                  <c:v>1702719.3369642796</c:v>
                </c:pt>
                <c:pt idx="24">
                  <c:v>1636035.367761876</c:v>
                </c:pt>
                <c:pt idx="25">
                  <c:v>1570969.9415012775</c:v>
                </c:pt>
              </c:numCache>
            </c:numRef>
          </c:val>
          <c:smooth val="0"/>
          <c:extLst>
            <c:ext xmlns:c16="http://schemas.microsoft.com/office/drawing/2014/chart" uri="{C3380CC4-5D6E-409C-BE32-E72D297353CC}">
              <c16:uniqueId val="{00000000-DE06-4A14-A947-B57B3CBA635E}"/>
            </c:ext>
          </c:extLst>
        </c:ser>
        <c:dLbls>
          <c:showLegendKey val="0"/>
          <c:showVal val="0"/>
          <c:showCatName val="0"/>
          <c:showSerName val="0"/>
          <c:showPercent val="0"/>
          <c:showBubbleSize val="0"/>
        </c:dLbls>
        <c:smooth val="0"/>
        <c:axId val="1737784640"/>
        <c:axId val="1540339344"/>
      </c:lineChart>
      <c:catAx>
        <c:axId val="173778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5875" cap="flat" cmpd="sng" algn="ctr">
            <a:solidFill>
              <a:schemeClr val="tx1"/>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39344"/>
        <c:crosses val="autoZero"/>
        <c:auto val="1"/>
        <c:lblAlgn val="ctr"/>
        <c:lblOffset val="100"/>
        <c:tickMarkSkip val="5"/>
        <c:noMultiLvlLbl val="0"/>
      </c:catAx>
      <c:valAx>
        <c:axId val="15403393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8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'$2 per hr + $0.5 Projection'!$A$4</c:f>
              <c:strCache>
                <c:ptCount val="1"/>
                <c:pt idx="0">
                  <c:v>Revenue</c:v>
                </c:pt>
              </c:strCache>
            </c:strRef>
          </c:tx>
          <c:spPr>
            <a:ln w="28575" cap="rnd">
              <a:solidFill>
                <a:schemeClr val="accent6"/>
              </a:solidFill>
              <a:round/>
            </a:ln>
            <a:effectLst/>
          </c:spPr>
          <c:marker>
            <c:symbol val="none"/>
          </c:marker>
          <c:cat>
            <c:numRef>
              <c:f>'$2 per hr + $0.5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'$2 per hr + $0.5 Projection'!$B$7:$AA$7</c:f>
              <c:numCache>
                <c:formatCode>_("$"* #,##0_);_("$"* \(#,##0\);_("$"* "-"??_);_(@_)</c:formatCode>
                <c:ptCount val="26"/>
                <c:pt idx="0">
                  <c:v>0</c:v>
                </c:pt>
                <c:pt idx="1">
                  <c:v>3272468.4049209259</c:v>
                </c:pt>
                <c:pt idx="2">
                  <c:v>3086876.9038940645</c:v>
                </c:pt>
                <c:pt idx="3">
                  <c:v>3102311.2884135344</c:v>
                </c:pt>
                <c:pt idx="4">
                  <c:v>3117822.8448556019</c:v>
                </c:pt>
                <c:pt idx="5">
                  <c:v>3133411.9590798793</c:v>
                </c:pt>
                <c:pt idx="6">
                  <c:v>3149079.0188752776</c:v>
                </c:pt>
                <c:pt idx="7">
                  <c:v>3164824.4139696537</c:v>
                </c:pt>
                <c:pt idx="8">
                  <c:v>3180648.5360395014</c:v>
                </c:pt>
                <c:pt idx="9">
                  <c:v>3196551.7787196985</c:v>
                </c:pt>
                <c:pt idx="10">
                  <c:v>3863729.7971503264</c:v>
                </c:pt>
                <c:pt idx="11">
                  <c:v>3883048.4461360774</c:v>
                </c:pt>
                <c:pt idx="12">
                  <c:v>3902463.6883667572</c:v>
                </c:pt>
                <c:pt idx="13">
                  <c:v>3921976.0068085897</c:v>
                </c:pt>
                <c:pt idx="14">
                  <c:v>3941585.8868426322</c:v>
                </c:pt>
                <c:pt idx="15">
                  <c:v>3961293.8162768446</c:v>
                </c:pt>
                <c:pt idx="16">
                  <c:v>3981100.2853582283</c:v>
                </c:pt>
                <c:pt idx="17">
                  <c:v>4001005.7867850191</c:v>
                </c:pt>
                <c:pt idx="18">
                  <c:v>4021010.8157189437</c:v>
                </c:pt>
                <c:pt idx="19">
                  <c:v>4041115.869797538</c:v>
                </c:pt>
                <c:pt idx="20">
                  <c:v>4740400.5823641643</c:v>
                </c:pt>
                <c:pt idx="21">
                  <c:v>4764102.5852759834</c:v>
                </c:pt>
                <c:pt idx="22">
                  <c:v>4787923.0982023636</c:v>
                </c:pt>
                <c:pt idx="23">
                  <c:v>4811862.7136933738</c:v>
                </c:pt>
                <c:pt idx="24">
                  <c:v>4835922.0272618402</c:v>
                </c:pt>
                <c:pt idx="25">
                  <c:v>4860101.637398148</c:v>
                </c:pt>
              </c:numCache>
            </c:numRef>
          </c:val>
          <c:smooth val="0"/>
          <c:extLst>
            <c:ext xmlns:c16="http://schemas.microsoft.com/office/drawing/2014/chart" uri="{C3380CC4-5D6E-409C-BE32-E72D297353CC}">
              <c16:uniqueId val="{00000000-512C-4721-8704-1812A041FD68}"/>
            </c:ext>
          </c:extLst>
        </c:ser>
        <c:ser>
          <c:idx val="0"/>
          <c:order val="1"/>
          <c:tx>
            <c:strRef>
              <c:f>'$2 per hr + $0.5 Projection'!$A$9</c:f>
              <c:strCache>
                <c:ptCount val="1"/>
                <c:pt idx="0">
                  <c:v>Expenses</c:v>
                </c:pt>
              </c:strCache>
            </c:strRef>
          </c:tx>
          <c:spPr>
            <a:ln w="28575" cap="rnd">
              <a:solidFill>
                <a:srgbClr val="C00000"/>
              </a:solidFill>
              <a:round/>
            </a:ln>
            <a:effectLst/>
          </c:spPr>
          <c:marker>
            <c:symbol val="none"/>
          </c:marker>
          <c:cat>
            <c:numRef>
              <c:f>'$2 per hr + $0.5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'$2 per hr + $0.5 Projection'!$B$17:$AA$17</c:f>
              <c:numCache>
                <c:formatCode>_("$"* #,##0_);_("$"* \(#,##0\);_("$"* "-"??_);_(@_)</c:formatCode>
                <c:ptCount val="26"/>
                <c:pt idx="0">
                  <c:v>848000</c:v>
                </c:pt>
                <c:pt idx="1">
                  <c:v>1164356.646932865</c:v>
                </c:pt>
                <c:pt idx="2">
                  <c:v>1191625.6764051397</c:v>
                </c:pt>
                <c:pt idx="3">
                  <c:v>1225290.8047871655</c:v>
                </c:pt>
                <c:pt idx="4">
                  <c:v>1259955.4688111013</c:v>
                </c:pt>
                <c:pt idx="5">
                  <c:v>1295649.6024551566</c:v>
                </c:pt>
                <c:pt idx="6">
                  <c:v>1332404.0374564321</c:v>
                </c:pt>
                <c:pt idx="7">
                  <c:v>1370250.5302423844</c:v>
                </c:pt>
                <c:pt idx="8">
                  <c:v>1409221.7896702266</c:v>
                </c:pt>
                <c:pt idx="9">
                  <c:v>1449351.5055985067</c:v>
                </c:pt>
                <c:pt idx="10">
                  <c:v>2647897.7400071407</c:v>
                </c:pt>
                <c:pt idx="11">
                  <c:v>1550896.332219949</c:v>
                </c:pt>
                <c:pt idx="12">
                  <c:v>1594802.1644854057</c:v>
                </c:pt>
                <c:pt idx="13">
                  <c:v>1640012.06643032</c:v>
                </c:pt>
                <c:pt idx="14">
                  <c:v>1686565.0946186339</c:v>
                </c:pt>
                <c:pt idx="15">
                  <c:v>1734501.4769835742</c:v>
                </c:pt>
                <c:pt idx="16">
                  <c:v>1783862.6479670948</c:v>
                </c:pt>
                <c:pt idx="17">
                  <c:v>1834691.2847134904</c:v>
                </c:pt>
                <c:pt idx="18">
                  <c:v>1887031.3443488153</c:v>
                </c:pt>
                <c:pt idx="19">
                  <c:v>1940928.1023786697</c:v>
                </c:pt>
                <c:pt idx="20">
                  <c:v>3546345.6558344546</c:v>
                </c:pt>
                <c:pt idx="21">
                  <c:v>2072006.4583067403</c:v>
                </c:pt>
                <c:pt idx="22">
                  <c:v>2130950.8828108809</c:v>
                </c:pt>
                <c:pt idx="23">
                  <c:v>2191647.5612039212</c:v>
                </c:pt>
                <c:pt idx="24">
                  <c:v>2254148.9807082955</c:v>
                </c:pt>
                <c:pt idx="25">
                  <c:v>2318509.2027611425</c:v>
                </c:pt>
              </c:numCache>
            </c:numRef>
          </c:val>
          <c:smooth val="0"/>
          <c:extLst>
            <c:ext xmlns:c16="http://schemas.microsoft.com/office/drawing/2014/chart" uri="{C3380CC4-5D6E-409C-BE32-E72D297353CC}">
              <c16:uniqueId val="{00000001-512C-4721-8704-1812A041FD68}"/>
            </c:ext>
          </c:extLst>
        </c:ser>
        <c:dLbls>
          <c:showLegendKey val="0"/>
          <c:showVal val="0"/>
          <c:showCatName val="0"/>
          <c:showSerName val="0"/>
          <c:showPercent val="0"/>
          <c:showBubbleSize val="0"/>
        </c:dLbls>
        <c:smooth val="0"/>
        <c:axId val="1444131888"/>
        <c:axId val="1296867824"/>
      </c:lineChart>
      <c:catAx>
        <c:axId val="144413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7824"/>
        <c:crosses val="autoZero"/>
        <c:auto val="1"/>
        <c:lblAlgn val="ctr"/>
        <c:lblOffset val="100"/>
        <c:tickMarkSkip val="5"/>
        <c:noMultiLvlLbl val="0"/>
      </c:catAx>
      <c:valAx>
        <c:axId val="12968678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3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 (2025</a:t>
            </a:r>
            <a:r>
              <a:rPr lang="en-US" baseline="0"/>
              <a:t> Dollars)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per hr + $0.5 Projection'!$A$25</c:f>
              <c:strCache>
                <c:ptCount val="1"/>
                <c:pt idx="0">
                  <c:v>Net Income</c:v>
                </c:pt>
              </c:strCache>
            </c:strRef>
          </c:tx>
          <c:spPr>
            <a:ln w="28575" cap="rnd">
              <a:solidFill>
                <a:schemeClr val="accent1"/>
              </a:solidFill>
              <a:round/>
            </a:ln>
            <a:effectLst/>
          </c:spPr>
          <c:marker>
            <c:symbol val="none"/>
          </c:marker>
          <c:cat>
            <c:numRef>
              <c:f>'$2 per hr + $0.5 Projection'!$B$22:$AA$22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'$2 per hr + $0.5 Projection'!$B$25:$AA$25</c:f>
              <c:numCache>
                <c:formatCode>_("$"* #,##0_);_("$"* \(#,##0\);_("$"* "-"??_);_(@_)</c:formatCode>
                <c:ptCount val="26"/>
                <c:pt idx="0">
                  <c:v>-848000</c:v>
                </c:pt>
                <c:pt idx="1">
                  <c:v>2046710.4446486027</c:v>
                </c:pt>
                <c:pt idx="2">
                  <c:v>1786456.0538117869</c:v>
                </c:pt>
                <c:pt idx="3">
                  <c:v>1717739.6400257053</c:v>
                </c:pt>
                <c:pt idx="4">
                  <c:v>1650691.1003606457</c:v>
                </c:pt>
                <c:pt idx="5">
                  <c:v>1585269.9524350287</c:v>
                </c:pt>
                <c:pt idx="6">
                  <c:v>1521436.6964493536</c:v>
                </c:pt>
                <c:pt idx="7">
                  <c:v>1459152.7913371173</c:v>
                </c:pt>
                <c:pt idx="8">
                  <c:v>1398380.6314945957</c:v>
                </c:pt>
                <c:pt idx="9">
                  <c:v>1339083.5240754364</c:v>
                </c:pt>
                <c:pt idx="10">
                  <c:v>904693.23525661195</c:v>
                </c:pt>
                <c:pt idx="11">
                  <c:v>1684796.3073577916</c:v>
                </c:pt>
                <c:pt idx="12">
                  <c:v>1618547.3631458364</c:v>
                </c:pt>
                <c:pt idx="13">
                  <c:v>1553906.4030166951</c:v>
                </c:pt>
                <c:pt idx="14">
                  <c:v>1490834.3982304942</c:v>
                </c:pt>
                <c:pt idx="15">
                  <c:v>1429293.2673468711</c:v>
                </c:pt>
                <c:pt idx="16">
                  <c:v>1369245.853232268</c:v>
                </c:pt>
                <c:pt idx="17">
                  <c:v>1310655.9006253015</c:v>
                </c:pt>
                <c:pt idx="18">
                  <c:v>1253488.0342466591</c:v>
                </c:pt>
                <c:pt idx="19">
                  <c:v>1197707.7374403137</c:v>
                </c:pt>
                <c:pt idx="20">
                  <c:v>661119.26198624587</c:v>
                </c:pt>
                <c:pt idx="21">
                  <c:v>1447134.3237299102</c:v>
                </c:pt>
                <c:pt idx="22">
                  <c:v>1386653.8742662047</c:v>
                </c:pt>
                <c:pt idx="23">
                  <c:v>1327641.3968768597</c:v>
                </c:pt>
                <c:pt idx="24">
                  <c:v>1270061.2611717235</c:v>
                </c:pt>
                <c:pt idx="25">
                  <c:v>1213878.7015759344</c:v>
                </c:pt>
              </c:numCache>
            </c:numRef>
          </c:val>
          <c:smooth val="0"/>
          <c:extLst>
            <c:ext xmlns:c16="http://schemas.microsoft.com/office/drawing/2014/chart" uri="{C3380CC4-5D6E-409C-BE32-E72D297353CC}">
              <c16:uniqueId val="{00000000-7EF4-49AB-8942-09B2E05E337C}"/>
            </c:ext>
          </c:extLst>
        </c:ser>
        <c:dLbls>
          <c:showLegendKey val="0"/>
          <c:showVal val="0"/>
          <c:showCatName val="0"/>
          <c:showSerName val="0"/>
          <c:showPercent val="0"/>
          <c:showBubbleSize val="0"/>
        </c:dLbls>
        <c:smooth val="0"/>
        <c:axId val="1737784640"/>
        <c:axId val="1540339344"/>
      </c:lineChart>
      <c:catAx>
        <c:axId val="173778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5875" cap="flat" cmpd="sng" algn="ctr">
            <a:solidFill>
              <a:schemeClr val="tx1"/>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39344"/>
        <c:crosses val="autoZero"/>
        <c:auto val="1"/>
        <c:lblAlgn val="ctr"/>
        <c:lblOffset val="100"/>
        <c:tickMarkSkip val="5"/>
        <c:noMultiLvlLbl val="0"/>
      </c:catAx>
      <c:valAx>
        <c:axId val="15403393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8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and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'$2 per hr + $1 Projection'!$A$4</c:f>
              <c:strCache>
                <c:ptCount val="1"/>
                <c:pt idx="0">
                  <c:v>Revenue</c:v>
                </c:pt>
              </c:strCache>
            </c:strRef>
          </c:tx>
          <c:spPr>
            <a:ln w="28575" cap="rnd">
              <a:solidFill>
                <a:schemeClr val="accent6"/>
              </a:solidFill>
              <a:round/>
            </a:ln>
            <a:effectLst/>
          </c:spPr>
          <c:marker>
            <c:symbol val="none"/>
          </c:marker>
          <c:cat>
            <c:numRef>
              <c:f>'$2 per hr + $1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'$2 per hr + $1 Projection'!$B$7:$AA$7</c:f>
              <c:numCache>
                <c:formatCode>_("$"* #,##0_);_("$"* \(#,##0\);_("$"* "-"??_);_(@_)</c:formatCode>
                <c:ptCount val="26"/>
                <c:pt idx="0">
                  <c:v>0</c:v>
                </c:pt>
                <c:pt idx="1">
                  <c:v>3272468.4049209259</c:v>
                </c:pt>
                <c:pt idx="2">
                  <c:v>3086876.9038940645</c:v>
                </c:pt>
                <c:pt idx="3">
                  <c:v>3102311.2884135344</c:v>
                </c:pt>
                <c:pt idx="4">
                  <c:v>3117822.8448556019</c:v>
                </c:pt>
                <c:pt idx="5">
                  <c:v>3133411.9590798793</c:v>
                </c:pt>
                <c:pt idx="6">
                  <c:v>3149079.0188752776</c:v>
                </c:pt>
                <c:pt idx="7">
                  <c:v>3164824.4139696537</c:v>
                </c:pt>
                <c:pt idx="8">
                  <c:v>3180648.5360395014</c:v>
                </c:pt>
                <c:pt idx="9">
                  <c:v>3196551.7787196985</c:v>
                </c:pt>
                <c:pt idx="10">
                  <c:v>4501215.6828023652</c:v>
                </c:pt>
                <c:pt idx="11">
                  <c:v>4523721.761216376</c:v>
                </c:pt>
                <c:pt idx="12">
                  <c:v>4546340.3700224571</c:v>
                </c:pt>
                <c:pt idx="13">
                  <c:v>4569072.0718725687</c:v>
                </c:pt>
                <c:pt idx="14">
                  <c:v>4591917.4322319301</c:v>
                </c:pt>
                <c:pt idx="15">
                  <c:v>4614877.0193930892</c:v>
                </c:pt>
                <c:pt idx="16">
                  <c:v>4637951.4044900546</c:v>
                </c:pt>
                <c:pt idx="17">
                  <c:v>4661141.1615125043</c:v>
                </c:pt>
                <c:pt idx="18">
                  <c:v>4684446.8673200663</c:v>
                </c:pt>
                <c:pt idx="19">
                  <c:v>4707869.101656666</c:v>
                </c:pt>
                <c:pt idx="20">
                  <c:v>6068316.0693046469</c:v>
                </c:pt>
                <c:pt idx="21">
                  <c:v>6098657.6496511688</c:v>
                </c:pt>
                <c:pt idx="22">
                  <c:v>6129150.9378994247</c:v>
                </c:pt>
                <c:pt idx="23">
                  <c:v>6159796.6925889188</c:v>
                </c:pt>
                <c:pt idx="24">
                  <c:v>6190595.6760518635</c:v>
                </c:pt>
                <c:pt idx="25">
                  <c:v>6221548.6544321217</c:v>
                </c:pt>
              </c:numCache>
            </c:numRef>
          </c:val>
          <c:smooth val="0"/>
          <c:extLst>
            <c:ext xmlns:c16="http://schemas.microsoft.com/office/drawing/2014/chart" uri="{C3380CC4-5D6E-409C-BE32-E72D297353CC}">
              <c16:uniqueId val="{00000001-E666-4944-AEFD-484A3379AEBF}"/>
            </c:ext>
          </c:extLst>
        </c:ser>
        <c:ser>
          <c:idx val="0"/>
          <c:order val="1"/>
          <c:tx>
            <c:strRef>
              <c:f>'$2 per hr + $1 Projection'!$A$9</c:f>
              <c:strCache>
                <c:ptCount val="1"/>
                <c:pt idx="0">
                  <c:v>Expenses</c:v>
                </c:pt>
              </c:strCache>
            </c:strRef>
          </c:tx>
          <c:spPr>
            <a:ln w="28575" cap="rnd">
              <a:solidFill>
                <a:srgbClr val="C00000"/>
              </a:solidFill>
              <a:round/>
            </a:ln>
            <a:effectLst/>
          </c:spPr>
          <c:marker>
            <c:symbol val="none"/>
          </c:marker>
          <c:cat>
            <c:numRef>
              <c:f>'$2 per hr + $1 Projection'!$B$3:$AA$3</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'$2 per hr + $1 Projection'!$B$17:$AA$17</c:f>
              <c:numCache>
                <c:formatCode>_("$"* #,##0_);_("$"* \(#,##0\);_("$"* "-"??_);_(@_)</c:formatCode>
                <c:ptCount val="26"/>
                <c:pt idx="0">
                  <c:v>848000</c:v>
                </c:pt>
                <c:pt idx="1">
                  <c:v>1164356.646932865</c:v>
                </c:pt>
                <c:pt idx="2">
                  <c:v>1191625.6764051397</c:v>
                </c:pt>
                <c:pt idx="3">
                  <c:v>1225290.8047871655</c:v>
                </c:pt>
                <c:pt idx="4">
                  <c:v>1259955.4688111013</c:v>
                </c:pt>
                <c:pt idx="5">
                  <c:v>1295649.6024551566</c:v>
                </c:pt>
                <c:pt idx="6">
                  <c:v>1332404.0374564321</c:v>
                </c:pt>
                <c:pt idx="7">
                  <c:v>1370250.5302423844</c:v>
                </c:pt>
                <c:pt idx="8">
                  <c:v>1409221.7896702266</c:v>
                </c:pt>
                <c:pt idx="9">
                  <c:v>1449351.5055985067</c:v>
                </c:pt>
                <c:pt idx="10">
                  <c:v>2665109.8589197458</c:v>
                </c:pt>
                <c:pt idx="11">
                  <c:v>1568194.511727117</c:v>
                </c:pt>
                <c:pt idx="12">
                  <c:v>1612186.8348901097</c:v>
                </c:pt>
                <c:pt idx="13">
                  <c:v>1657483.6601870474</c:v>
                </c:pt>
                <c:pt idx="14">
                  <c:v>1704124.0463441452</c:v>
                </c:pt>
                <c:pt idx="15">
                  <c:v>1752148.2234677128</c:v>
                </c:pt>
                <c:pt idx="16">
                  <c:v>1801597.628183654</c:v>
                </c:pt>
                <c:pt idx="17">
                  <c:v>1852514.9398311325</c:v>
                </c:pt>
                <c:pt idx="18">
                  <c:v>1904944.1177420455</c:v>
                </c:pt>
                <c:pt idx="19">
                  <c:v>1958930.4396388661</c:v>
                </c:pt>
                <c:pt idx="20">
                  <c:v>3582199.3739818479</c:v>
                </c:pt>
                <c:pt idx="21">
                  <c:v>2108039.44504487</c:v>
                </c:pt>
                <c:pt idx="22">
                  <c:v>2167164.0344827012</c:v>
                </c:pt>
                <c:pt idx="23">
                  <c:v>2228041.7786341007</c:v>
                </c:pt>
                <c:pt idx="24">
                  <c:v>2290725.1692256262</c:v>
                </c:pt>
                <c:pt idx="25">
                  <c:v>2355268.2722210595</c:v>
                </c:pt>
              </c:numCache>
            </c:numRef>
          </c:val>
          <c:smooth val="0"/>
          <c:extLst>
            <c:ext xmlns:c16="http://schemas.microsoft.com/office/drawing/2014/chart" uri="{C3380CC4-5D6E-409C-BE32-E72D297353CC}">
              <c16:uniqueId val="{00000002-E666-4944-AEFD-484A3379AEBF}"/>
            </c:ext>
          </c:extLst>
        </c:ser>
        <c:dLbls>
          <c:showLegendKey val="0"/>
          <c:showVal val="0"/>
          <c:showCatName val="0"/>
          <c:showSerName val="0"/>
          <c:showPercent val="0"/>
          <c:showBubbleSize val="0"/>
        </c:dLbls>
        <c:smooth val="0"/>
        <c:axId val="1444131888"/>
        <c:axId val="1296867824"/>
      </c:lineChart>
      <c:catAx>
        <c:axId val="144413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67824"/>
        <c:crosses val="autoZero"/>
        <c:auto val="1"/>
        <c:lblAlgn val="ctr"/>
        <c:lblOffset val="100"/>
        <c:tickMarkSkip val="5"/>
        <c:noMultiLvlLbl val="0"/>
      </c:catAx>
      <c:valAx>
        <c:axId val="12968678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13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 (2025</a:t>
            </a:r>
            <a:r>
              <a:rPr lang="en-US" baseline="0"/>
              <a:t> Dollars)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per hr + $1 Projection'!$A$25</c:f>
              <c:strCache>
                <c:ptCount val="1"/>
                <c:pt idx="0">
                  <c:v>Net Income</c:v>
                </c:pt>
              </c:strCache>
            </c:strRef>
          </c:tx>
          <c:spPr>
            <a:ln w="28575" cap="rnd">
              <a:solidFill>
                <a:schemeClr val="accent1"/>
              </a:solidFill>
              <a:round/>
            </a:ln>
            <a:effectLst/>
          </c:spPr>
          <c:marker>
            <c:symbol val="none"/>
          </c:marker>
          <c:cat>
            <c:numRef>
              <c:f>'$2 per hr + $1 Projection'!$B$22:$AA$22</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'$2 per hr + $1 Projection'!$B$25:$AA$25</c:f>
              <c:numCache>
                <c:formatCode>_("$"* #,##0_);_("$"* \(#,##0\);_("$"* "-"??_);_(@_)</c:formatCode>
                <c:ptCount val="26"/>
                <c:pt idx="0">
                  <c:v>-848000</c:v>
                </c:pt>
                <c:pt idx="1">
                  <c:v>2046710.4446486027</c:v>
                </c:pt>
                <c:pt idx="2">
                  <c:v>1786456.0538117869</c:v>
                </c:pt>
                <c:pt idx="3">
                  <c:v>1717739.6400257053</c:v>
                </c:pt>
                <c:pt idx="4">
                  <c:v>1650691.1003606457</c:v>
                </c:pt>
                <c:pt idx="5">
                  <c:v>1585269.9524350287</c:v>
                </c:pt>
                <c:pt idx="6">
                  <c:v>1521436.6964493536</c:v>
                </c:pt>
                <c:pt idx="7">
                  <c:v>1459152.7913371173</c:v>
                </c:pt>
                <c:pt idx="8">
                  <c:v>1398380.6314945957</c:v>
                </c:pt>
                <c:pt idx="9">
                  <c:v>1339083.5240754364</c:v>
                </c:pt>
                <c:pt idx="10">
                  <c:v>1366235.1706574953</c:v>
                </c:pt>
                <c:pt idx="11">
                  <c:v>2135135.7685984592</c:v>
                </c:pt>
                <c:pt idx="12">
                  <c:v>2057956.2549389147</c:v>
                </c:pt>
                <c:pt idx="13">
                  <c:v>1982650.0304458642</c:v>
                </c:pt>
                <c:pt idx="14">
                  <c:v>1909171.6269356536</c:v>
                </c:pt>
                <c:pt idx="15">
                  <c:v>1837476.6798213229</c:v>
                </c:pt>
                <c:pt idx="16">
                  <c:v>1767521.9013262726</c:v>
                </c:pt>
                <c:pt idx="17">
                  <c:v>1699265.0543480921</c:v>
                </c:pt>
                <c:pt idx="18">
                  <c:v>1632664.9269567605</c:v>
                </c:pt>
                <c:pt idx="19">
                  <c:v>1567681.3075118202</c:v>
                </c:pt>
                <c:pt idx="20">
                  <c:v>1376502.5362780895</c:v>
                </c:pt>
                <c:pt idx="21">
                  <c:v>2145153.9263156415</c:v>
                </c:pt>
                <c:pt idx="22">
                  <c:v>2067731.2534882047</c:v>
                </c:pt>
                <c:pt idx="23">
                  <c:v>1992187.7717488105</c:v>
                </c:pt>
                <c:pt idx="24">
                  <c:v>1918477.8696632872</c:v>
                </c:pt>
                <c:pt idx="25">
                  <c:v>1846557.0428711015</c:v>
                </c:pt>
              </c:numCache>
            </c:numRef>
          </c:val>
          <c:smooth val="0"/>
          <c:extLst>
            <c:ext xmlns:c16="http://schemas.microsoft.com/office/drawing/2014/chart" uri="{C3380CC4-5D6E-409C-BE32-E72D297353CC}">
              <c16:uniqueId val="{00000001-A505-41F6-8A70-314F1DDE955A}"/>
            </c:ext>
          </c:extLst>
        </c:ser>
        <c:dLbls>
          <c:showLegendKey val="0"/>
          <c:showVal val="0"/>
          <c:showCatName val="0"/>
          <c:showSerName val="0"/>
          <c:showPercent val="0"/>
          <c:showBubbleSize val="0"/>
        </c:dLbls>
        <c:smooth val="0"/>
        <c:axId val="1737784640"/>
        <c:axId val="1540339344"/>
      </c:lineChart>
      <c:catAx>
        <c:axId val="173778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5875" cap="flat" cmpd="sng" algn="ctr">
            <a:solidFill>
              <a:schemeClr val="tx1"/>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39344"/>
        <c:crosses val="autoZero"/>
        <c:auto val="1"/>
        <c:lblAlgn val="ctr"/>
        <c:lblOffset val="100"/>
        <c:tickMarkSkip val="5"/>
        <c:noMultiLvlLbl val="0"/>
      </c:catAx>
      <c:valAx>
        <c:axId val="15403393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8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Net Income (2025 Dollars)</a:t>
            </a:r>
          </a:p>
        </c:rich>
      </c:tx>
      <c:layout>
        <c:manualLayout>
          <c:xMode val="edge"/>
          <c:yMode val="edge"/>
          <c:x val="0.3709197447017124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Comparison!$A$2</c:f>
              <c:strCache>
                <c:ptCount val="1"/>
                <c:pt idx="0">
                  <c:v>Scenario A</c:v>
                </c:pt>
              </c:strCache>
            </c:strRef>
          </c:tx>
          <c:spPr>
            <a:ln w="28575" cap="rnd">
              <a:solidFill>
                <a:schemeClr val="accent1"/>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Comparison!$B$2:$AA$2</c:f>
              <c:numCache>
                <c:formatCode>_("$"* #,##0.00_);_("$"* \(#,##0.00\);_("$"* "-"??_);_(@_)</c:formatCode>
                <c:ptCount val="26"/>
                <c:pt idx="0">
                  <c:v>-778000</c:v>
                </c:pt>
                <c:pt idx="1">
                  <c:v>1263994.3264765369</c:v>
                </c:pt>
                <c:pt idx="2">
                  <c:v>1072040.3247857837</c:v>
                </c:pt>
                <c:pt idx="3">
                  <c:v>1026555.3230295068</c:v>
                </c:pt>
                <c:pt idx="4">
                  <c:v>982174.32617022702</c:v>
                </c:pt>
                <c:pt idx="5">
                  <c:v>938870.53797258018</c:v>
                </c:pt>
                <c:pt idx="6">
                  <c:v>896617.81259526452</c:v>
                </c:pt>
                <c:pt idx="7">
                  <c:v>855390.63880477659</c:v>
                </c:pt>
                <c:pt idx="8">
                  <c:v>815164.12457231025</c:v>
                </c:pt>
                <c:pt idx="9">
                  <c:v>775913.98204451601</c:v>
                </c:pt>
                <c:pt idx="10">
                  <c:v>445432.67506607901</c:v>
                </c:pt>
                <c:pt idx="11">
                  <c:v>1174273.1017010566</c:v>
                </c:pt>
                <c:pt idx="12">
                  <c:v>1126306.7218643122</c:v>
                </c:pt>
                <c:pt idx="13">
                  <c:v>1079504.5745478768</c:v>
                </c:pt>
                <c:pt idx="14">
                  <c:v>1033838.4016808689</c:v>
                </c:pt>
                <c:pt idx="15">
                  <c:v>989280.63106791535</c:v>
                </c:pt>
                <c:pt idx="16">
                  <c:v>945804.35974168382</c:v>
                </c:pt>
                <c:pt idx="17">
                  <c:v>903383.33771948714</c:v>
                </c:pt>
                <c:pt idx="18">
                  <c:v>861991.9521541401</c:v>
                </c:pt>
                <c:pt idx="19">
                  <c:v>821605.211869505</c:v>
                </c:pt>
                <c:pt idx="20">
                  <c:v>380432.096234389</c:v>
                </c:pt>
                <c:pt idx="21">
                  <c:v>1110850.2068215928</c:v>
                </c:pt>
                <c:pt idx="22">
                  <c:v>1064423.2176372623</c:v>
                </c:pt>
                <c:pt idx="23">
                  <c:v>1019123.0971224539</c:v>
                </c:pt>
                <c:pt idx="24">
                  <c:v>974922.49409586948</c:v>
                </c:pt>
                <c:pt idx="25">
                  <c:v>931794.72123983339</c:v>
                </c:pt>
              </c:numCache>
            </c:numRef>
          </c:val>
          <c:smooth val="0"/>
          <c:extLst>
            <c:ext xmlns:c16="http://schemas.microsoft.com/office/drawing/2014/chart" uri="{C3380CC4-5D6E-409C-BE32-E72D297353CC}">
              <c16:uniqueId val="{00000000-70D5-40AD-8970-C9F39460FC7D}"/>
            </c:ext>
          </c:extLst>
        </c:ser>
        <c:ser>
          <c:idx val="1"/>
          <c:order val="1"/>
          <c:tx>
            <c:strRef>
              <c:f>Comparison!$A$3</c:f>
              <c:strCache>
                <c:ptCount val="1"/>
                <c:pt idx="0">
                  <c:v>Scenario B</c:v>
                </c:pt>
              </c:strCache>
            </c:strRef>
          </c:tx>
          <c:spPr>
            <a:ln w="28575" cap="rnd">
              <a:solidFill>
                <a:schemeClr val="accent2"/>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Comparison!$B$3:$AA$3</c:f>
              <c:numCache>
                <c:formatCode>_("$"* #,##0.00_);_("$"* \(#,##0.00\);_("$"* "-"??_);_(@_)</c:formatCode>
                <c:ptCount val="26"/>
                <c:pt idx="0">
                  <c:v>-848000</c:v>
                </c:pt>
                <c:pt idx="1">
                  <c:v>1446372.9672532359</c:v>
                </c:pt>
                <c:pt idx="2">
                  <c:v>1244101.0750921271</c:v>
                </c:pt>
                <c:pt idx="3">
                  <c:v>1188548.6171002125</c:v>
                </c:pt>
                <c:pt idx="4">
                  <c:v>1134344.5197391689</c:v>
                </c:pt>
                <c:pt idx="5">
                  <c:v>1081456.0558092194</c:v>
                </c:pt>
                <c:pt idx="6">
                  <c:v>1029851.2924600935</c:v>
                </c:pt>
                <c:pt idx="7">
                  <c:v>979499.07191070332</c:v>
                </c:pt>
                <c:pt idx="8">
                  <c:v>930368.99263678386</c:v>
                </c:pt>
                <c:pt idx="9">
                  <c:v>882431.39101514453</c:v>
                </c:pt>
                <c:pt idx="10">
                  <c:v>945604.68547238433</c:v>
                </c:pt>
                <c:pt idx="11">
                  <c:v>1724714.7612091037</c:v>
                </c:pt>
                <c:pt idx="12">
                  <c:v>1657496.9224861942</c:v>
                </c:pt>
                <c:pt idx="13">
                  <c:v>1591910.5847031607</c:v>
                </c:pt>
                <c:pt idx="14">
                  <c:v>1527916.1483226281</c:v>
                </c:pt>
                <c:pt idx="15">
                  <c:v>1465474.9749610405</c:v>
                </c:pt>
                <c:pt idx="16">
                  <c:v>1404549.3640596857</c:v>
                </c:pt>
                <c:pt idx="17">
                  <c:v>1345102.5301219565</c:v>
                </c:pt>
                <c:pt idx="18">
                  <c:v>1287098.5805031043</c:v>
                </c:pt>
                <c:pt idx="19">
                  <c:v>1230502.4937390781</c:v>
                </c:pt>
                <c:pt idx="20">
                  <c:v>1064890.1575028766</c:v>
                </c:pt>
                <c:pt idx="21">
                  <c:v>1841104.9547922539</c:v>
                </c:pt>
                <c:pt idx="22">
                  <c:v>1771062.1113707244</c:v>
                </c:pt>
                <c:pt idx="23">
                  <c:v>1702719.3369642796</c:v>
                </c:pt>
                <c:pt idx="24">
                  <c:v>1636035.367761876</c:v>
                </c:pt>
                <c:pt idx="25">
                  <c:v>1570969.9415012775</c:v>
                </c:pt>
              </c:numCache>
            </c:numRef>
          </c:val>
          <c:smooth val="0"/>
          <c:extLst>
            <c:ext xmlns:c16="http://schemas.microsoft.com/office/drawing/2014/chart" uri="{C3380CC4-5D6E-409C-BE32-E72D297353CC}">
              <c16:uniqueId val="{00000001-70D5-40AD-8970-C9F39460FC7D}"/>
            </c:ext>
          </c:extLst>
        </c:ser>
        <c:ser>
          <c:idx val="2"/>
          <c:order val="2"/>
          <c:tx>
            <c:strRef>
              <c:f>Comparison!$A$4</c:f>
              <c:strCache>
                <c:ptCount val="1"/>
                <c:pt idx="0">
                  <c:v>Scenario C</c:v>
                </c:pt>
              </c:strCache>
            </c:strRef>
          </c:tx>
          <c:spPr>
            <a:ln w="28575" cap="rnd">
              <a:solidFill>
                <a:schemeClr val="accent6">
                  <a:lumMod val="75000"/>
                </a:schemeClr>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Comparison!$B$4:$AA$4</c:f>
              <c:numCache>
                <c:formatCode>_("$"* #,##0.00_);_("$"* \(#,##0.00\);_("$"* "-"??_);_(@_)</c:formatCode>
                <c:ptCount val="26"/>
                <c:pt idx="0">
                  <c:v>-848000</c:v>
                </c:pt>
                <c:pt idx="1">
                  <c:v>2046710.4446486027</c:v>
                </c:pt>
                <c:pt idx="2">
                  <c:v>1786456.0538117869</c:v>
                </c:pt>
                <c:pt idx="3">
                  <c:v>1717739.6400257053</c:v>
                </c:pt>
                <c:pt idx="4">
                  <c:v>1650691.1003606457</c:v>
                </c:pt>
                <c:pt idx="5">
                  <c:v>1585269.9524350287</c:v>
                </c:pt>
                <c:pt idx="6">
                  <c:v>1521436.6964493536</c:v>
                </c:pt>
                <c:pt idx="7">
                  <c:v>1459152.7913371173</c:v>
                </c:pt>
                <c:pt idx="8">
                  <c:v>1398380.6314945957</c:v>
                </c:pt>
                <c:pt idx="9">
                  <c:v>1339083.5240754364</c:v>
                </c:pt>
                <c:pt idx="10">
                  <c:v>904693.23525661195</c:v>
                </c:pt>
                <c:pt idx="11">
                  <c:v>1684796.3073577916</c:v>
                </c:pt>
                <c:pt idx="12">
                  <c:v>1618547.3631458364</c:v>
                </c:pt>
                <c:pt idx="13">
                  <c:v>1553906.4030166951</c:v>
                </c:pt>
                <c:pt idx="14">
                  <c:v>1490834.3982304942</c:v>
                </c:pt>
                <c:pt idx="15">
                  <c:v>1429293.2673468711</c:v>
                </c:pt>
                <c:pt idx="16">
                  <c:v>1369245.853232268</c:v>
                </c:pt>
                <c:pt idx="17">
                  <c:v>1310655.9006253015</c:v>
                </c:pt>
                <c:pt idx="18">
                  <c:v>1253488.0342466591</c:v>
                </c:pt>
                <c:pt idx="19">
                  <c:v>1197707.7374403137</c:v>
                </c:pt>
                <c:pt idx="20">
                  <c:v>661119.26198624587</c:v>
                </c:pt>
                <c:pt idx="21">
                  <c:v>1447134.3237299102</c:v>
                </c:pt>
                <c:pt idx="22">
                  <c:v>1386653.8742662047</c:v>
                </c:pt>
                <c:pt idx="23">
                  <c:v>1327641.3968768597</c:v>
                </c:pt>
                <c:pt idx="24">
                  <c:v>1270061.2611717235</c:v>
                </c:pt>
                <c:pt idx="25">
                  <c:v>1213878.7015759344</c:v>
                </c:pt>
              </c:numCache>
            </c:numRef>
          </c:val>
          <c:smooth val="0"/>
          <c:extLst>
            <c:ext xmlns:c16="http://schemas.microsoft.com/office/drawing/2014/chart" uri="{C3380CC4-5D6E-409C-BE32-E72D297353CC}">
              <c16:uniqueId val="{00000002-70D5-40AD-8970-C9F39460FC7D}"/>
            </c:ext>
          </c:extLst>
        </c:ser>
        <c:ser>
          <c:idx val="3"/>
          <c:order val="3"/>
          <c:tx>
            <c:strRef>
              <c:f>Comparison!$A$5</c:f>
              <c:strCache>
                <c:ptCount val="1"/>
                <c:pt idx="0">
                  <c:v>Scenario D</c:v>
                </c:pt>
              </c:strCache>
            </c:strRef>
          </c:tx>
          <c:spPr>
            <a:ln w="28575" cap="rnd">
              <a:solidFill>
                <a:schemeClr val="accent4"/>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Comparison!$B$5:$AA$5</c:f>
              <c:numCache>
                <c:formatCode>_("$"* #,##0.00_);_("$"* \(#,##0.00\);_("$"* "-"??_);_(@_)</c:formatCode>
                <c:ptCount val="26"/>
                <c:pt idx="0">
                  <c:v>-848000</c:v>
                </c:pt>
                <c:pt idx="1">
                  <c:v>2046710.4446486027</c:v>
                </c:pt>
                <c:pt idx="2">
                  <c:v>1786456.0538117869</c:v>
                </c:pt>
                <c:pt idx="3">
                  <c:v>1717739.6400257053</c:v>
                </c:pt>
                <c:pt idx="4">
                  <c:v>1650691.1003606457</c:v>
                </c:pt>
                <c:pt idx="5">
                  <c:v>1585269.9524350287</c:v>
                </c:pt>
                <c:pt idx="6">
                  <c:v>1521436.6964493536</c:v>
                </c:pt>
                <c:pt idx="7">
                  <c:v>1459152.7913371173</c:v>
                </c:pt>
                <c:pt idx="8">
                  <c:v>1398380.6314945957</c:v>
                </c:pt>
                <c:pt idx="9">
                  <c:v>1339083.5240754364</c:v>
                </c:pt>
                <c:pt idx="10">
                  <c:v>1366235.1706574953</c:v>
                </c:pt>
                <c:pt idx="11">
                  <c:v>2135135.7685984592</c:v>
                </c:pt>
                <c:pt idx="12">
                  <c:v>2057956.2549389147</c:v>
                </c:pt>
                <c:pt idx="13">
                  <c:v>1982650.0304458642</c:v>
                </c:pt>
                <c:pt idx="14">
                  <c:v>1909171.6269356536</c:v>
                </c:pt>
                <c:pt idx="15">
                  <c:v>1837476.6798213229</c:v>
                </c:pt>
                <c:pt idx="16">
                  <c:v>1767521.9013262726</c:v>
                </c:pt>
                <c:pt idx="17">
                  <c:v>1699265.0543480921</c:v>
                </c:pt>
                <c:pt idx="18">
                  <c:v>1632664.9269567605</c:v>
                </c:pt>
                <c:pt idx="19">
                  <c:v>1567681.3075118202</c:v>
                </c:pt>
                <c:pt idx="20">
                  <c:v>1376502.5362780895</c:v>
                </c:pt>
                <c:pt idx="21">
                  <c:v>2145153.9263156415</c:v>
                </c:pt>
                <c:pt idx="22">
                  <c:v>2067731.2534882047</c:v>
                </c:pt>
                <c:pt idx="23">
                  <c:v>1992187.7717488105</c:v>
                </c:pt>
                <c:pt idx="24">
                  <c:v>1918477.8696632872</c:v>
                </c:pt>
                <c:pt idx="25">
                  <c:v>1846557.0428711015</c:v>
                </c:pt>
              </c:numCache>
            </c:numRef>
          </c:val>
          <c:smooth val="0"/>
          <c:extLst>
            <c:ext xmlns:c16="http://schemas.microsoft.com/office/drawing/2014/chart" uri="{C3380CC4-5D6E-409C-BE32-E72D297353CC}">
              <c16:uniqueId val="{00000003-70D5-40AD-8970-C9F39460FC7D}"/>
            </c:ext>
          </c:extLst>
        </c:ser>
        <c:dLbls>
          <c:showLegendKey val="0"/>
          <c:showVal val="0"/>
          <c:showCatName val="0"/>
          <c:showSerName val="0"/>
          <c:showPercent val="0"/>
          <c:showBubbleSize val="0"/>
        </c:dLbls>
        <c:smooth val="0"/>
        <c:axId val="97210223"/>
        <c:axId val="1851929807"/>
      </c:lineChart>
      <c:catAx>
        <c:axId val="972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29807"/>
        <c:crosses val="autoZero"/>
        <c:auto val="1"/>
        <c:lblAlgn val="ctr"/>
        <c:lblOffset val="100"/>
        <c:noMultiLvlLbl val="0"/>
      </c:catAx>
      <c:valAx>
        <c:axId val="1851929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Net Income (2025 Dollars)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Comparison!$A$2</c:f>
              <c:strCache>
                <c:ptCount val="1"/>
                <c:pt idx="0">
                  <c:v>Scenario A</c:v>
                </c:pt>
              </c:strCache>
            </c:strRef>
          </c:tx>
          <c:spPr>
            <a:ln w="28575" cap="rnd">
              <a:solidFill>
                <a:schemeClr val="accent1"/>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Comparison!$B$2:$AA$2</c:f>
              <c:numCache>
                <c:formatCode>_("$"* #,##0.00_);_("$"* \(#,##0.00\);_("$"* "-"??_);_(@_)</c:formatCode>
                <c:ptCount val="26"/>
                <c:pt idx="0">
                  <c:v>-778000</c:v>
                </c:pt>
                <c:pt idx="1">
                  <c:v>1263994.3264765369</c:v>
                </c:pt>
                <c:pt idx="2">
                  <c:v>1072040.3247857837</c:v>
                </c:pt>
                <c:pt idx="3">
                  <c:v>1026555.3230295068</c:v>
                </c:pt>
                <c:pt idx="4">
                  <c:v>982174.32617022702</c:v>
                </c:pt>
                <c:pt idx="5">
                  <c:v>938870.53797258018</c:v>
                </c:pt>
                <c:pt idx="6">
                  <c:v>896617.81259526452</c:v>
                </c:pt>
                <c:pt idx="7">
                  <c:v>855390.63880477659</c:v>
                </c:pt>
                <c:pt idx="8">
                  <c:v>815164.12457231025</c:v>
                </c:pt>
                <c:pt idx="9">
                  <c:v>775913.98204451601</c:v>
                </c:pt>
                <c:pt idx="10">
                  <c:v>445432.67506607901</c:v>
                </c:pt>
                <c:pt idx="11">
                  <c:v>1174273.1017010566</c:v>
                </c:pt>
                <c:pt idx="12">
                  <c:v>1126306.7218643122</c:v>
                </c:pt>
                <c:pt idx="13">
                  <c:v>1079504.5745478768</c:v>
                </c:pt>
                <c:pt idx="14">
                  <c:v>1033838.4016808689</c:v>
                </c:pt>
                <c:pt idx="15">
                  <c:v>989280.63106791535</c:v>
                </c:pt>
                <c:pt idx="16">
                  <c:v>945804.35974168382</c:v>
                </c:pt>
                <c:pt idx="17">
                  <c:v>903383.33771948714</c:v>
                </c:pt>
                <c:pt idx="18">
                  <c:v>861991.9521541401</c:v>
                </c:pt>
                <c:pt idx="19">
                  <c:v>821605.211869505</c:v>
                </c:pt>
                <c:pt idx="20">
                  <c:v>380432.096234389</c:v>
                </c:pt>
                <c:pt idx="21">
                  <c:v>1110850.2068215928</c:v>
                </c:pt>
                <c:pt idx="22">
                  <c:v>1064423.2176372623</c:v>
                </c:pt>
                <c:pt idx="23">
                  <c:v>1019123.0971224539</c:v>
                </c:pt>
                <c:pt idx="24">
                  <c:v>974922.49409586948</c:v>
                </c:pt>
                <c:pt idx="25">
                  <c:v>931794.72123983339</c:v>
                </c:pt>
              </c:numCache>
            </c:numRef>
          </c:val>
          <c:smooth val="0"/>
          <c:extLst>
            <c:ext xmlns:c16="http://schemas.microsoft.com/office/drawing/2014/chart" uri="{C3380CC4-5D6E-409C-BE32-E72D297353CC}">
              <c16:uniqueId val="{00000000-9488-4DCC-88EE-B2BB48299E4C}"/>
            </c:ext>
          </c:extLst>
        </c:ser>
        <c:ser>
          <c:idx val="1"/>
          <c:order val="1"/>
          <c:tx>
            <c:strRef>
              <c:f>Comparison!$A$3</c:f>
              <c:strCache>
                <c:ptCount val="1"/>
                <c:pt idx="0">
                  <c:v>Scenario B</c:v>
                </c:pt>
              </c:strCache>
            </c:strRef>
          </c:tx>
          <c:spPr>
            <a:ln w="28575" cap="rnd">
              <a:solidFill>
                <a:schemeClr val="accent2"/>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Comparison!$B$3:$AA$3</c:f>
              <c:numCache>
                <c:formatCode>_("$"* #,##0.00_);_("$"* \(#,##0.00\);_("$"* "-"??_);_(@_)</c:formatCode>
                <c:ptCount val="26"/>
                <c:pt idx="0">
                  <c:v>-848000</c:v>
                </c:pt>
                <c:pt idx="1">
                  <c:v>1446372.9672532359</c:v>
                </c:pt>
                <c:pt idx="2">
                  <c:v>1244101.0750921271</c:v>
                </c:pt>
                <c:pt idx="3">
                  <c:v>1188548.6171002125</c:v>
                </c:pt>
                <c:pt idx="4">
                  <c:v>1134344.5197391689</c:v>
                </c:pt>
                <c:pt idx="5">
                  <c:v>1081456.0558092194</c:v>
                </c:pt>
                <c:pt idx="6">
                  <c:v>1029851.2924600935</c:v>
                </c:pt>
                <c:pt idx="7">
                  <c:v>979499.07191070332</c:v>
                </c:pt>
                <c:pt idx="8">
                  <c:v>930368.99263678386</c:v>
                </c:pt>
                <c:pt idx="9">
                  <c:v>882431.39101514453</c:v>
                </c:pt>
                <c:pt idx="10">
                  <c:v>945604.68547238433</c:v>
                </c:pt>
                <c:pt idx="11">
                  <c:v>1724714.7612091037</c:v>
                </c:pt>
                <c:pt idx="12">
                  <c:v>1657496.9224861942</c:v>
                </c:pt>
                <c:pt idx="13">
                  <c:v>1591910.5847031607</c:v>
                </c:pt>
                <c:pt idx="14">
                  <c:v>1527916.1483226281</c:v>
                </c:pt>
                <c:pt idx="15">
                  <c:v>1465474.9749610405</c:v>
                </c:pt>
                <c:pt idx="16">
                  <c:v>1404549.3640596857</c:v>
                </c:pt>
                <c:pt idx="17">
                  <c:v>1345102.5301219565</c:v>
                </c:pt>
                <c:pt idx="18">
                  <c:v>1287098.5805031043</c:v>
                </c:pt>
                <c:pt idx="19">
                  <c:v>1230502.4937390781</c:v>
                </c:pt>
                <c:pt idx="20">
                  <c:v>1064890.1575028766</c:v>
                </c:pt>
                <c:pt idx="21">
                  <c:v>1841104.9547922539</c:v>
                </c:pt>
                <c:pt idx="22">
                  <c:v>1771062.1113707244</c:v>
                </c:pt>
                <c:pt idx="23">
                  <c:v>1702719.3369642796</c:v>
                </c:pt>
                <c:pt idx="24">
                  <c:v>1636035.367761876</c:v>
                </c:pt>
                <c:pt idx="25">
                  <c:v>1570969.9415012775</c:v>
                </c:pt>
              </c:numCache>
            </c:numRef>
          </c:val>
          <c:smooth val="0"/>
          <c:extLst>
            <c:ext xmlns:c16="http://schemas.microsoft.com/office/drawing/2014/chart" uri="{C3380CC4-5D6E-409C-BE32-E72D297353CC}">
              <c16:uniqueId val="{00000001-9488-4DCC-88EE-B2BB48299E4C}"/>
            </c:ext>
          </c:extLst>
        </c:ser>
        <c:ser>
          <c:idx val="2"/>
          <c:order val="2"/>
          <c:tx>
            <c:strRef>
              <c:f>Comparison!$A$4</c:f>
              <c:strCache>
                <c:ptCount val="1"/>
                <c:pt idx="0">
                  <c:v>Scenario C</c:v>
                </c:pt>
              </c:strCache>
            </c:strRef>
          </c:tx>
          <c:spPr>
            <a:ln w="28575" cap="rnd">
              <a:solidFill>
                <a:schemeClr val="accent6">
                  <a:lumMod val="75000"/>
                </a:schemeClr>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Comparison!$B$4:$AA$4</c:f>
              <c:numCache>
                <c:formatCode>_("$"* #,##0.00_);_("$"* \(#,##0.00\);_("$"* "-"??_);_(@_)</c:formatCode>
                <c:ptCount val="26"/>
                <c:pt idx="0">
                  <c:v>-848000</c:v>
                </c:pt>
                <c:pt idx="1">
                  <c:v>2046710.4446486027</c:v>
                </c:pt>
                <c:pt idx="2">
                  <c:v>1786456.0538117869</c:v>
                </c:pt>
                <c:pt idx="3">
                  <c:v>1717739.6400257053</c:v>
                </c:pt>
                <c:pt idx="4">
                  <c:v>1650691.1003606457</c:v>
                </c:pt>
                <c:pt idx="5">
                  <c:v>1585269.9524350287</c:v>
                </c:pt>
                <c:pt idx="6">
                  <c:v>1521436.6964493536</c:v>
                </c:pt>
                <c:pt idx="7">
                  <c:v>1459152.7913371173</c:v>
                </c:pt>
                <c:pt idx="8">
                  <c:v>1398380.6314945957</c:v>
                </c:pt>
                <c:pt idx="9">
                  <c:v>1339083.5240754364</c:v>
                </c:pt>
                <c:pt idx="10">
                  <c:v>904693.23525661195</c:v>
                </c:pt>
                <c:pt idx="11">
                  <c:v>1684796.3073577916</c:v>
                </c:pt>
                <c:pt idx="12">
                  <c:v>1618547.3631458364</c:v>
                </c:pt>
                <c:pt idx="13">
                  <c:v>1553906.4030166951</c:v>
                </c:pt>
                <c:pt idx="14">
                  <c:v>1490834.3982304942</c:v>
                </c:pt>
                <c:pt idx="15">
                  <c:v>1429293.2673468711</c:v>
                </c:pt>
                <c:pt idx="16">
                  <c:v>1369245.853232268</c:v>
                </c:pt>
                <c:pt idx="17">
                  <c:v>1310655.9006253015</c:v>
                </c:pt>
                <c:pt idx="18">
                  <c:v>1253488.0342466591</c:v>
                </c:pt>
                <c:pt idx="19">
                  <c:v>1197707.7374403137</c:v>
                </c:pt>
                <c:pt idx="20">
                  <c:v>661119.26198624587</c:v>
                </c:pt>
                <c:pt idx="21">
                  <c:v>1447134.3237299102</c:v>
                </c:pt>
                <c:pt idx="22">
                  <c:v>1386653.8742662047</c:v>
                </c:pt>
                <c:pt idx="23">
                  <c:v>1327641.3968768597</c:v>
                </c:pt>
                <c:pt idx="24">
                  <c:v>1270061.2611717235</c:v>
                </c:pt>
                <c:pt idx="25">
                  <c:v>1213878.7015759344</c:v>
                </c:pt>
              </c:numCache>
            </c:numRef>
          </c:val>
          <c:smooth val="0"/>
          <c:extLst>
            <c:ext xmlns:c16="http://schemas.microsoft.com/office/drawing/2014/chart" uri="{C3380CC4-5D6E-409C-BE32-E72D297353CC}">
              <c16:uniqueId val="{00000002-9488-4DCC-88EE-B2BB48299E4C}"/>
            </c:ext>
          </c:extLst>
        </c:ser>
        <c:ser>
          <c:idx val="3"/>
          <c:order val="3"/>
          <c:tx>
            <c:strRef>
              <c:f>Comparison!$A$5</c:f>
              <c:strCache>
                <c:ptCount val="1"/>
                <c:pt idx="0">
                  <c:v>Scenario D</c:v>
                </c:pt>
              </c:strCache>
            </c:strRef>
          </c:tx>
          <c:spPr>
            <a:ln w="28575" cap="rnd">
              <a:solidFill>
                <a:schemeClr val="accent4"/>
              </a:solidFill>
              <a:round/>
            </a:ln>
            <a:effectLst/>
          </c:spPr>
          <c:marker>
            <c:symbol val="none"/>
          </c:marker>
          <c:cat>
            <c:numRef>
              <c:f>Comparison!$B$1:$AA$1</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Comparison!$B$5:$AA$5</c:f>
              <c:numCache>
                <c:formatCode>_("$"* #,##0.00_);_("$"* \(#,##0.00\);_("$"* "-"??_);_(@_)</c:formatCode>
                <c:ptCount val="26"/>
                <c:pt idx="0">
                  <c:v>-848000</c:v>
                </c:pt>
                <c:pt idx="1">
                  <c:v>2046710.4446486027</c:v>
                </c:pt>
                <c:pt idx="2">
                  <c:v>1786456.0538117869</c:v>
                </c:pt>
                <c:pt idx="3">
                  <c:v>1717739.6400257053</c:v>
                </c:pt>
                <c:pt idx="4">
                  <c:v>1650691.1003606457</c:v>
                </c:pt>
                <c:pt idx="5">
                  <c:v>1585269.9524350287</c:v>
                </c:pt>
                <c:pt idx="6">
                  <c:v>1521436.6964493536</c:v>
                </c:pt>
                <c:pt idx="7">
                  <c:v>1459152.7913371173</c:v>
                </c:pt>
                <c:pt idx="8">
                  <c:v>1398380.6314945957</c:v>
                </c:pt>
                <c:pt idx="9">
                  <c:v>1339083.5240754364</c:v>
                </c:pt>
                <c:pt idx="10">
                  <c:v>1366235.1706574953</c:v>
                </c:pt>
                <c:pt idx="11">
                  <c:v>2135135.7685984592</c:v>
                </c:pt>
                <c:pt idx="12">
                  <c:v>2057956.2549389147</c:v>
                </c:pt>
                <c:pt idx="13">
                  <c:v>1982650.0304458642</c:v>
                </c:pt>
                <c:pt idx="14">
                  <c:v>1909171.6269356536</c:v>
                </c:pt>
                <c:pt idx="15">
                  <c:v>1837476.6798213229</c:v>
                </c:pt>
                <c:pt idx="16">
                  <c:v>1767521.9013262726</c:v>
                </c:pt>
                <c:pt idx="17">
                  <c:v>1699265.0543480921</c:v>
                </c:pt>
                <c:pt idx="18">
                  <c:v>1632664.9269567605</c:v>
                </c:pt>
                <c:pt idx="19">
                  <c:v>1567681.3075118202</c:v>
                </c:pt>
                <c:pt idx="20">
                  <c:v>1376502.5362780895</c:v>
                </c:pt>
                <c:pt idx="21">
                  <c:v>2145153.9263156415</c:v>
                </c:pt>
                <c:pt idx="22">
                  <c:v>2067731.2534882047</c:v>
                </c:pt>
                <c:pt idx="23">
                  <c:v>1992187.7717488105</c:v>
                </c:pt>
                <c:pt idx="24">
                  <c:v>1918477.8696632872</c:v>
                </c:pt>
                <c:pt idx="25">
                  <c:v>1846557.0428711015</c:v>
                </c:pt>
              </c:numCache>
            </c:numRef>
          </c:val>
          <c:smooth val="0"/>
          <c:extLst>
            <c:ext xmlns:c16="http://schemas.microsoft.com/office/drawing/2014/chart" uri="{C3380CC4-5D6E-409C-BE32-E72D297353CC}">
              <c16:uniqueId val="{00000003-9488-4DCC-88EE-B2BB48299E4C}"/>
            </c:ext>
          </c:extLst>
        </c:ser>
        <c:dLbls>
          <c:showLegendKey val="0"/>
          <c:showVal val="0"/>
          <c:showCatName val="0"/>
          <c:showSerName val="0"/>
          <c:showPercent val="0"/>
          <c:showBubbleSize val="0"/>
        </c:dLbls>
        <c:smooth val="0"/>
        <c:axId val="97210223"/>
        <c:axId val="1851929807"/>
      </c:lineChart>
      <c:catAx>
        <c:axId val="972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29807"/>
        <c:crosses val="autoZero"/>
        <c:auto val="1"/>
        <c:lblAlgn val="ctr"/>
        <c:lblOffset val="100"/>
        <c:noMultiLvlLbl val="0"/>
      </c:catAx>
      <c:valAx>
        <c:axId val="1851929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0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27</xdr:row>
      <xdr:rowOff>0</xdr:rowOff>
    </xdr:from>
    <xdr:to>
      <xdr:col>15</xdr:col>
      <xdr:colOff>183098</xdr:colOff>
      <xdr:row>49</xdr:row>
      <xdr:rowOff>19050</xdr:rowOff>
    </xdr:to>
    <xdr:graphicFrame macro="">
      <xdr:nvGraphicFramePr>
        <xdr:cNvPr id="2" name="Chart 1">
          <a:extLst>
            <a:ext uri="{FF2B5EF4-FFF2-40B4-BE49-F238E27FC236}">
              <a16:creationId xmlns:a16="http://schemas.microsoft.com/office/drawing/2014/main" id="{5857F986-C1AD-43F7-A474-8EB786267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546894</xdr:colOff>
      <xdr:row>27</xdr:row>
      <xdr:rowOff>15875</xdr:rowOff>
    </xdr:from>
    <xdr:to>
      <xdr:col>25</xdr:col>
      <xdr:colOff>207308</xdr:colOff>
      <xdr:row>49</xdr:row>
      <xdr:rowOff>92075</xdr:rowOff>
    </xdr:to>
    <xdr:graphicFrame macro="">
      <xdr:nvGraphicFramePr>
        <xdr:cNvPr id="3" name="Chart 2">
          <a:extLst>
            <a:ext uri="{FF2B5EF4-FFF2-40B4-BE49-F238E27FC236}">
              <a16:creationId xmlns:a16="http://schemas.microsoft.com/office/drawing/2014/main" id="{FCEE5465-CD16-485C-8E05-284F40549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403860</xdr:colOff>
      <xdr:row>53</xdr:row>
      <xdr:rowOff>100965</xdr:rowOff>
    </xdr:from>
    <xdr:to>
      <xdr:col>17</xdr:col>
      <xdr:colOff>396240</xdr:colOff>
      <xdr:row>76</xdr:row>
      <xdr:rowOff>60960</xdr:rowOff>
    </xdr:to>
    <xdr:graphicFrame macro="">
      <xdr:nvGraphicFramePr>
        <xdr:cNvPr id="5" name="Chart 4">
          <a:extLst>
            <a:ext uri="{FF2B5EF4-FFF2-40B4-BE49-F238E27FC236}">
              <a16:creationId xmlns:a16="http://schemas.microsoft.com/office/drawing/2014/main" id="{C8197473-52F2-19C7-E28B-3FD8C9C94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26</xdr:row>
      <xdr:rowOff>0</xdr:rowOff>
    </xdr:from>
    <xdr:to>
      <xdr:col>15</xdr:col>
      <xdr:colOff>183098</xdr:colOff>
      <xdr:row>48</xdr:row>
      <xdr:rowOff>19050</xdr:rowOff>
    </xdr:to>
    <xdr:graphicFrame macro="">
      <xdr:nvGraphicFramePr>
        <xdr:cNvPr id="2" name="Chart 1">
          <a:extLst>
            <a:ext uri="{FF2B5EF4-FFF2-40B4-BE49-F238E27FC236}">
              <a16:creationId xmlns:a16="http://schemas.microsoft.com/office/drawing/2014/main" id="{2D5EA4A7-12AD-4F92-B990-2FB59E4FA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546894</xdr:colOff>
      <xdr:row>26</xdr:row>
      <xdr:rowOff>15875</xdr:rowOff>
    </xdr:from>
    <xdr:to>
      <xdr:col>25</xdr:col>
      <xdr:colOff>207308</xdr:colOff>
      <xdr:row>48</xdr:row>
      <xdr:rowOff>92075</xdr:rowOff>
    </xdr:to>
    <xdr:graphicFrame macro="">
      <xdr:nvGraphicFramePr>
        <xdr:cNvPr id="3" name="Chart 2">
          <a:extLst>
            <a:ext uri="{FF2B5EF4-FFF2-40B4-BE49-F238E27FC236}">
              <a16:creationId xmlns:a16="http://schemas.microsoft.com/office/drawing/2014/main" id="{55FA40C0-476B-4077-AE7C-7CAEA1C80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26</xdr:row>
      <xdr:rowOff>0</xdr:rowOff>
    </xdr:from>
    <xdr:to>
      <xdr:col>15</xdr:col>
      <xdr:colOff>183098</xdr:colOff>
      <xdr:row>48</xdr:row>
      <xdr:rowOff>19050</xdr:rowOff>
    </xdr:to>
    <xdr:graphicFrame macro="">
      <xdr:nvGraphicFramePr>
        <xdr:cNvPr id="2" name="Chart 1">
          <a:extLst>
            <a:ext uri="{FF2B5EF4-FFF2-40B4-BE49-F238E27FC236}">
              <a16:creationId xmlns:a16="http://schemas.microsoft.com/office/drawing/2014/main" id="{84368BA8-99E0-4EF1-8E64-1E4C6A529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546894</xdr:colOff>
      <xdr:row>26</xdr:row>
      <xdr:rowOff>15875</xdr:rowOff>
    </xdr:from>
    <xdr:to>
      <xdr:col>25</xdr:col>
      <xdr:colOff>207308</xdr:colOff>
      <xdr:row>48</xdr:row>
      <xdr:rowOff>92075</xdr:rowOff>
    </xdr:to>
    <xdr:graphicFrame macro="">
      <xdr:nvGraphicFramePr>
        <xdr:cNvPr id="3" name="Chart 2">
          <a:extLst>
            <a:ext uri="{FF2B5EF4-FFF2-40B4-BE49-F238E27FC236}">
              <a16:creationId xmlns:a16="http://schemas.microsoft.com/office/drawing/2014/main" id="{07BA4C3E-15FB-4EC9-8628-DD9D93E54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26</xdr:row>
      <xdr:rowOff>0</xdr:rowOff>
    </xdr:from>
    <xdr:to>
      <xdr:col>15</xdr:col>
      <xdr:colOff>183098</xdr:colOff>
      <xdr:row>48</xdr:row>
      <xdr:rowOff>19050</xdr:rowOff>
    </xdr:to>
    <xdr:graphicFrame macro="">
      <xdr:nvGraphicFramePr>
        <xdr:cNvPr id="3" name="Chart 2">
          <a:extLst>
            <a:ext uri="{FF2B5EF4-FFF2-40B4-BE49-F238E27FC236}">
              <a16:creationId xmlns:a16="http://schemas.microsoft.com/office/drawing/2014/main" id="{816EEC1F-7E68-483C-8591-2C299F847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546894</xdr:colOff>
      <xdr:row>26</xdr:row>
      <xdr:rowOff>15875</xdr:rowOff>
    </xdr:from>
    <xdr:to>
      <xdr:col>25</xdr:col>
      <xdr:colOff>207308</xdr:colOff>
      <xdr:row>48</xdr:row>
      <xdr:rowOff>92075</xdr:rowOff>
    </xdr:to>
    <xdr:graphicFrame macro="">
      <xdr:nvGraphicFramePr>
        <xdr:cNvPr id="4" name="Chart 3">
          <a:extLst>
            <a:ext uri="{FF2B5EF4-FFF2-40B4-BE49-F238E27FC236}">
              <a16:creationId xmlns:a16="http://schemas.microsoft.com/office/drawing/2014/main" id="{C6A4AF48-5D9A-4283-A0D0-A60EB4F5E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25</xdr:row>
      <xdr:rowOff>39160</xdr:rowOff>
    </xdr:from>
    <xdr:to>
      <xdr:col>8</xdr:col>
      <xdr:colOff>674159</xdr:colOff>
      <xdr:row>49</xdr:row>
      <xdr:rowOff>116418</xdr:rowOff>
    </xdr:to>
    <xdr:graphicFrame macro="">
      <xdr:nvGraphicFramePr>
        <xdr:cNvPr id="2" name="Chart 1">
          <a:extLst>
            <a:ext uri="{FF2B5EF4-FFF2-40B4-BE49-F238E27FC236}">
              <a16:creationId xmlns:a16="http://schemas.microsoft.com/office/drawing/2014/main" id="{D00B2DD5-8575-4AFD-9272-8069DD75E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396875</xdr:colOff>
      <xdr:row>17</xdr:row>
      <xdr:rowOff>152400</xdr:rowOff>
    </xdr:from>
    <xdr:to>
      <xdr:col>16</xdr:col>
      <xdr:colOff>244475</xdr:colOff>
      <xdr:row>43</xdr:row>
      <xdr:rowOff>25400</xdr:rowOff>
    </xdr:to>
    <xdr:graphicFrame macro="">
      <xdr:nvGraphicFramePr>
        <xdr:cNvPr id="3" name="Chart 2">
          <a:extLst>
            <a:ext uri="{FF2B5EF4-FFF2-40B4-BE49-F238E27FC236}">
              <a16:creationId xmlns:a16="http://schemas.microsoft.com/office/drawing/2014/main" id="{1D2EB03F-195D-7506-0665-BE422EEB9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390525</xdr:colOff>
      <xdr:row>0</xdr:row>
      <xdr:rowOff>190500</xdr:rowOff>
    </xdr:from>
    <xdr:to>
      <xdr:col>19</xdr:col>
      <xdr:colOff>303744</xdr:colOff>
      <xdr:row>24</xdr:row>
      <xdr:rowOff>104280</xdr:rowOff>
    </xdr:to>
    <xdr:pic>
      <xdr:nvPicPr>
        <xdr:cNvPr id="2" name="Picture 1">
          <a:extLst>
            <a:ext uri="{FF2B5EF4-FFF2-40B4-BE49-F238E27FC236}">
              <a16:creationId xmlns:a16="http://schemas.microsoft.com/office/drawing/2014/main" id="{4B5A90F0-2229-610A-8956-CD741B711631}"/>
            </a:ext>
          </a:extLst>
        </xdr:cNvPr>
        <xdr:cNvPicPr>
          <a:picLocks noChangeAspect="1"/>
        </xdr:cNvPicPr>
      </xdr:nvPicPr>
      <xdr:blipFill>
        <a:blip xmlns:r="http://schemas.openxmlformats.org/officeDocument/2006/relationships" r:embed="rId1"/>
        <a:stretch>
          <a:fillRect/>
        </a:stretch>
      </xdr:blipFill>
      <xdr:spPr>
        <a:xfrm>
          <a:off x="7686675" y="190500"/>
          <a:ext cx="8447619" cy="39619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vtpi.org/tca/tca0504.pdf" TargetMode="External"/><Relationship Id="rId2" Type="http://schemas.openxmlformats.org/officeDocument/2006/relationships/hyperlink" Target="https://city-south-san-francisco-ca-budget-book.cleargov.com/11427/fund-summaries/parking-district-fund-720" TargetMode="External"/><Relationship Id="rId1" Type="http://schemas.openxmlformats.org/officeDocument/2006/relationships/hyperlink" Target="https://www.ci.emeryville.ca.us/ArchiveCenter/ViewFile/Item/54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897D-8113-49B7-A790-983ACCB3BF6F}">
  <dimension ref="A1:D54"/>
  <sheetViews>
    <sheetView workbookViewId="0">
      <selection activeCell="F13" sqref="F13"/>
    </sheetView>
  </sheetViews>
  <sheetFormatPr defaultRowHeight="12.5" x14ac:dyDescent="0.25"/>
  <cols>
    <col min="2" max="2" width="11" bestFit="1" customWidth="1"/>
  </cols>
  <sheetData>
    <row r="1" spans="1:4" x14ac:dyDescent="0.25">
      <c r="A1" s="52" t="s">
        <v>177</v>
      </c>
      <c r="B1" s="52" t="s">
        <v>176</v>
      </c>
    </row>
    <row r="2" spans="1:4" x14ac:dyDescent="0.25">
      <c r="A2">
        <v>80</v>
      </c>
      <c r="B2">
        <v>154</v>
      </c>
      <c r="D2">
        <v>80</v>
      </c>
    </row>
    <row r="3" spans="1:4" x14ac:dyDescent="0.25">
      <c r="A3">
        <v>81</v>
      </c>
      <c r="B3">
        <v>155</v>
      </c>
      <c r="D3">
        <v>81</v>
      </c>
    </row>
    <row r="4" spans="1:4" x14ac:dyDescent="0.25">
      <c r="A4">
        <v>82</v>
      </c>
      <c r="B4">
        <v>156</v>
      </c>
      <c r="D4">
        <v>82</v>
      </c>
    </row>
    <row r="5" spans="1:4" x14ac:dyDescent="0.25">
      <c r="A5">
        <v>83</v>
      </c>
      <c r="D5">
        <v>83</v>
      </c>
    </row>
    <row r="6" spans="1:4" x14ac:dyDescent="0.25">
      <c r="A6">
        <v>84</v>
      </c>
      <c r="B6">
        <v>158</v>
      </c>
      <c r="D6">
        <v>84</v>
      </c>
    </row>
    <row r="7" spans="1:4" x14ac:dyDescent="0.25">
      <c r="A7">
        <v>85</v>
      </c>
      <c r="B7">
        <v>100</v>
      </c>
      <c r="D7">
        <v>85</v>
      </c>
    </row>
    <row r="8" spans="1:4" x14ac:dyDescent="0.25">
      <c r="A8">
        <v>194</v>
      </c>
      <c r="B8">
        <v>103</v>
      </c>
    </row>
    <row r="9" spans="1:4" x14ac:dyDescent="0.25">
      <c r="A9">
        <v>113</v>
      </c>
      <c r="B9">
        <v>107</v>
      </c>
    </row>
    <row r="10" spans="1:4" x14ac:dyDescent="0.25">
      <c r="A10">
        <v>117</v>
      </c>
      <c r="B10">
        <v>109</v>
      </c>
    </row>
    <row r="11" spans="1:4" x14ac:dyDescent="0.25">
      <c r="A11">
        <v>196</v>
      </c>
      <c r="B11">
        <v>110</v>
      </c>
    </row>
    <row r="12" spans="1:4" x14ac:dyDescent="0.25">
      <c r="A12">
        <v>195</v>
      </c>
      <c r="B12">
        <v>111</v>
      </c>
    </row>
    <row r="13" spans="1:4" x14ac:dyDescent="0.25">
      <c r="A13">
        <v>197</v>
      </c>
      <c r="B13">
        <v>80</v>
      </c>
    </row>
    <row r="14" spans="1:4" x14ac:dyDescent="0.25">
      <c r="A14">
        <v>120</v>
      </c>
      <c r="B14">
        <v>81</v>
      </c>
    </row>
    <row r="15" spans="1:4" x14ac:dyDescent="0.25">
      <c r="A15">
        <v>87</v>
      </c>
      <c r="B15">
        <v>82</v>
      </c>
    </row>
    <row r="16" spans="1:4" x14ac:dyDescent="0.25">
      <c r="A16">
        <v>121</v>
      </c>
      <c r="B16">
        <v>83</v>
      </c>
    </row>
    <row r="17" spans="1:2" x14ac:dyDescent="0.25">
      <c r="A17">
        <v>86</v>
      </c>
      <c r="B17">
        <v>84</v>
      </c>
    </row>
    <row r="18" spans="1:2" x14ac:dyDescent="0.25">
      <c r="A18">
        <v>206</v>
      </c>
      <c r="B18">
        <v>85</v>
      </c>
    </row>
    <row r="19" spans="1:2" x14ac:dyDescent="0.25">
      <c r="A19">
        <v>208</v>
      </c>
      <c r="B19">
        <v>194</v>
      </c>
    </row>
    <row r="20" spans="1:2" x14ac:dyDescent="0.25">
      <c r="A20">
        <v>57</v>
      </c>
      <c r="B20">
        <v>113</v>
      </c>
    </row>
    <row r="21" spans="1:2" x14ac:dyDescent="0.25">
      <c r="A21">
        <v>216</v>
      </c>
      <c r="B21">
        <v>117</v>
      </c>
    </row>
    <row r="22" spans="1:2" x14ac:dyDescent="0.25">
      <c r="A22">
        <v>88</v>
      </c>
      <c r="B22">
        <v>196</v>
      </c>
    </row>
    <row r="23" spans="1:2" x14ac:dyDescent="0.25">
      <c r="A23">
        <v>89</v>
      </c>
      <c r="B23">
        <v>195</v>
      </c>
    </row>
    <row r="24" spans="1:2" x14ac:dyDescent="0.25">
      <c r="A24">
        <v>209</v>
      </c>
      <c r="B24">
        <v>197</v>
      </c>
    </row>
    <row r="25" spans="1:2" x14ac:dyDescent="0.25">
      <c r="A25">
        <v>218</v>
      </c>
      <c r="B25">
        <v>120</v>
      </c>
    </row>
    <row r="26" spans="1:2" x14ac:dyDescent="0.25">
      <c r="A26">
        <v>123</v>
      </c>
      <c r="B26">
        <v>87</v>
      </c>
    </row>
    <row r="27" spans="1:2" x14ac:dyDescent="0.25">
      <c r="A27">
        <v>124</v>
      </c>
      <c r="B27">
        <v>121</v>
      </c>
    </row>
    <row r="28" spans="1:2" x14ac:dyDescent="0.25">
      <c r="A28">
        <v>217</v>
      </c>
      <c r="B28">
        <v>86</v>
      </c>
    </row>
    <row r="29" spans="1:2" x14ac:dyDescent="0.25">
      <c r="A29">
        <v>219</v>
      </c>
      <c r="B29">
        <v>206</v>
      </c>
    </row>
    <row r="30" spans="1:2" x14ac:dyDescent="0.25">
      <c r="A30">
        <v>126</v>
      </c>
      <c r="B30">
        <v>208</v>
      </c>
    </row>
    <row r="31" spans="1:2" x14ac:dyDescent="0.25">
      <c r="A31">
        <v>91</v>
      </c>
      <c r="B31">
        <v>57</v>
      </c>
    </row>
    <row r="32" spans="1:2" x14ac:dyDescent="0.25">
      <c r="A32">
        <v>90</v>
      </c>
      <c r="B32">
        <v>216</v>
      </c>
    </row>
    <row r="33" spans="1:2" x14ac:dyDescent="0.25">
      <c r="A33">
        <v>224</v>
      </c>
      <c r="B33">
        <v>88</v>
      </c>
    </row>
    <row r="34" spans="1:2" x14ac:dyDescent="0.25">
      <c r="A34">
        <v>225</v>
      </c>
      <c r="B34">
        <v>89</v>
      </c>
    </row>
    <row r="35" spans="1:2" x14ac:dyDescent="0.25">
      <c r="A35">
        <v>127</v>
      </c>
      <c r="B35">
        <v>209</v>
      </c>
    </row>
    <row r="36" spans="1:2" x14ac:dyDescent="0.25">
      <c r="A36">
        <v>129</v>
      </c>
      <c r="B36">
        <v>218</v>
      </c>
    </row>
    <row r="37" spans="1:2" x14ac:dyDescent="0.25">
      <c r="A37">
        <v>130</v>
      </c>
      <c r="B37">
        <v>123</v>
      </c>
    </row>
    <row r="38" spans="1:2" x14ac:dyDescent="0.25">
      <c r="A38">
        <v>132</v>
      </c>
      <c r="B38">
        <v>124</v>
      </c>
    </row>
    <row r="39" spans="1:2" x14ac:dyDescent="0.25">
      <c r="A39">
        <v>207</v>
      </c>
      <c r="B39">
        <v>217</v>
      </c>
    </row>
    <row r="40" spans="1:2" x14ac:dyDescent="0.25">
      <c r="A40">
        <v>902</v>
      </c>
      <c r="B40">
        <v>219</v>
      </c>
    </row>
    <row r="41" spans="1:2" x14ac:dyDescent="0.25">
      <c r="A41">
        <v>903</v>
      </c>
      <c r="B41">
        <v>126</v>
      </c>
    </row>
    <row r="42" spans="1:2" x14ac:dyDescent="0.25">
      <c r="A42">
        <v>904</v>
      </c>
      <c r="B42">
        <v>91</v>
      </c>
    </row>
    <row r="43" spans="1:2" x14ac:dyDescent="0.25">
      <c r="B43">
        <v>90</v>
      </c>
    </row>
    <row r="44" spans="1:2" x14ac:dyDescent="0.25">
      <c r="B44">
        <v>224</v>
      </c>
    </row>
    <row r="45" spans="1:2" x14ac:dyDescent="0.25">
      <c r="B45">
        <v>225</v>
      </c>
    </row>
    <row r="46" spans="1:2" x14ac:dyDescent="0.25">
      <c r="B46">
        <v>127</v>
      </c>
    </row>
    <row r="47" spans="1:2" x14ac:dyDescent="0.25">
      <c r="B47">
        <v>129</v>
      </c>
    </row>
    <row r="48" spans="1:2" x14ac:dyDescent="0.25">
      <c r="B48">
        <v>130</v>
      </c>
    </row>
    <row r="49" spans="2:2" x14ac:dyDescent="0.25">
      <c r="B49">
        <v>132</v>
      </c>
    </row>
    <row r="50" spans="2:2" x14ac:dyDescent="0.25">
      <c r="B50">
        <v>207</v>
      </c>
    </row>
    <row r="51" spans="2:2" x14ac:dyDescent="0.25">
      <c r="B51">
        <v>902</v>
      </c>
    </row>
    <row r="52" spans="2:2" x14ac:dyDescent="0.25">
      <c r="B52">
        <v>903</v>
      </c>
    </row>
    <row r="53" spans="2:2" x14ac:dyDescent="0.25">
      <c r="B53">
        <v>904</v>
      </c>
    </row>
    <row r="54" spans="2:2" x14ac:dyDescent="0.25">
      <c r="B54">
        <v>905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R272"/>
  <sheetViews>
    <sheetView topLeftCell="AR1" workbookViewId="0">
      <selection activeCell="CI23" sqref="CI23"/>
    </sheetView>
  </sheetViews>
  <sheetFormatPr defaultRowHeight="12.5" x14ac:dyDescent="0.25"/>
  <cols>
    <col min="1" max="11" width="15.7265625" customWidth="1"/>
    <col min="12" max="12" width="20.7265625" bestFit="1" customWidth="1"/>
    <col min="13" max="13" width="15.7265625" customWidth="1"/>
    <col min="14" max="14" width="21.7265625" customWidth="1"/>
    <col min="15" max="15" width="24.1796875" customWidth="1"/>
    <col min="16" max="16" width="19.81640625" customWidth="1"/>
    <col min="17" max="17" width="23.1796875" customWidth="1"/>
    <col min="18" max="18" width="16" customWidth="1"/>
    <col min="19" max="19" width="20" customWidth="1"/>
    <col min="20" max="20" width="15.7265625" customWidth="1"/>
    <col min="21" max="21" width="19.81640625" customWidth="1"/>
    <col min="22" max="24" width="18.81640625" customWidth="1"/>
    <col min="25" max="25" width="20.54296875" customWidth="1"/>
    <col min="26" max="28" width="19.54296875" customWidth="1"/>
    <col min="29" max="29" width="15.7265625" customWidth="1"/>
    <col min="30" max="30" width="20.26953125" customWidth="1"/>
    <col min="31" max="33" width="19.26953125" customWidth="1"/>
    <col min="34" max="34" width="21" customWidth="1"/>
    <col min="35" max="37" width="20" customWidth="1"/>
    <col min="38" max="38" width="15.7265625" customWidth="1"/>
    <col min="39" max="41" width="19" customWidth="1"/>
    <col min="42" max="48" width="18" customWidth="1"/>
    <col min="49" max="57" width="18.54296875" customWidth="1"/>
    <col min="58" max="58" width="19.54296875" customWidth="1"/>
    <col min="59" max="60" width="15.7265625" customWidth="1"/>
    <col min="61" max="61" width="16.54296875" customWidth="1"/>
    <col min="62" max="64" width="19.453125" customWidth="1"/>
    <col min="65" max="71" width="18.453125" customWidth="1"/>
    <col min="72" max="78" width="19" customWidth="1"/>
    <col min="79" max="79" width="19" style="1" customWidth="1"/>
    <col min="80" max="80" width="19" customWidth="1"/>
    <col min="81" max="81" width="20" customWidth="1"/>
    <col min="82" max="83" width="15.7265625" customWidth="1"/>
    <col min="84" max="84" width="17" customWidth="1"/>
    <col min="85" max="85" width="15.7265625" customWidth="1"/>
    <col min="86" max="86" width="16.26953125" customWidth="1"/>
    <col min="87" max="95" width="15.7265625" customWidth="1"/>
    <col min="96" max="96" width="19.26953125" customWidth="1"/>
  </cols>
  <sheetData>
    <row r="1" spans="1:96" ht="13" thickTop="1" x14ac:dyDescent="0.25">
      <c r="A1" s="18" t="s">
        <v>190</v>
      </c>
      <c r="B1" s="19" t="s">
        <v>0</v>
      </c>
      <c r="C1" s="20" t="s">
        <v>1</v>
      </c>
      <c r="D1" s="19" t="s">
        <v>2</v>
      </c>
      <c r="E1" s="19" t="s">
        <v>3</v>
      </c>
      <c r="F1" s="19" t="s">
        <v>4</v>
      </c>
      <c r="G1" s="21" t="s">
        <v>5</v>
      </c>
      <c r="H1" s="19" t="s">
        <v>6</v>
      </c>
      <c r="I1" s="19" t="s">
        <v>7</v>
      </c>
      <c r="J1" s="19" t="s">
        <v>8</v>
      </c>
      <c r="K1" s="20" t="s">
        <v>9</v>
      </c>
      <c r="L1" s="20" t="s">
        <v>128</v>
      </c>
      <c r="M1" s="20" t="s">
        <v>10</v>
      </c>
      <c r="N1" s="22" t="s">
        <v>191</v>
      </c>
      <c r="O1" s="22" t="s">
        <v>192</v>
      </c>
      <c r="P1" s="21" t="s">
        <v>193</v>
      </c>
      <c r="Q1" s="22" t="s">
        <v>194</v>
      </c>
      <c r="R1" s="22" t="s">
        <v>195</v>
      </c>
      <c r="S1" s="22" t="s">
        <v>196</v>
      </c>
      <c r="T1" s="19" t="s">
        <v>11</v>
      </c>
      <c r="U1" s="21" t="s">
        <v>12</v>
      </c>
      <c r="V1" s="21" t="s">
        <v>13</v>
      </c>
      <c r="W1" s="21" t="s">
        <v>14</v>
      </c>
      <c r="X1" s="21" t="s">
        <v>15</v>
      </c>
      <c r="Y1" s="19" t="s">
        <v>16</v>
      </c>
      <c r="Z1" s="19" t="s">
        <v>17</v>
      </c>
      <c r="AA1" s="19" t="s">
        <v>18</v>
      </c>
      <c r="AB1" s="19" t="s">
        <v>19</v>
      </c>
      <c r="AC1" s="19" t="s">
        <v>20</v>
      </c>
      <c r="AD1" s="19" t="s">
        <v>21</v>
      </c>
      <c r="AE1" s="19" t="s">
        <v>22</v>
      </c>
      <c r="AF1" s="19" t="s">
        <v>23</v>
      </c>
      <c r="AG1" s="21" t="s">
        <v>24</v>
      </c>
      <c r="AH1" s="19" t="s">
        <v>25</v>
      </c>
      <c r="AI1" s="19" t="s">
        <v>26</v>
      </c>
      <c r="AJ1" s="19" t="s">
        <v>27</v>
      </c>
      <c r="AK1" s="19" t="s">
        <v>28</v>
      </c>
      <c r="AL1" s="19" t="s">
        <v>29</v>
      </c>
      <c r="AM1" s="22" t="s">
        <v>30</v>
      </c>
      <c r="AN1" s="22" t="s">
        <v>31</v>
      </c>
      <c r="AO1" s="22" t="s">
        <v>32</v>
      </c>
      <c r="AP1" s="22" t="s">
        <v>33</v>
      </c>
      <c r="AQ1" s="22" t="s">
        <v>34</v>
      </c>
      <c r="AR1" s="22" t="s">
        <v>35</v>
      </c>
      <c r="AS1" s="22" t="s">
        <v>36</v>
      </c>
      <c r="AT1" s="22" t="s">
        <v>37</v>
      </c>
      <c r="AU1" s="22" t="s">
        <v>38</v>
      </c>
      <c r="AV1" s="22" t="s">
        <v>39</v>
      </c>
      <c r="AW1" s="22" t="s">
        <v>197</v>
      </c>
      <c r="AX1" s="22" t="s">
        <v>198</v>
      </c>
      <c r="AY1" s="22" t="s">
        <v>199</v>
      </c>
      <c r="AZ1" s="22" t="s">
        <v>200</v>
      </c>
      <c r="BA1" s="22" t="s">
        <v>201</v>
      </c>
      <c r="BB1" s="22" t="s">
        <v>202</v>
      </c>
      <c r="BC1" s="22" t="s">
        <v>203</v>
      </c>
      <c r="BD1" s="22" t="s">
        <v>204</v>
      </c>
      <c r="BE1" s="22" t="s">
        <v>205</v>
      </c>
      <c r="BF1" s="22" t="s">
        <v>206</v>
      </c>
      <c r="BG1" s="22" t="s">
        <v>40</v>
      </c>
      <c r="BH1" s="22" t="s">
        <v>41</v>
      </c>
      <c r="BI1" s="22" t="s">
        <v>42</v>
      </c>
      <c r="BJ1" s="22" t="s">
        <v>43</v>
      </c>
      <c r="BK1" s="22" t="s">
        <v>44</v>
      </c>
      <c r="BL1" s="22" t="s">
        <v>45</v>
      </c>
      <c r="BM1" s="22" t="s">
        <v>46</v>
      </c>
      <c r="BN1" s="22" t="s">
        <v>47</v>
      </c>
      <c r="BO1" s="22" t="s">
        <v>48</v>
      </c>
      <c r="BP1" s="22" t="s">
        <v>49</v>
      </c>
      <c r="BQ1" s="22" t="s">
        <v>50</v>
      </c>
      <c r="BR1" s="22" t="s">
        <v>51</v>
      </c>
      <c r="BS1" s="22" t="s">
        <v>52</v>
      </c>
      <c r="BT1" s="22" t="s">
        <v>207</v>
      </c>
      <c r="BU1" s="22" t="s">
        <v>208</v>
      </c>
      <c r="BV1" s="22" t="s">
        <v>209</v>
      </c>
      <c r="BW1" s="22" t="s">
        <v>210</v>
      </c>
      <c r="BX1" s="22" t="s">
        <v>211</v>
      </c>
      <c r="BY1" s="22" t="s">
        <v>212</v>
      </c>
      <c r="BZ1" s="22" t="s">
        <v>213</v>
      </c>
      <c r="CA1" s="22" t="s">
        <v>214</v>
      </c>
      <c r="CB1" s="22" t="s">
        <v>215</v>
      </c>
      <c r="CC1" s="22" t="s">
        <v>216</v>
      </c>
      <c r="CD1" s="22" t="s">
        <v>53</v>
      </c>
      <c r="CE1" s="22" t="s">
        <v>54</v>
      </c>
      <c r="CF1" s="22" t="s">
        <v>55</v>
      </c>
      <c r="CG1" s="20" t="s">
        <v>56</v>
      </c>
      <c r="CH1" s="20" t="s">
        <v>57</v>
      </c>
      <c r="CI1" s="19" t="s">
        <v>58</v>
      </c>
      <c r="CJ1" s="78" t="s">
        <v>217</v>
      </c>
      <c r="CK1" s="78" t="s">
        <v>218</v>
      </c>
      <c r="CL1" s="78" t="s">
        <v>219</v>
      </c>
      <c r="CM1" s="78" t="s">
        <v>220</v>
      </c>
      <c r="CN1" s="78" t="s">
        <v>221</v>
      </c>
      <c r="CO1" s="78" t="s">
        <v>222</v>
      </c>
      <c r="CP1" s="78" t="s">
        <v>223</v>
      </c>
      <c r="CQ1" s="78" t="s">
        <v>224</v>
      </c>
      <c r="CR1" s="12" t="str">
        <f>IF(COUNTIF(Incl!A:A,Raw!J1),1, "")</f>
        <v/>
      </c>
    </row>
    <row r="2" spans="1:96" ht="13" x14ac:dyDescent="0.3">
      <c r="A2" s="9"/>
      <c r="B2" s="10"/>
      <c r="C2" s="10"/>
      <c r="D2" s="10"/>
      <c r="E2" s="10"/>
      <c r="F2" s="10"/>
      <c r="G2" s="11"/>
      <c r="H2" s="11"/>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v>1</v>
      </c>
      <c r="AX2" s="10">
        <v>2</v>
      </c>
      <c r="AY2" s="10">
        <v>3</v>
      </c>
      <c r="AZ2" s="10">
        <v>4</v>
      </c>
      <c r="BA2" s="10">
        <v>5</v>
      </c>
      <c r="BB2" s="10">
        <v>6</v>
      </c>
      <c r="BC2" s="10">
        <v>7</v>
      </c>
      <c r="BD2" s="10">
        <v>8</v>
      </c>
      <c r="BE2" s="10">
        <v>9</v>
      </c>
      <c r="BF2" s="10">
        <v>10</v>
      </c>
      <c r="BG2" s="10"/>
      <c r="BH2" s="10"/>
      <c r="BI2" s="10"/>
      <c r="BJ2" s="10"/>
      <c r="BK2" s="10"/>
      <c r="BL2" s="10"/>
      <c r="BM2" s="10"/>
      <c r="BN2" s="10"/>
      <c r="BO2" s="10"/>
      <c r="BP2" s="10"/>
      <c r="BQ2" s="10"/>
      <c r="BR2" s="10"/>
      <c r="BS2" s="10"/>
      <c r="BT2" s="10">
        <v>1</v>
      </c>
      <c r="BU2" s="10">
        <v>2</v>
      </c>
      <c r="BV2" s="10">
        <v>3</v>
      </c>
      <c r="BW2" s="10">
        <v>4</v>
      </c>
      <c r="BX2" s="10">
        <v>5</v>
      </c>
      <c r="BY2" s="10">
        <v>6</v>
      </c>
      <c r="BZ2" s="10">
        <v>7</v>
      </c>
      <c r="CA2" s="10">
        <v>8</v>
      </c>
      <c r="CB2" s="10">
        <v>9</v>
      </c>
      <c r="CC2" s="10">
        <v>10</v>
      </c>
      <c r="CD2" s="10"/>
      <c r="CE2" s="10"/>
      <c r="CF2" s="10"/>
      <c r="CG2" s="10"/>
      <c r="CH2" s="10"/>
      <c r="CI2" s="10"/>
      <c r="CJ2" s="10"/>
      <c r="CK2" s="10"/>
      <c r="CL2" s="10"/>
      <c r="CM2" s="10"/>
      <c r="CN2" s="10"/>
      <c r="CO2" s="10"/>
      <c r="CP2" s="10"/>
      <c r="CQ2" s="10"/>
      <c r="CR2" s="10"/>
    </row>
    <row r="3" spans="1:96" ht="13.5" thickBot="1" x14ac:dyDescent="0.35">
      <c r="A3" s="9"/>
      <c r="B3" s="10"/>
      <c r="C3" s="10"/>
      <c r="D3" s="10"/>
      <c r="E3" s="10"/>
      <c r="F3" s="10"/>
      <c r="G3" s="11"/>
      <c r="H3" s="11"/>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v>1</v>
      </c>
      <c r="AX3" s="10">
        <v>2</v>
      </c>
      <c r="AY3" s="10">
        <v>2</v>
      </c>
      <c r="AZ3" s="10">
        <v>2</v>
      </c>
      <c r="BA3" s="10">
        <v>2</v>
      </c>
      <c r="BB3" s="10">
        <v>2</v>
      </c>
      <c r="BC3" s="10">
        <v>2</v>
      </c>
      <c r="BD3" s="10">
        <v>2</v>
      </c>
      <c r="BE3" s="10">
        <v>2</v>
      </c>
      <c r="BF3" s="10">
        <v>2</v>
      </c>
      <c r="BG3" s="10"/>
      <c r="BH3" s="10"/>
      <c r="BI3" s="10"/>
      <c r="BJ3" s="10"/>
      <c r="BK3" s="10"/>
      <c r="BL3" s="10"/>
      <c r="BM3" s="10"/>
      <c r="BN3" s="10"/>
      <c r="BO3" s="10"/>
      <c r="BP3" s="10"/>
      <c r="BQ3" s="10"/>
      <c r="BR3" s="10"/>
      <c r="BS3" s="10"/>
      <c r="BT3" s="10">
        <v>1</v>
      </c>
      <c r="BU3" s="10">
        <v>2</v>
      </c>
      <c r="BV3" s="10">
        <v>2</v>
      </c>
      <c r="BW3" s="10">
        <v>2</v>
      </c>
      <c r="BX3" s="10">
        <v>2</v>
      </c>
      <c r="BY3" s="10">
        <v>2</v>
      </c>
      <c r="BZ3" s="10">
        <v>2</v>
      </c>
      <c r="CA3" s="10">
        <v>2</v>
      </c>
      <c r="CB3" s="10">
        <v>2</v>
      </c>
      <c r="CC3" s="10">
        <v>2</v>
      </c>
      <c r="CD3" s="10"/>
      <c r="CE3" s="10"/>
      <c r="CF3" s="10"/>
      <c r="CG3" s="10"/>
      <c r="CH3" s="10"/>
      <c r="CI3" s="10"/>
      <c r="CJ3" s="10"/>
      <c r="CK3" s="10"/>
      <c r="CL3" s="10"/>
      <c r="CM3" s="10"/>
      <c r="CN3" s="10"/>
      <c r="CO3" s="10"/>
      <c r="CP3" s="10"/>
      <c r="CQ3" s="10"/>
      <c r="CR3" s="10"/>
    </row>
    <row r="4" spans="1:96" ht="13.5" thickTop="1" thickBot="1" x14ac:dyDescent="0.3">
      <c r="A4" s="18">
        <v>1</v>
      </c>
      <c r="B4" s="19">
        <v>1</v>
      </c>
      <c r="C4" s="20">
        <v>555.51474800000005</v>
      </c>
      <c r="D4" s="19">
        <v>1</v>
      </c>
      <c r="E4" s="19">
        <v>1</v>
      </c>
      <c r="F4" s="19">
        <v>30</v>
      </c>
      <c r="G4" s="21">
        <v>154</v>
      </c>
      <c r="H4" s="19">
        <v>154</v>
      </c>
      <c r="I4" s="19">
        <v>154</v>
      </c>
      <c r="J4" s="19">
        <v>154</v>
      </c>
      <c r="K4" s="20" t="s">
        <v>59</v>
      </c>
      <c r="L4" s="20" t="s">
        <v>60</v>
      </c>
      <c r="M4" s="20" t="s">
        <v>61</v>
      </c>
      <c r="N4" s="22">
        <v>6</v>
      </c>
      <c r="O4" s="22">
        <v>10</v>
      </c>
      <c r="P4" s="21" t="s">
        <v>62</v>
      </c>
      <c r="Q4" s="22" t="s">
        <v>62</v>
      </c>
      <c r="R4" s="22" t="s">
        <v>62</v>
      </c>
      <c r="S4" s="22" t="s">
        <v>62</v>
      </c>
      <c r="T4" s="19">
        <v>16</v>
      </c>
      <c r="U4" s="21">
        <v>11</v>
      </c>
      <c r="V4" s="21">
        <v>10</v>
      </c>
      <c r="W4" s="21">
        <v>13</v>
      </c>
      <c r="X4" s="21" t="s">
        <v>62</v>
      </c>
      <c r="Y4" s="19">
        <v>69</v>
      </c>
      <c r="Z4" s="19">
        <v>63</v>
      </c>
      <c r="AA4" s="19">
        <v>81</v>
      </c>
      <c r="AB4" s="19">
        <v>0</v>
      </c>
      <c r="AC4" s="19">
        <v>1</v>
      </c>
      <c r="AD4" s="19">
        <v>4</v>
      </c>
      <c r="AE4" s="19">
        <v>10</v>
      </c>
      <c r="AF4" s="19">
        <v>15</v>
      </c>
      <c r="AG4" s="21" t="s">
        <v>62</v>
      </c>
      <c r="AH4" s="19">
        <v>25</v>
      </c>
      <c r="AI4" s="19">
        <v>63</v>
      </c>
      <c r="AJ4" s="19">
        <v>94</v>
      </c>
      <c r="AK4" s="19">
        <v>0</v>
      </c>
      <c r="AL4" s="19">
        <v>1</v>
      </c>
      <c r="AM4" s="22">
        <v>11</v>
      </c>
      <c r="AN4" s="22">
        <v>13</v>
      </c>
      <c r="AO4" s="22">
        <v>13</v>
      </c>
      <c r="AP4" s="22">
        <v>15</v>
      </c>
      <c r="AQ4" s="22">
        <v>10</v>
      </c>
      <c r="AR4" s="22">
        <v>14</v>
      </c>
      <c r="AS4" s="22">
        <v>16</v>
      </c>
      <c r="AT4" s="22">
        <v>12</v>
      </c>
      <c r="AU4" s="22">
        <v>11</v>
      </c>
      <c r="AV4" s="22">
        <v>12</v>
      </c>
      <c r="AW4" s="22">
        <v>25</v>
      </c>
      <c r="AX4" s="22">
        <v>7</v>
      </c>
      <c r="AY4" s="22">
        <v>4</v>
      </c>
      <c r="AZ4" s="22">
        <v>4</v>
      </c>
      <c r="BA4" s="22">
        <v>1</v>
      </c>
      <c r="BB4" s="22">
        <v>0</v>
      </c>
      <c r="BC4" s="22">
        <v>1</v>
      </c>
      <c r="BD4" s="22">
        <v>1</v>
      </c>
      <c r="BE4" s="22">
        <v>0</v>
      </c>
      <c r="BF4" s="22">
        <v>4</v>
      </c>
      <c r="BG4" s="22">
        <v>47</v>
      </c>
      <c r="BH4" s="22">
        <v>2.9</v>
      </c>
      <c r="BI4" s="22" t="s">
        <v>63</v>
      </c>
      <c r="BJ4" s="22">
        <v>4</v>
      </c>
      <c r="BK4" s="22">
        <v>11</v>
      </c>
      <c r="BL4" s="22">
        <v>10</v>
      </c>
      <c r="BM4" s="22">
        <v>5</v>
      </c>
      <c r="BN4" s="22">
        <v>10</v>
      </c>
      <c r="BO4" s="22">
        <v>11</v>
      </c>
      <c r="BP4" s="22">
        <v>12</v>
      </c>
      <c r="BQ4" s="22">
        <v>12</v>
      </c>
      <c r="BR4" s="22">
        <v>15</v>
      </c>
      <c r="BS4" s="22">
        <v>14</v>
      </c>
      <c r="BT4" s="22">
        <v>13</v>
      </c>
      <c r="BU4" s="22">
        <v>7</v>
      </c>
      <c r="BV4" s="22">
        <v>1</v>
      </c>
      <c r="BW4" s="22">
        <v>3</v>
      </c>
      <c r="BX4" s="22">
        <v>1</v>
      </c>
      <c r="BY4" s="22">
        <v>2</v>
      </c>
      <c r="BZ4" s="22">
        <v>0</v>
      </c>
      <c r="CA4" s="22">
        <v>2</v>
      </c>
      <c r="CB4" s="22">
        <v>1</v>
      </c>
      <c r="CC4" s="22">
        <v>2</v>
      </c>
      <c r="CD4" s="22">
        <v>32</v>
      </c>
      <c r="CE4" s="22">
        <v>2</v>
      </c>
      <c r="CF4" s="22" t="s">
        <v>63</v>
      </c>
      <c r="CG4" s="20" t="s">
        <v>64</v>
      </c>
      <c r="CH4" s="20">
        <v>1.5809999999999999E-3</v>
      </c>
      <c r="CI4" s="19">
        <v>2</v>
      </c>
      <c r="CJ4" s="78">
        <v>1</v>
      </c>
      <c r="CK4" s="78">
        <v>1</v>
      </c>
      <c r="CL4" s="78" t="s">
        <v>224</v>
      </c>
      <c r="CM4" s="78">
        <v>555.51481899999999</v>
      </c>
      <c r="CN4" s="78">
        <v>1</v>
      </c>
      <c r="CO4" s="78">
        <v>1</v>
      </c>
      <c r="CP4" s="78" t="s">
        <v>224</v>
      </c>
      <c r="CQ4" s="78" t="s">
        <v>224</v>
      </c>
      <c r="CR4" s="12" t="str">
        <f>IF(COUNTIF(Incl!A:A,Raw!J4),1, "")</f>
        <v/>
      </c>
    </row>
    <row r="5" spans="1:96" ht="13.5" thickTop="1" thickBot="1" x14ac:dyDescent="0.3">
      <c r="A5" s="18">
        <v>2</v>
      </c>
      <c r="B5" s="19">
        <v>1</v>
      </c>
      <c r="C5" s="20">
        <v>460.32237500000002</v>
      </c>
      <c r="D5" s="19">
        <v>2</v>
      </c>
      <c r="E5" s="19">
        <v>1</v>
      </c>
      <c r="F5" s="19">
        <v>31</v>
      </c>
      <c r="G5" s="21">
        <v>155</v>
      </c>
      <c r="H5" s="19">
        <v>155</v>
      </c>
      <c r="I5" s="19">
        <v>155</v>
      </c>
      <c r="J5" s="19">
        <v>155</v>
      </c>
      <c r="K5" s="20" t="s">
        <v>59</v>
      </c>
      <c r="L5" s="20" t="s">
        <v>61</v>
      </c>
      <c r="M5" s="20" t="s">
        <v>60</v>
      </c>
      <c r="N5" s="22">
        <v>11</v>
      </c>
      <c r="O5" s="22">
        <v>7</v>
      </c>
      <c r="P5" s="21" t="s">
        <v>62</v>
      </c>
      <c r="Q5" s="22" t="s">
        <v>62</v>
      </c>
      <c r="R5" s="22" t="s">
        <v>62</v>
      </c>
      <c r="S5" s="22" t="s">
        <v>62</v>
      </c>
      <c r="T5" s="19">
        <v>18</v>
      </c>
      <c r="U5" s="21">
        <v>10</v>
      </c>
      <c r="V5" s="21">
        <v>16</v>
      </c>
      <c r="W5" s="21">
        <v>16</v>
      </c>
      <c r="X5" s="21" t="s">
        <v>62</v>
      </c>
      <c r="Y5" s="19">
        <v>56</v>
      </c>
      <c r="Z5" s="19">
        <v>89</v>
      </c>
      <c r="AA5" s="19">
        <v>89</v>
      </c>
      <c r="AB5" s="19">
        <v>0</v>
      </c>
      <c r="AC5" s="19">
        <v>2</v>
      </c>
      <c r="AD5" s="19">
        <v>10</v>
      </c>
      <c r="AE5" s="19">
        <v>14</v>
      </c>
      <c r="AF5" s="19">
        <v>17</v>
      </c>
      <c r="AG5" s="21" t="s">
        <v>62</v>
      </c>
      <c r="AH5" s="19">
        <v>56</v>
      </c>
      <c r="AI5" s="19">
        <v>78</v>
      </c>
      <c r="AJ5" s="19">
        <v>94</v>
      </c>
      <c r="AK5" s="19">
        <v>0</v>
      </c>
      <c r="AL5" s="19">
        <v>2</v>
      </c>
      <c r="AM5" s="22">
        <v>10</v>
      </c>
      <c r="AN5" s="22">
        <v>16</v>
      </c>
      <c r="AO5" s="22">
        <v>18</v>
      </c>
      <c r="AP5" s="22">
        <v>13</v>
      </c>
      <c r="AQ5" s="22">
        <v>16</v>
      </c>
      <c r="AR5" s="22">
        <v>17</v>
      </c>
      <c r="AS5" s="22">
        <v>17</v>
      </c>
      <c r="AT5" s="22">
        <v>16</v>
      </c>
      <c r="AU5" s="22">
        <v>16</v>
      </c>
      <c r="AV5" s="22">
        <v>16</v>
      </c>
      <c r="AW5" s="22">
        <v>43</v>
      </c>
      <c r="AX5" s="22">
        <v>6</v>
      </c>
      <c r="AY5" s="22">
        <v>8</v>
      </c>
      <c r="AZ5" s="22">
        <v>3</v>
      </c>
      <c r="BA5" s="22">
        <v>3</v>
      </c>
      <c r="BB5" s="22">
        <v>0</v>
      </c>
      <c r="BC5" s="22">
        <v>0</v>
      </c>
      <c r="BD5" s="22">
        <v>0</v>
      </c>
      <c r="BE5" s="22">
        <v>1</v>
      </c>
      <c r="BF5" s="22">
        <v>4</v>
      </c>
      <c r="BG5" s="22">
        <v>68</v>
      </c>
      <c r="BH5" s="22">
        <v>3.8</v>
      </c>
      <c r="BI5" s="22" t="s">
        <v>65</v>
      </c>
      <c r="BJ5" s="22">
        <v>10</v>
      </c>
      <c r="BK5" s="22">
        <v>12</v>
      </c>
      <c r="BL5" s="22">
        <v>14</v>
      </c>
      <c r="BM5" s="22">
        <v>11</v>
      </c>
      <c r="BN5" s="22">
        <v>14</v>
      </c>
      <c r="BO5" s="22">
        <v>15</v>
      </c>
      <c r="BP5" s="22">
        <v>13</v>
      </c>
      <c r="BQ5" s="22">
        <v>13</v>
      </c>
      <c r="BR5" s="22">
        <v>17</v>
      </c>
      <c r="BS5" s="22">
        <v>16</v>
      </c>
      <c r="BT5" s="22">
        <v>17</v>
      </c>
      <c r="BU5" s="22">
        <v>7</v>
      </c>
      <c r="BV5" s="22">
        <v>1</v>
      </c>
      <c r="BW5" s="22">
        <v>6</v>
      </c>
      <c r="BX5" s="22">
        <v>3</v>
      </c>
      <c r="BY5" s="22">
        <v>2</v>
      </c>
      <c r="BZ5" s="22">
        <v>0</v>
      </c>
      <c r="CA5" s="22">
        <v>0</v>
      </c>
      <c r="CB5" s="22">
        <v>0</v>
      </c>
      <c r="CC5" s="22">
        <v>5</v>
      </c>
      <c r="CD5" s="22">
        <v>41</v>
      </c>
      <c r="CE5" s="22">
        <v>2.2999999999999998</v>
      </c>
      <c r="CF5" s="22" t="s">
        <v>63</v>
      </c>
      <c r="CG5" s="20" t="s">
        <v>66</v>
      </c>
      <c r="CH5" s="20">
        <v>1.317E-3</v>
      </c>
      <c r="CI5" s="19">
        <v>4</v>
      </c>
      <c r="CJ5" s="78">
        <v>1</v>
      </c>
      <c r="CK5" s="78">
        <v>1</v>
      </c>
      <c r="CL5" s="78" t="s">
        <v>224</v>
      </c>
      <c r="CM5" s="78">
        <v>460.322519</v>
      </c>
      <c r="CN5" s="78">
        <v>1</v>
      </c>
      <c r="CO5" s="78">
        <v>1</v>
      </c>
      <c r="CP5" s="78" t="s">
        <v>224</v>
      </c>
      <c r="CQ5" s="78" t="s">
        <v>224</v>
      </c>
      <c r="CR5" s="12" t="str">
        <f>IF(COUNTIF(Incl!A:A,Raw!J5),1, "")</f>
        <v/>
      </c>
    </row>
    <row r="6" spans="1:96" ht="13.5" thickTop="1" thickBot="1" x14ac:dyDescent="0.3">
      <c r="A6" s="13">
        <v>3</v>
      </c>
      <c r="B6" s="14">
        <v>1</v>
      </c>
      <c r="C6" s="15">
        <v>472.98420399999998</v>
      </c>
      <c r="D6" s="14">
        <v>3</v>
      </c>
      <c r="E6" s="14">
        <v>1</v>
      </c>
      <c r="F6" s="14">
        <v>32</v>
      </c>
      <c r="G6" s="16">
        <v>156</v>
      </c>
      <c r="H6" s="14">
        <v>156</v>
      </c>
      <c r="I6" s="14">
        <v>156</v>
      </c>
      <c r="J6" s="14">
        <v>156</v>
      </c>
      <c r="K6" s="15" t="s">
        <v>61</v>
      </c>
      <c r="L6" s="15" t="s">
        <v>59</v>
      </c>
      <c r="M6" s="15" t="s">
        <v>60</v>
      </c>
      <c r="N6" s="17">
        <v>17</v>
      </c>
      <c r="O6" s="17">
        <v>8</v>
      </c>
      <c r="P6" s="16" t="s">
        <v>62</v>
      </c>
      <c r="Q6" s="17" t="s">
        <v>62</v>
      </c>
      <c r="R6" s="17" t="s">
        <v>62</v>
      </c>
      <c r="S6" s="17" t="s">
        <v>62</v>
      </c>
      <c r="T6" s="14">
        <v>25</v>
      </c>
      <c r="U6" s="16">
        <v>19</v>
      </c>
      <c r="V6" s="16">
        <v>17</v>
      </c>
      <c r="W6" s="16">
        <v>22</v>
      </c>
      <c r="X6" s="16" t="s">
        <v>62</v>
      </c>
      <c r="Y6" s="14">
        <v>76</v>
      </c>
      <c r="Z6" s="14">
        <v>68</v>
      </c>
      <c r="AA6" s="14">
        <v>88</v>
      </c>
      <c r="AB6" s="14">
        <v>0</v>
      </c>
      <c r="AC6" s="14">
        <v>2</v>
      </c>
      <c r="AD6" s="14">
        <v>10</v>
      </c>
      <c r="AE6" s="14">
        <v>11</v>
      </c>
      <c r="AF6" s="14">
        <v>15</v>
      </c>
      <c r="AG6" s="16" t="s">
        <v>62</v>
      </c>
      <c r="AH6" s="14">
        <v>40</v>
      </c>
      <c r="AI6" s="14">
        <v>44</v>
      </c>
      <c r="AJ6" s="14">
        <v>60</v>
      </c>
      <c r="AK6" s="14">
        <v>0</v>
      </c>
      <c r="AL6" s="14">
        <v>0</v>
      </c>
      <c r="AM6" s="17">
        <v>19</v>
      </c>
      <c r="AN6" s="17">
        <v>23</v>
      </c>
      <c r="AO6" s="17">
        <v>23</v>
      </c>
      <c r="AP6" s="17">
        <v>15</v>
      </c>
      <c r="AQ6" s="17">
        <v>17</v>
      </c>
      <c r="AR6" s="17">
        <v>10</v>
      </c>
      <c r="AS6" s="17">
        <v>15</v>
      </c>
      <c r="AT6" s="17">
        <v>17</v>
      </c>
      <c r="AU6" s="17">
        <v>22</v>
      </c>
      <c r="AV6" s="17">
        <v>23</v>
      </c>
      <c r="AW6" s="17">
        <v>82</v>
      </c>
      <c r="AX6" s="17">
        <v>15</v>
      </c>
      <c r="AY6" s="17">
        <v>5</v>
      </c>
      <c r="AZ6" s="17">
        <v>0</v>
      </c>
      <c r="BA6" s="17">
        <v>1</v>
      </c>
      <c r="BB6" s="17">
        <v>3</v>
      </c>
      <c r="BC6" s="17">
        <v>2</v>
      </c>
      <c r="BD6" s="17">
        <v>0</v>
      </c>
      <c r="BE6" s="17">
        <v>0</v>
      </c>
      <c r="BF6" s="17">
        <v>2</v>
      </c>
      <c r="BG6" s="17">
        <v>110</v>
      </c>
      <c r="BH6" s="17">
        <v>4.4000000000000004</v>
      </c>
      <c r="BI6" s="17" t="s">
        <v>67</v>
      </c>
      <c r="BJ6" s="17">
        <v>10</v>
      </c>
      <c r="BK6" s="17">
        <v>10</v>
      </c>
      <c r="BL6" s="17">
        <v>9</v>
      </c>
      <c r="BM6" s="17">
        <v>13</v>
      </c>
      <c r="BN6" s="17">
        <v>11</v>
      </c>
      <c r="BO6" s="17">
        <v>13</v>
      </c>
      <c r="BP6" s="17">
        <v>14</v>
      </c>
      <c r="BQ6" s="17">
        <v>16</v>
      </c>
      <c r="BR6" s="17">
        <v>15</v>
      </c>
      <c r="BS6" s="17">
        <v>12</v>
      </c>
      <c r="BT6" s="17">
        <v>19</v>
      </c>
      <c r="BU6" s="17">
        <v>11</v>
      </c>
      <c r="BV6" s="17">
        <v>4</v>
      </c>
      <c r="BW6" s="17">
        <v>1</v>
      </c>
      <c r="BX6" s="17">
        <v>1</v>
      </c>
      <c r="BY6" s="17">
        <v>1</v>
      </c>
      <c r="BZ6" s="17">
        <v>1</v>
      </c>
      <c r="CA6" s="17">
        <v>0</v>
      </c>
      <c r="CB6" s="17">
        <v>2</v>
      </c>
      <c r="CC6" s="17">
        <v>3</v>
      </c>
      <c r="CD6" s="17">
        <v>43</v>
      </c>
      <c r="CE6" s="17">
        <v>1.7</v>
      </c>
      <c r="CF6" s="17" t="s">
        <v>68</v>
      </c>
      <c r="CG6" s="15" t="s">
        <v>64</v>
      </c>
      <c r="CH6" s="15">
        <v>1.627E-3</v>
      </c>
      <c r="CI6" s="14">
        <v>2</v>
      </c>
      <c r="CJ6" s="79">
        <v>1</v>
      </c>
      <c r="CK6" s="79">
        <v>1</v>
      </c>
      <c r="CL6" s="79" t="s">
        <v>224</v>
      </c>
      <c r="CM6" s="79">
        <v>472.984013</v>
      </c>
      <c r="CN6" s="79">
        <v>1</v>
      </c>
      <c r="CO6" s="79">
        <v>1</v>
      </c>
      <c r="CP6" s="79" t="s">
        <v>224</v>
      </c>
      <c r="CQ6" s="79" t="s">
        <v>224</v>
      </c>
      <c r="CR6" s="12" t="str">
        <f>IF(COUNTIF(Incl!A:A,Raw!J6),1, "")</f>
        <v/>
      </c>
    </row>
    <row r="7" spans="1:96" ht="13.5" thickTop="1" thickBot="1" x14ac:dyDescent="0.3">
      <c r="A7" s="13">
        <v>4</v>
      </c>
      <c r="B7" s="14">
        <v>1</v>
      </c>
      <c r="C7" s="15">
        <v>319.60566499999999</v>
      </c>
      <c r="D7" s="14">
        <v>4</v>
      </c>
      <c r="E7" s="14">
        <v>1</v>
      </c>
      <c r="F7" s="14">
        <v>33</v>
      </c>
      <c r="G7" s="16">
        <v>157</v>
      </c>
      <c r="H7" s="14">
        <v>157</v>
      </c>
      <c r="I7" s="14">
        <v>157</v>
      </c>
      <c r="J7" s="14">
        <v>157</v>
      </c>
      <c r="K7" s="15" t="s">
        <v>61</v>
      </c>
      <c r="L7" s="15" t="s">
        <v>69</v>
      </c>
      <c r="M7" s="15" t="s">
        <v>70</v>
      </c>
      <c r="N7" s="17" t="s">
        <v>62</v>
      </c>
      <c r="O7" s="17">
        <v>14</v>
      </c>
      <c r="P7" s="16" t="s">
        <v>62</v>
      </c>
      <c r="Q7" s="17" t="s">
        <v>62</v>
      </c>
      <c r="R7" s="17" t="s">
        <v>62</v>
      </c>
      <c r="S7" s="17" t="s">
        <v>62</v>
      </c>
      <c r="T7" s="14">
        <v>14</v>
      </c>
      <c r="U7" s="16">
        <v>9</v>
      </c>
      <c r="V7" s="16">
        <v>9</v>
      </c>
      <c r="W7" s="16">
        <v>9</v>
      </c>
      <c r="X7" s="16">
        <v>9</v>
      </c>
      <c r="Y7" s="14">
        <v>64</v>
      </c>
      <c r="Z7" s="14">
        <v>64</v>
      </c>
      <c r="AA7" s="14">
        <v>64</v>
      </c>
      <c r="AB7" s="14">
        <v>64</v>
      </c>
      <c r="AC7" s="14">
        <v>0</v>
      </c>
      <c r="AD7" s="14">
        <v>11</v>
      </c>
      <c r="AE7" s="14">
        <v>13</v>
      </c>
      <c r="AF7" s="14">
        <v>12</v>
      </c>
      <c r="AG7" s="16">
        <v>14</v>
      </c>
      <c r="AH7" s="14">
        <v>79</v>
      </c>
      <c r="AI7" s="14">
        <v>93</v>
      </c>
      <c r="AJ7" s="14">
        <v>86</v>
      </c>
      <c r="AK7" s="14">
        <v>100</v>
      </c>
      <c r="AL7" s="14">
        <v>4</v>
      </c>
      <c r="AM7" s="17" t="s">
        <v>62</v>
      </c>
      <c r="AN7" s="17" t="s">
        <v>62</v>
      </c>
      <c r="AO7" s="17" t="s">
        <v>62</v>
      </c>
      <c r="AP7" s="17" t="s">
        <v>62</v>
      </c>
      <c r="AQ7" s="17" t="s">
        <v>62</v>
      </c>
      <c r="AR7" s="17" t="s">
        <v>62</v>
      </c>
      <c r="AS7" s="17" t="s">
        <v>62</v>
      </c>
      <c r="AT7" s="17" t="s">
        <v>62</v>
      </c>
      <c r="AU7" s="17" t="s">
        <v>62</v>
      </c>
      <c r="AV7" s="17" t="s">
        <v>62</v>
      </c>
      <c r="AW7" s="17" t="s">
        <v>62</v>
      </c>
      <c r="AX7" s="17" t="s">
        <v>62</v>
      </c>
      <c r="AY7" s="17" t="s">
        <v>62</v>
      </c>
      <c r="AZ7" s="17" t="s">
        <v>62</v>
      </c>
      <c r="BA7" s="17" t="s">
        <v>62</v>
      </c>
      <c r="BB7" s="17" t="s">
        <v>62</v>
      </c>
      <c r="BC7" s="17" t="s">
        <v>62</v>
      </c>
      <c r="BD7" s="17" t="s">
        <v>62</v>
      </c>
      <c r="BE7" s="17" t="s">
        <v>62</v>
      </c>
      <c r="BF7" s="17" t="s">
        <v>62</v>
      </c>
      <c r="BG7" s="17" t="s">
        <v>62</v>
      </c>
      <c r="BH7" s="17" t="s">
        <v>62</v>
      </c>
      <c r="BI7" s="17" t="s">
        <v>62</v>
      </c>
      <c r="BJ7" s="17" t="s">
        <v>62</v>
      </c>
      <c r="BK7" s="17" t="s">
        <v>62</v>
      </c>
      <c r="BL7" s="17" t="s">
        <v>62</v>
      </c>
      <c r="BM7" s="17" t="s">
        <v>62</v>
      </c>
      <c r="BN7" s="17" t="s">
        <v>62</v>
      </c>
      <c r="BO7" s="17" t="s">
        <v>62</v>
      </c>
      <c r="BP7" s="17" t="s">
        <v>62</v>
      </c>
      <c r="BQ7" s="17" t="s">
        <v>62</v>
      </c>
      <c r="BR7" s="17" t="s">
        <v>62</v>
      </c>
      <c r="BS7" s="17" t="s">
        <v>62</v>
      </c>
      <c r="BT7" s="17" t="s">
        <v>62</v>
      </c>
      <c r="BU7" s="17" t="s">
        <v>62</v>
      </c>
      <c r="BV7" s="17" t="s">
        <v>62</v>
      </c>
      <c r="BW7" s="17" t="s">
        <v>62</v>
      </c>
      <c r="BX7" s="17" t="s">
        <v>62</v>
      </c>
      <c r="BY7" s="17" t="s">
        <v>62</v>
      </c>
      <c r="BZ7" s="17" t="s">
        <v>62</v>
      </c>
      <c r="CA7" s="17" t="s">
        <v>62</v>
      </c>
      <c r="CB7" s="17" t="s">
        <v>62</v>
      </c>
      <c r="CC7" s="17" t="s">
        <v>62</v>
      </c>
      <c r="CD7" s="17" t="s">
        <v>62</v>
      </c>
      <c r="CE7" s="17" t="s">
        <v>62</v>
      </c>
      <c r="CF7" s="17" t="s">
        <v>62</v>
      </c>
      <c r="CG7" s="15" t="s">
        <v>66</v>
      </c>
      <c r="CH7" s="15">
        <v>1.1000000000000001E-3</v>
      </c>
      <c r="CI7" s="14">
        <v>4</v>
      </c>
      <c r="CJ7" s="79">
        <v>1</v>
      </c>
      <c r="CK7" s="79">
        <v>1</v>
      </c>
      <c r="CL7" s="79" t="s">
        <v>224</v>
      </c>
      <c r="CM7" s="79">
        <v>319.60577499999999</v>
      </c>
      <c r="CN7" s="79">
        <v>2</v>
      </c>
      <c r="CO7" s="79">
        <v>0</v>
      </c>
      <c r="CP7" s="79" t="s">
        <v>224</v>
      </c>
      <c r="CQ7" s="79" t="s">
        <v>224</v>
      </c>
      <c r="CR7" s="12" t="str">
        <f>IF(COUNTIF(Incl!A:A,Raw!J7),1, "")</f>
        <v/>
      </c>
    </row>
    <row r="8" spans="1:96" ht="13.5" thickTop="1" thickBot="1" x14ac:dyDescent="0.3">
      <c r="A8" s="18">
        <v>5</v>
      </c>
      <c r="B8" s="19">
        <v>1</v>
      </c>
      <c r="C8" s="20">
        <v>175.24878000000001</v>
      </c>
      <c r="D8" s="19">
        <v>5</v>
      </c>
      <c r="E8" s="19">
        <v>2</v>
      </c>
      <c r="F8" s="19">
        <v>34</v>
      </c>
      <c r="G8" s="21">
        <v>158</v>
      </c>
      <c r="H8" s="19">
        <v>158</v>
      </c>
      <c r="I8" s="19">
        <v>158</v>
      </c>
      <c r="J8" s="19">
        <v>158</v>
      </c>
      <c r="K8" s="20" t="s">
        <v>61</v>
      </c>
      <c r="L8" s="20" t="s">
        <v>70</v>
      </c>
      <c r="M8" s="20" t="s">
        <v>60</v>
      </c>
      <c r="N8" s="22">
        <v>11</v>
      </c>
      <c r="O8" s="22" t="s">
        <v>62</v>
      </c>
      <c r="P8" s="21" t="s">
        <v>62</v>
      </c>
      <c r="Q8" s="22" t="s">
        <v>62</v>
      </c>
      <c r="R8" s="22" t="s">
        <v>62</v>
      </c>
      <c r="S8" s="22" t="s">
        <v>62</v>
      </c>
      <c r="T8" s="19">
        <v>11</v>
      </c>
      <c r="U8" s="21">
        <v>5</v>
      </c>
      <c r="V8" s="21">
        <v>8</v>
      </c>
      <c r="W8" s="21">
        <v>10</v>
      </c>
      <c r="X8" s="21" t="s">
        <v>62</v>
      </c>
      <c r="Y8" s="19">
        <v>45</v>
      </c>
      <c r="Z8" s="19">
        <v>73</v>
      </c>
      <c r="AA8" s="19">
        <v>91</v>
      </c>
      <c r="AB8" s="19">
        <v>0</v>
      </c>
      <c r="AC8" s="19">
        <v>1</v>
      </c>
      <c r="AD8" s="19">
        <v>3</v>
      </c>
      <c r="AE8" s="19">
        <v>5</v>
      </c>
      <c r="AF8" s="19">
        <v>3</v>
      </c>
      <c r="AG8" s="21" t="s">
        <v>62</v>
      </c>
      <c r="AH8" s="19">
        <v>27</v>
      </c>
      <c r="AI8" s="19">
        <v>45</v>
      </c>
      <c r="AJ8" s="19">
        <v>27</v>
      </c>
      <c r="AK8" s="19">
        <v>0</v>
      </c>
      <c r="AL8" s="19">
        <v>0</v>
      </c>
      <c r="AM8" s="22">
        <v>5</v>
      </c>
      <c r="AN8" s="22">
        <v>7</v>
      </c>
      <c r="AO8" s="22">
        <v>7</v>
      </c>
      <c r="AP8" s="22">
        <v>8</v>
      </c>
      <c r="AQ8" s="22">
        <v>8</v>
      </c>
      <c r="AR8" s="22">
        <v>3</v>
      </c>
      <c r="AS8" s="22">
        <v>4</v>
      </c>
      <c r="AT8" s="22">
        <v>8</v>
      </c>
      <c r="AU8" s="22">
        <v>10</v>
      </c>
      <c r="AV8" s="22">
        <v>11</v>
      </c>
      <c r="AW8" s="22">
        <v>39</v>
      </c>
      <c r="AX8" s="22">
        <v>7</v>
      </c>
      <c r="AY8" s="22">
        <v>2</v>
      </c>
      <c r="AZ8" s="22">
        <v>1</v>
      </c>
      <c r="BA8" s="22">
        <v>0</v>
      </c>
      <c r="BB8" s="22">
        <v>0</v>
      </c>
      <c r="BC8" s="22">
        <v>0</v>
      </c>
      <c r="BD8" s="22">
        <v>1</v>
      </c>
      <c r="BE8" s="22">
        <v>0</v>
      </c>
      <c r="BF8" s="22">
        <v>0</v>
      </c>
      <c r="BG8" s="22">
        <v>50</v>
      </c>
      <c r="BH8" s="22">
        <v>4.5</v>
      </c>
      <c r="BI8" s="22" t="s">
        <v>67</v>
      </c>
      <c r="BJ8" s="22">
        <v>3</v>
      </c>
      <c r="BK8" s="22">
        <v>5</v>
      </c>
      <c r="BL8" s="22">
        <v>5</v>
      </c>
      <c r="BM8" s="22">
        <v>7</v>
      </c>
      <c r="BN8" s="22">
        <v>5</v>
      </c>
      <c r="BO8" s="22">
        <v>4</v>
      </c>
      <c r="BP8" s="22">
        <v>3</v>
      </c>
      <c r="BQ8" s="22">
        <v>4</v>
      </c>
      <c r="BR8" s="22">
        <v>3</v>
      </c>
      <c r="BS8" s="22">
        <v>2</v>
      </c>
      <c r="BT8" s="22">
        <v>11</v>
      </c>
      <c r="BU8" s="22">
        <v>1</v>
      </c>
      <c r="BV8" s="22">
        <v>3</v>
      </c>
      <c r="BW8" s="22">
        <v>0</v>
      </c>
      <c r="BX8" s="22">
        <v>1</v>
      </c>
      <c r="BY8" s="22">
        <v>1</v>
      </c>
      <c r="BZ8" s="22">
        <v>0</v>
      </c>
      <c r="CA8" s="22">
        <v>1</v>
      </c>
      <c r="CB8" s="22">
        <v>0</v>
      </c>
      <c r="CC8" s="22">
        <v>0</v>
      </c>
      <c r="CD8" s="22">
        <v>18</v>
      </c>
      <c r="CE8" s="22">
        <v>1.6</v>
      </c>
      <c r="CF8" s="22" t="s">
        <v>68</v>
      </c>
      <c r="CG8" s="20" t="s">
        <v>66</v>
      </c>
      <c r="CH8" s="20">
        <v>6.0300000000000002E-4</v>
      </c>
      <c r="CI8" s="19">
        <v>1</v>
      </c>
      <c r="CJ8" s="78">
        <v>1</v>
      </c>
      <c r="CK8" s="78">
        <v>1</v>
      </c>
      <c r="CL8" s="78" t="s">
        <v>224</v>
      </c>
      <c r="CM8" s="78">
        <v>175.24882500000001</v>
      </c>
      <c r="CN8" s="78">
        <v>1</v>
      </c>
      <c r="CO8" s="78">
        <v>1</v>
      </c>
      <c r="CP8" s="78" t="s">
        <v>224</v>
      </c>
      <c r="CQ8" s="78" t="s">
        <v>224</v>
      </c>
      <c r="CR8" s="12" t="str">
        <f>IF(COUNTIF(Incl!A:A,Raw!J8),1, "")</f>
        <v/>
      </c>
    </row>
    <row r="9" spans="1:96" ht="13.5" thickTop="1" thickBot="1" x14ac:dyDescent="0.3">
      <c r="A9" s="13">
        <v>6</v>
      </c>
      <c r="B9" s="14">
        <v>1</v>
      </c>
      <c r="C9" s="15">
        <v>461.94847800000002</v>
      </c>
      <c r="D9" s="14">
        <v>6</v>
      </c>
      <c r="E9" s="14">
        <v>1</v>
      </c>
      <c r="F9" s="14">
        <v>35</v>
      </c>
      <c r="G9" s="16">
        <v>100</v>
      </c>
      <c r="H9" s="14">
        <v>100</v>
      </c>
      <c r="I9" s="14">
        <v>100</v>
      </c>
      <c r="J9" s="14">
        <v>100</v>
      </c>
      <c r="K9" s="15" t="s">
        <v>60</v>
      </c>
      <c r="L9" s="15" t="s">
        <v>59</v>
      </c>
      <c r="M9" s="15" t="s">
        <v>61</v>
      </c>
      <c r="N9" s="17">
        <v>7</v>
      </c>
      <c r="O9" s="17">
        <v>12</v>
      </c>
      <c r="P9" s="16" t="s">
        <v>62</v>
      </c>
      <c r="Q9" s="17" t="s">
        <v>62</v>
      </c>
      <c r="R9" s="17" t="s">
        <v>62</v>
      </c>
      <c r="S9" s="17" t="s">
        <v>62</v>
      </c>
      <c r="T9" s="14">
        <v>19</v>
      </c>
      <c r="U9" s="16">
        <v>15</v>
      </c>
      <c r="V9" s="16">
        <v>11</v>
      </c>
      <c r="W9" s="16">
        <v>15</v>
      </c>
      <c r="X9" s="16" t="s">
        <v>62</v>
      </c>
      <c r="Y9" s="14">
        <v>81</v>
      </c>
      <c r="Z9" s="14">
        <v>59</v>
      </c>
      <c r="AA9" s="14">
        <v>81</v>
      </c>
      <c r="AB9" s="14">
        <v>0</v>
      </c>
      <c r="AC9" s="14">
        <v>2</v>
      </c>
      <c r="AD9" s="14">
        <v>9</v>
      </c>
      <c r="AE9" s="14">
        <v>17</v>
      </c>
      <c r="AF9" s="14">
        <v>12</v>
      </c>
      <c r="AG9" s="16" t="s">
        <v>62</v>
      </c>
      <c r="AH9" s="14">
        <v>48</v>
      </c>
      <c r="AI9" s="14">
        <v>91</v>
      </c>
      <c r="AJ9" s="14">
        <v>65</v>
      </c>
      <c r="AK9" s="14">
        <v>0</v>
      </c>
      <c r="AL9" s="14">
        <v>1</v>
      </c>
      <c r="AM9" s="17">
        <v>15</v>
      </c>
      <c r="AN9" s="17">
        <v>15</v>
      </c>
      <c r="AO9" s="17">
        <v>13</v>
      </c>
      <c r="AP9" s="17">
        <v>14</v>
      </c>
      <c r="AQ9" s="17">
        <v>11</v>
      </c>
      <c r="AR9" s="17">
        <v>9</v>
      </c>
      <c r="AS9" s="17">
        <v>8</v>
      </c>
      <c r="AT9" s="17">
        <v>12</v>
      </c>
      <c r="AU9" s="17">
        <v>15</v>
      </c>
      <c r="AV9" s="17">
        <v>15</v>
      </c>
      <c r="AW9" s="17">
        <v>32</v>
      </c>
      <c r="AX9" s="17">
        <v>12</v>
      </c>
      <c r="AY9" s="17">
        <v>5</v>
      </c>
      <c r="AZ9" s="17">
        <v>5</v>
      </c>
      <c r="BA9" s="17">
        <v>2</v>
      </c>
      <c r="BB9" s="17">
        <v>1</v>
      </c>
      <c r="BC9" s="17">
        <v>0</v>
      </c>
      <c r="BD9" s="17">
        <v>0</v>
      </c>
      <c r="BE9" s="17">
        <v>0</v>
      </c>
      <c r="BF9" s="17">
        <v>2</v>
      </c>
      <c r="BG9" s="17">
        <v>59</v>
      </c>
      <c r="BH9" s="17">
        <v>3.2</v>
      </c>
      <c r="BI9" s="17" t="s">
        <v>65</v>
      </c>
      <c r="BJ9" s="17">
        <v>9</v>
      </c>
      <c r="BK9" s="17">
        <v>17</v>
      </c>
      <c r="BL9" s="17">
        <v>15</v>
      </c>
      <c r="BM9" s="17">
        <v>12</v>
      </c>
      <c r="BN9" s="17">
        <v>17</v>
      </c>
      <c r="BO9" s="17">
        <v>17</v>
      </c>
      <c r="BP9" s="17">
        <v>15</v>
      </c>
      <c r="BQ9" s="17">
        <v>17</v>
      </c>
      <c r="BR9" s="17">
        <v>12</v>
      </c>
      <c r="BS9" s="17">
        <v>10</v>
      </c>
      <c r="BT9" s="17">
        <v>32</v>
      </c>
      <c r="BU9" s="17">
        <v>15</v>
      </c>
      <c r="BV9" s="17">
        <v>7</v>
      </c>
      <c r="BW9" s="17">
        <v>5</v>
      </c>
      <c r="BX9" s="17">
        <v>0</v>
      </c>
      <c r="BY9" s="17">
        <v>2</v>
      </c>
      <c r="BZ9" s="17">
        <v>0</v>
      </c>
      <c r="CA9" s="17">
        <v>2</v>
      </c>
      <c r="CB9" s="17">
        <v>0</v>
      </c>
      <c r="CC9" s="17">
        <v>1</v>
      </c>
      <c r="CD9" s="17">
        <v>64</v>
      </c>
      <c r="CE9" s="17">
        <v>3.4</v>
      </c>
      <c r="CF9" s="17" t="s">
        <v>65</v>
      </c>
      <c r="CG9" s="15" t="s">
        <v>71</v>
      </c>
      <c r="CH9" s="15">
        <v>1.4090000000000001E-3</v>
      </c>
      <c r="CI9" s="14">
        <v>3</v>
      </c>
      <c r="CJ9" s="79">
        <v>1</v>
      </c>
      <c r="CK9" s="79">
        <v>1</v>
      </c>
      <c r="CL9" s="79" t="s">
        <v>224</v>
      </c>
      <c r="CM9" s="79">
        <v>461.94851699999998</v>
      </c>
      <c r="CN9" s="79">
        <v>1</v>
      </c>
      <c r="CO9" s="79">
        <v>1</v>
      </c>
      <c r="CP9" s="79" t="s">
        <v>224</v>
      </c>
      <c r="CQ9" s="79" t="s">
        <v>224</v>
      </c>
      <c r="CR9" s="12" t="str">
        <f>IF(COUNTIF(Incl!A:A,Raw!J9),1, "")</f>
        <v/>
      </c>
    </row>
    <row r="10" spans="1:96" ht="13.5" thickTop="1" thickBot="1" x14ac:dyDescent="0.3">
      <c r="A10" s="18">
        <v>7</v>
      </c>
      <c r="B10" s="19">
        <v>1</v>
      </c>
      <c r="C10" s="20">
        <v>195.744359</v>
      </c>
      <c r="D10" s="19">
        <v>7</v>
      </c>
      <c r="E10" s="19">
        <v>1</v>
      </c>
      <c r="F10" s="19">
        <v>36</v>
      </c>
      <c r="G10" s="21">
        <v>101</v>
      </c>
      <c r="H10" s="19">
        <v>101</v>
      </c>
      <c r="I10" s="19">
        <v>101</v>
      </c>
      <c r="J10" s="19">
        <v>101</v>
      </c>
      <c r="K10" s="20" t="s">
        <v>60</v>
      </c>
      <c r="L10" s="20" t="s">
        <v>72</v>
      </c>
      <c r="M10" s="20" t="s">
        <v>73</v>
      </c>
      <c r="N10" s="22" t="s">
        <v>62</v>
      </c>
      <c r="O10" s="22" t="s">
        <v>62</v>
      </c>
      <c r="P10" s="21">
        <v>5</v>
      </c>
      <c r="Q10" s="22" t="s">
        <v>62</v>
      </c>
      <c r="R10" s="22" t="s">
        <v>62</v>
      </c>
      <c r="S10" s="22" t="s">
        <v>62</v>
      </c>
      <c r="T10" s="19">
        <v>5</v>
      </c>
      <c r="U10" s="21">
        <v>1</v>
      </c>
      <c r="V10" s="21">
        <v>1</v>
      </c>
      <c r="W10" s="21">
        <v>4</v>
      </c>
      <c r="X10" s="21" t="s">
        <v>62</v>
      </c>
      <c r="Y10" s="19">
        <v>20</v>
      </c>
      <c r="Z10" s="19">
        <v>20</v>
      </c>
      <c r="AA10" s="19">
        <v>82</v>
      </c>
      <c r="AB10" s="19">
        <v>0</v>
      </c>
      <c r="AC10" s="19">
        <v>1</v>
      </c>
      <c r="AD10" s="19">
        <v>4</v>
      </c>
      <c r="AE10" s="19">
        <v>2</v>
      </c>
      <c r="AF10" s="19">
        <v>7</v>
      </c>
      <c r="AG10" s="21" t="s">
        <v>62</v>
      </c>
      <c r="AH10" s="19">
        <v>82</v>
      </c>
      <c r="AI10" s="19">
        <v>41</v>
      </c>
      <c r="AJ10" s="19">
        <v>143</v>
      </c>
      <c r="AK10" s="19">
        <v>0</v>
      </c>
      <c r="AL10" s="19">
        <v>2</v>
      </c>
      <c r="AM10" s="22">
        <v>1</v>
      </c>
      <c r="AN10" s="22">
        <v>2</v>
      </c>
      <c r="AO10" s="22">
        <v>2</v>
      </c>
      <c r="AP10" s="22">
        <v>1</v>
      </c>
      <c r="AQ10" s="22">
        <v>1</v>
      </c>
      <c r="AR10" s="22">
        <v>1</v>
      </c>
      <c r="AS10" s="22">
        <v>3</v>
      </c>
      <c r="AT10" s="22">
        <v>5</v>
      </c>
      <c r="AU10" s="22">
        <v>4</v>
      </c>
      <c r="AV10" s="22">
        <v>4</v>
      </c>
      <c r="AW10" s="22">
        <v>8</v>
      </c>
      <c r="AX10" s="22">
        <v>1</v>
      </c>
      <c r="AY10" s="22">
        <v>2</v>
      </c>
      <c r="AZ10" s="22">
        <v>0</v>
      </c>
      <c r="BA10" s="22">
        <v>0</v>
      </c>
      <c r="BB10" s="22">
        <v>0</v>
      </c>
      <c r="BC10" s="22">
        <v>0</v>
      </c>
      <c r="BD10" s="22">
        <v>1</v>
      </c>
      <c r="BE10" s="22">
        <v>0</v>
      </c>
      <c r="BF10" s="22">
        <v>0</v>
      </c>
      <c r="BG10" s="22">
        <v>12</v>
      </c>
      <c r="BH10" s="22">
        <v>2.4</v>
      </c>
      <c r="BI10" s="22" t="s">
        <v>63</v>
      </c>
      <c r="BJ10" s="22">
        <v>4</v>
      </c>
      <c r="BK10" s="22">
        <v>3</v>
      </c>
      <c r="BL10" s="22">
        <v>3</v>
      </c>
      <c r="BM10" s="22">
        <v>2</v>
      </c>
      <c r="BN10" s="22">
        <v>2</v>
      </c>
      <c r="BO10" s="22">
        <v>3</v>
      </c>
      <c r="BP10" s="22">
        <v>3</v>
      </c>
      <c r="BQ10" s="22">
        <v>5</v>
      </c>
      <c r="BR10" s="22">
        <v>7</v>
      </c>
      <c r="BS10" s="22">
        <v>6</v>
      </c>
      <c r="BT10" s="22">
        <v>3</v>
      </c>
      <c r="BU10" s="22">
        <v>7</v>
      </c>
      <c r="BV10" s="22">
        <v>2</v>
      </c>
      <c r="BW10" s="22">
        <v>0</v>
      </c>
      <c r="BX10" s="22">
        <v>1</v>
      </c>
      <c r="BY10" s="22">
        <v>0</v>
      </c>
      <c r="BZ10" s="22">
        <v>0</v>
      </c>
      <c r="CA10" s="22">
        <v>0</v>
      </c>
      <c r="CB10" s="22">
        <v>0</v>
      </c>
      <c r="CC10" s="22">
        <v>1</v>
      </c>
      <c r="CD10" s="22">
        <v>14</v>
      </c>
      <c r="CE10" s="22">
        <v>2.9</v>
      </c>
      <c r="CF10" s="22" t="s">
        <v>63</v>
      </c>
      <c r="CG10" s="20" t="s">
        <v>74</v>
      </c>
      <c r="CH10" s="20">
        <v>5.9599999999999996E-4</v>
      </c>
      <c r="CI10" s="19">
        <v>3</v>
      </c>
      <c r="CJ10" s="78" t="s">
        <v>224</v>
      </c>
      <c r="CK10" s="78" t="s">
        <v>224</v>
      </c>
      <c r="CL10" s="78" t="s">
        <v>224</v>
      </c>
      <c r="CM10" s="78">
        <v>195.744496</v>
      </c>
      <c r="CN10" s="78">
        <v>1</v>
      </c>
      <c r="CO10" s="78">
        <v>1</v>
      </c>
      <c r="CP10" s="78" t="s">
        <v>224</v>
      </c>
      <c r="CQ10" s="78" t="s">
        <v>224</v>
      </c>
      <c r="CR10" s="12" t="str">
        <f>IF(COUNTIF(Incl!A:A,Raw!J10),1, "")</f>
        <v/>
      </c>
    </row>
    <row r="11" spans="1:96" ht="13.5" thickTop="1" thickBot="1" x14ac:dyDescent="0.3">
      <c r="A11" s="18">
        <v>8</v>
      </c>
      <c r="B11" s="19">
        <v>1</v>
      </c>
      <c r="C11" s="20">
        <v>198.95320000000001</v>
      </c>
      <c r="D11" s="19">
        <v>8</v>
      </c>
      <c r="E11" s="19">
        <v>1</v>
      </c>
      <c r="F11" s="19">
        <v>37</v>
      </c>
      <c r="G11" s="21">
        <v>102</v>
      </c>
      <c r="H11" s="19">
        <v>102</v>
      </c>
      <c r="I11" s="19">
        <v>102</v>
      </c>
      <c r="J11" s="19">
        <v>102</v>
      </c>
      <c r="K11" s="20" t="s">
        <v>60</v>
      </c>
      <c r="L11" s="20" t="s">
        <v>75</v>
      </c>
      <c r="M11" s="20" t="s">
        <v>72</v>
      </c>
      <c r="N11" s="22" t="s">
        <v>62</v>
      </c>
      <c r="O11" s="22">
        <v>8</v>
      </c>
      <c r="P11" s="21" t="s">
        <v>62</v>
      </c>
      <c r="Q11" s="22" t="s">
        <v>62</v>
      </c>
      <c r="R11" s="22" t="s">
        <v>62</v>
      </c>
      <c r="S11" s="22" t="s">
        <v>62</v>
      </c>
      <c r="T11" s="19">
        <v>8</v>
      </c>
      <c r="U11" s="21">
        <v>1</v>
      </c>
      <c r="V11" s="21">
        <v>5</v>
      </c>
      <c r="W11" s="21">
        <v>8</v>
      </c>
      <c r="X11" s="21" t="s">
        <v>62</v>
      </c>
      <c r="Y11" s="19">
        <v>12</v>
      </c>
      <c r="Z11" s="19">
        <v>60</v>
      </c>
      <c r="AA11" s="19">
        <v>95</v>
      </c>
      <c r="AB11" s="19">
        <v>0</v>
      </c>
      <c r="AC11" s="19">
        <v>1</v>
      </c>
      <c r="AD11" s="19">
        <v>0</v>
      </c>
      <c r="AE11" s="19">
        <v>1</v>
      </c>
      <c r="AF11" s="19">
        <v>7</v>
      </c>
      <c r="AG11" s="21" t="s">
        <v>62</v>
      </c>
      <c r="AH11" s="19">
        <v>0</v>
      </c>
      <c r="AI11" s="19">
        <v>12</v>
      </c>
      <c r="AJ11" s="19">
        <v>83</v>
      </c>
      <c r="AK11" s="19">
        <v>0</v>
      </c>
      <c r="AL11" s="19">
        <v>1</v>
      </c>
      <c r="AM11" s="22">
        <v>1</v>
      </c>
      <c r="AN11" s="22">
        <v>3</v>
      </c>
      <c r="AO11" s="22">
        <v>5</v>
      </c>
      <c r="AP11" s="22">
        <v>5</v>
      </c>
      <c r="AQ11" s="22">
        <v>5</v>
      </c>
      <c r="AR11" s="22">
        <v>5</v>
      </c>
      <c r="AS11" s="22">
        <v>4</v>
      </c>
      <c r="AT11" s="22">
        <v>6</v>
      </c>
      <c r="AU11" s="22">
        <v>8</v>
      </c>
      <c r="AV11" s="22">
        <v>8</v>
      </c>
      <c r="AW11" s="22">
        <v>6</v>
      </c>
      <c r="AX11" s="22">
        <v>6</v>
      </c>
      <c r="AY11" s="22">
        <v>6</v>
      </c>
      <c r="AZ11" s="22">
        <v>0</v>
      </c>
      <c r="BA11" s="22">
        <v>1</v>
      </c>
      <c r="BB11" s="22">
        <v>0</v>
      </c>
      <c r="BC11" s="22">
        <v>0</v>
      </c>
      <c r="BD11" s="22">
        <v>0</v>
      </c>
      <c r="BE11" s="22">
        <v>1</v>
      </c>
      <c r="BF11" s="22">
        <v>0</v>
      </c>
      <c r="BG11" s="22">
        <v>20</v>
      </c>
      <c r="BH11" s="22">
        <v>2.4</v>
      </c>
      <c r="BI11" s="22" t="s">
        <v>63</v>
      </c>
      <c r="BJ11" s="22">
        <v>0</v>
      </c>
      <c r="BK11" s="22">
        <v>0</v>
      </c>
      <c r="BL11" s="22">
        <v>0</v>
      </c>
      <c r="BM11" s="22">
        <v>0</v>
      </c>
      <c r="BN11" s="22">
        <v>1</v>
      </c>
      <c r="BO11" s="22">
        <v>2</v>
      </c>
      <c r="BP11" s="22">
        <v>1</v>
      </c>
      <c r="BQ11" s="22">
        <v>3</v>
      </c>
      <c r="BR11" s="22">
        <v>7</v>
      </c>
      <c r="BS11" s="22">
        <v>7</v>
      </c>
      <c r="BT11" s="22">
        <v>7</v>
      </c>
      <c r="BU11" s="22">
        <v>4</v>
      </c>
      <c r="BV11" s="22">
        <v>2</v>
      </c>
      <c r="BW11" s="22">
        <v>0</v>
      </c>
      <c r="BX11" s="22">
        <v>0</v>
      </c>
      <c r="BY11" s="22">
        <v>0</v>
      </c>
      <c r="BZ11" s="22">
        <v>0</v>
      </c>
      <c r="CA11" s="22">
        <v>0</v>
      </c>
      <c r="CB11" s="22">
        <v>0</v>
      </c>
      <c r="CC11" s="22">
        <v>0</v>
      </c>
      <c r="CD11" s="22">
        <v>13</v>
      </c>
      <c r="CE11" s="22">
        <v>1.5</v>
      </c>
      <c r="CF11" s="22" t="s">
        <v>68</v>
      </c>
      <c r="CG11" s="20" t="s">
        <v>74</v>
      </c>
      <c r="CH11" s="20">
        <v>6.0899999999999995E-4</v>
      </c>
      <c r="CI11" s="19">
        <v>2</v>
      </c>
      <c r="CJ11" s="78" t="s">
        <v>224</v>
      </c>
      <c r="CK11" s="78" t="s">
        <v>224</v>
      </c>
      <c r="CL11" s="78" t="s">
        <v>224</v>
      </c>
      <c r="CM11" s="78">
        <v>198.953101</v>
      </c>
      <c r="CN11" s="78">
        <v>1</v>
      </c>
      <c r="CO11" s="78">
        <v>1</v>
      </c>
      <c r="CP11" s="78" t="s">
        <v>224</v>
      </c>
      <c r="CQ11" s="78" t="s">
        <v>224</v>
      </c>
      <c r="CR11" s="12" t="str">
        <f>IF(COUNTIF(Incl!A:A,Raw!J11),1, "")</f>
        <v/>
      </c>
    </row>
    <row r="12" spans="1:96" ht="13.5" thickTop="1" thickBot="1" x14ac:dyDescent="0.3">
      <c r="A12" s="13">
        <v>9</v>
      </c>
      <c r="B12" s="14">
        <v>1</v>
      </c>
      <c r="C12" s="15">
        <v>205.77664200000001</v>
      </c>
      <c r="D12" s="14">
        <v>9</v>
      </c>
      <c r="E12" s="14">
        <v>1</v>
      </c>
      <c r="F12" s="14">
        <v>38</v>
      </c>
      <c r="G12" s="16">
        <v>104</v>
      </c>
      <c r="H12" s="14">
        <v>104</v>
      </c>
      <c r="I12" s="14">
        <v>104</v>
      </c>
      <c r="J12" s="14">
        <v>104</v>
      </c>
      <c r="K12" s="15" t="s">
        <v>60</v>
      </c>
      <c r="L12" s="15" t="s">
        <v>76</v>
      </c>
      <c r="M12" s="15" t="s">
        <v>75</v>
      </c>
      <c r="N12" s="17" t="s">
        <v>62</v>
      </c>
      <c r="O12" s="17">
        <v>5</v>
      </c>
      <c r="P12" s="16" t="s">
        <v>62</v>
      </c>
      <c r="Q12" s="17" t="s">
        <v>62</v>
      </c>
      <c r="R12" s="17" t="s">
        <v>62</v>
      </c>
      <c r="S12" s="17" t="s">
        <v>62</v>
      </c>
      <c r="T12" s="14">
        <v>5</v>
      </c>
      <c r="U12" s="16">
        <v>3</v>
      </c>
      <c r="V12" s="16">
        <v>2</v>
      </c>
      <c r="W12" s="16">
        <v>2</v>
      </c>
      <c r="X12" s="16" t="s">
        <v>62</v>
      </c>
      <c r="Y12" s="14">
        <v>59</v>
      </c>
      <c r="Z12" s="14">
        <v>39</v>
      </c>
      <c r="AA12" s="14">
        <v>39</v>
      </c>
      <c r="AB12" s="14">
        <v>0</v>
      </c>
      <c r="AC12" s="14">
        <v>0</v>
      </c>
      <c r="AD12" s="14">
        <v>2</v>
      </c>
      <c r="AE12" s="14">
        <v>2</v>
      </c>
      <c r="AF12" s="14">
        <v>3</v>
      </c>
      <c r="AG12" s="16" t="s">
        <v>62</v>
      </c>
      <c r="AH12" s="14">
        <v>39</v>
      </c>
      <c r="AI12" s="14">
        <v>39</v>
      </c>
      <c r="AJ12" s="14">
        <v>59</v>
      </c>
      <c r="AK12" s="14">
        <v>0</v>
      </c>
      <c r="AL12" s="14">
        <v>0</v>
      </c>
      <c r="AM12" s="17">
        <v>3</v>
      </c>
      <c r="AN12" s="17">
        <v>1</v>
      </c>
      <c r="AO12" s="17">
        <v>1</v>
      </c>
      <c r="AP12" s="17">
        <v>1</v>
      </c>
      <c r="AQ12" s="17">
        <v>2</v>
      </c>
      <c r="AR12" s="17">
        <v>2</v>
      </c>
      <c r="AS12" s="17">
        <v>2</v>
      </c>
      <c r="AT12" s="17">
        <v>2</v>
      </c>
      <c r="AU12" s="17">
        <v>2</v>
      </c>
      <c r="AV12" s="17">
        <v>5</v>
      </c>
      <c r="AW12" s="17">
        <v>6</v>
      </c>
      <c r="AX12" s="17">
        <v>0</v>
      </c>
      <c r="AY12" s="17">
        <v>0</v>
      </c>
      <c r="AZ12" s="17">
        <v>0</v>
      </c>
      <c r="BA12" s="17">
        <v>1</v>
      </c>
      <c r="BB12" s="17">
        <v>0</v>
      </c>
      <c r="BC12" s="17">
        <v>0</v>
      </c>
      <c r="BD12" s="17">
        <v>0</v>
      </c>
      <c r="BE12" s="17">
        <v>0</v>
      </c>
      <c r="BF12" s="17">
        <v>1</v>
      </c>
      <c r="BG12" s="17">
        <v>8</v>
      </c>
      <c r="BH12" s="17">
        <v>1.6</v>
      </c>
      <c r="BI12" s="17" t="s">
        <v>68</v>
      </c>
      <c r="BJ12" s="17">
        <v>2</v>
      </c>
      <c r="BK12" s="17">
        <v>2</v>
      </c>
      <c r="BL12" s="17">
        <v>2</v>
      </c>
      <c r="BM12" s="17">
        <v>2</v>
      </c>
      <c r="BN12" s="17">
        <v>2</v>
      </c>
      <c r="BO12" s="17">
        <v>2</v>
      </c>
      <c r="BP12" s="17">
        <v>3</v>
      </c>
      <c r="BQ12" s="17">
        <v>4</v>
      </c>
      <c r="BR12" s="17">
        <v>3</v>
      </c>
      <c r="BS12" s="17">
        <v>3</v>
      </c>
      <c r="BT12" s="17">
        <v>0</v>
      </c>
      <c r="BU12" s="17">
        <v>1</v>
      </c>
      <c r="BV12" s="17">
        <v>1</v>
      </c>
      <c r="BW12" s="17">
        <v>0</v>
      </c>
      <c r="BX12" s="17">
        <v>0</v>
      </c>
      <c r="BY12" s="17">
        <v>0</v>
      </c>
      <c r="BZ12" s="17">
        <v>0</v>
      </c>
      <c r="CA12" s="17">
        <v>0</v>
      </c>
      <c r="CB12" s="17">
        <v>0</v>
      </c>
      <c r="CC12" s="17">
        <v>2</v>
      </c>
      <c r="CD12" s="17">
        <v>4</v>
      </c>
      <c r="CE12" s="17">
        <v>0.8</v>
      </c>
      <c r="CF12" s="17" t="s">
        <v>77</v>
      </c>
      <c r="CG12" s="15" t="s">
        <v>74</v>
      </c>
      <c r="CH12" s="15">
        <v>6.2299999999999996E-4</v>
      </c>
      <c r="CI12" s="14">
        <v>0</v>
      </c>
      <c r="CJ12" s="79" t="s">
        <v>224</v>
      </c>
      <c r="CK12" s="79" t="s">
        <v>224</v>
      </c>
      <c r="CL12" s="79" t="s">
        <v>224</v>
      </c>
      <c r="CM12" s="79">
        <v>205.77658400000001</v>
      </c>
      <c r="CN12" s="79">
        <v>1</v>
      </c>
      <c r="CO12" s="79">
        <v>1</v>
      </c>
      <c r="CP12" s="79" t="s">
        <v>224</v>
      </c>
      <c r="CQ12" s="79" t="s">
        <v>224</v>
      </c>
      <c r="CR12" s="12" t="str">
        <f>IF(COUNTIF(Incl!A:A,Raw!J12),1, "")</f>
        <v/>
      </c>
    </row>
    <row r="13" spans="1:96" ht="13.5" thickTop="1" thickBot="1" x14ac:dyDescent="0.3">
      <c r="A13" s="18">
        <v>10</v>
      </c>
      <c r="B13" s="19">
        <v>1</v>
      </c>
      <c r="C13" s="20">
        <v>76.880035000000007</v>
      </c>
      <c r="D13" s="19">
        <v>10</v>
      </c>
      <c r="E13" s="19">
        <v>1</v>
      </c>
      <c r="F13" s="19">
        <v>39</v>
      </c>
      <c r="G13" s="21">
        <v>67</v>
      </c>
      <c r="H13" s="19">
        <v>67</v>
      </c>
      <c r="I13" s="19">
        <v>67</v>
      </c>
      <c r="J13" s="19">
        <v>67</v>
      </c>
      <c r="K13" s="20" t="s">
        <v>70</v>
      </c>
      <c r="L13" s="20" t="s">
        <v>61</v>
      </c>
      <c r="M13" s="20" t="s">
        <v>78</v>
      </c>
      <c r="N13" s="22" t="s">
        <v>62</v>
      </c>
      <c r="O13" s="22" t="s">
        <v>62</v>
      </c>
      <c r="P13" s="21">
        <v>4</v>
      </c>
      <c r="Q13" s="22" t="s">
        <v>62</v>
      </c>
      <c r="R13" s="22" t="s">
        <v>62</v>
      </c>
      <c r="S13" s="22" t="s">
        <v>62</v>
      </c>
      <c r="T13" s="19">
        <v>4</v>
      </c>
      <c r="U13" s="21">
        <v>3</v>
      </c>
      <c r="V13" s="21">
        <v>4</v>
      </c>
      <c r="W13" s="21">
        <v>4</v>
      </c>
      <c r="X13" s="21">
        <v>4</v>
      </c>
      <c r="Y13" s="19">
        <v>73</v>
      </c>
      <c r="Z13" s="19">
        <v>98</v>
      </c>
      <c r="AA13" s="19">
        <v>98</v>
      </c>
      <c r="AB13" s="19">
        <v>98</v>
      </c>
      <c r="AC13" s="19">
        <v>3</v>
      </c>
      <c r="AD13" s="19">
        <v>0</v>
      </c>
      <c r="AE13" s="19">
        <v>0</v>
      </c>
      <c r="AF13" s="19">
        <v>0</v>
      </c>
      <c r="AG13" s="21">
        <v>0</v>
      </c>
      <c r="AH13" s="19">
        <v>0</v>
      </c>
      <c r="AI13" s="19">
        <v>0</v>
      </c>
      <c r="AJ13" s="19">
        <v>0</v>
      </c>
      <c r="AK13" s="19">
        <v>0</v>
      </c>
      <c r="AL13" s="19">
        <v>0</v>
      </c>
      <c r="AM13" s="22" t="s">
        <v>62</v>
      </c>
      <c r="AN13" s="22" t="s">
        <v>62</v>
      </c>
      <c r="AO13" s="22" t="s">
        <v>62</v>
      </c>
      <c r="AP13" s="22" t="s">
        <v>62</v>
      </c>
      <c r="AQ13" s="22" t="s">
        <v>62</v>
      </c>
      <c r="AR13" s="22" t="s">
        <v>62</v>
      </c>
      <c r="AS13" s="22" t="s">
        <v>62</v>
      </c>
      <c r="AT13" s="22" t="s">
        <v>62</v>
      </c>
      <c r="AU13" s="22" t="s">
        <v>62</v>
      </c>
      <c r="AV13" s="22" t="s">
        <v>62</v>
      </c>
      <c r="AW13" s="22" t="s">
        <v>62</v>
      </c>
      <c r="AX13" s="22" t="s">
        <v>62</v>
      </c>
      <c r="AY13" s="22" t="s">
        <v>62</v>
      </c>
      <c r="AZ13" s="22" t="s">
        <v>62</v>
      </c>
      <c r="BA13" s="22" t="s">
        <v>62</v>
      </c>
      <c r="BB13" s="22" t="s">
        <v>62</v>
      </c>
      <c r="BC13" s="22" t="s">
        <v>62</v>
      </c>
      <c r="BD13" s="22" t="s">
        <v>62</v>
      </c>
      <c r="BE13" s="22" t="s">
        <v>62</v>
      </c>
      <c r="BF13" s="22" t="s">
        <v>62</v>
      </c>
      <c r="BG13" s="22" t="s">
        <v>62</v>
      </c>
      <c r="BH13" s="22" t="s">
        <v>62</v>
      </c>
      <c r="BI13" s="22" t="s">
        <v>62</v>
      </c>
      <c r="BJ13" s="22" t="s">
        <v>62</v>
      </c>
      <c r="BK13" s="22" t="s">
        <v>62</v>
      </c>
      <c r="BL13" s="22" t="s">
        <v>62</v>
      </c>
      <c r="BM13" s="22" t="s">
        <v>62</v>
      </c>
      <c r="BN13" s="22" t="s">
        <v>62</v>
      </c>
      <c r="BO13" s="22" t="s">
        <v>62</v>
      </c>
      <c r="BP13" s="22" t="s">
        <v>62</v>
      </c>
      <c r="BQ13" s="22" t="s">
        <v>62</v>
      </c>
      <c r="BR13" s="22" t="s">
        <v>62</v>
      </c>
      <c r="BS13" s="22" t="s">
        <v>62</v>
      </c>
      <c r="BT13" s="22" t="s">
        <v>62</v>
      </c>
      <c r="BU13" s="22" t="s">
        <v>62</v>
      </c>
      <c r="BV13" s="22" t="s">
        <v>62</v>
      </c>
      <c r="BW13" s="22" t="s">
        <v>62</v>
      </c>
      <c r="BX13" s="22" t="s">
        <v>62</v>
      </c>
      <c r="BY13" s="22" t="s">
        <v>62</v>
      </c>
      <c r="BZ13" s="22" t="s">
        <v>62</v>
      </c>
      <c r="CA13" s="22" t="s">
        <v>62</v>
      </c>
      <c r="CB13" s="22" t="s">
        <v>62</v>
      </c>
      <c r="CC13" s="22" t="s">
        <v>62</v>
      </c>
      <c r="CD13" s="22" t="s">
        <v>62</v>
      </c>
      <c r="CE13" s="22" t="s">
        <v>62</v>
      </c>
      <c r="CF13" s="22" t="s">
        <v>62</v>
      </c>
      <c r="CG13" s="20" t="s">
        <v>71</v>
      </c>
      <c r="CH13" s="20">
        <v>2.12E-4</v>
      </c>
      <c r="CI13" s="19">
        <v>3</v>
      </c>
      <c r="CJ13" s="78" t="s">
        <v>224</v>
      </c>
      <c r="CK13" s="78" t="s">
        <v>224</v>
      </c>
      <c r="CL13" s="78" t="s">
        <v>224</v>
      </c>
      <c r="CM13" s="78">
        <v>76.880108000000007</v>
      </c>
      <c r="CN13" s="78">
        <v>2</v>
      </c>
      <c r="CO13" s="78">
        <v>0</v>
      </c>
      <c r="CP13" s="78" t="s">
        <v>224</v>
      </c>
      <c r="CQ13" s="78" t="s">
        <v>224</v>
      </c>
      <c r="CR13" s="12" t="str">
        <f>IF(COUNTIF(Incl!A:A,Raw!J13),1, "")</f>
        <v/>
      </c>
    </row>
    <row r="14" spans="1:96" ht="13.5" thickTop="1" thickBot="1" x14ac:dyDescent="0.3">
      <c r="A14" s="13">
        <v>11</v>
      </c>
      <c r="B14" s="14">
        <v>1</v>
      </c>
      <c r="C14" s="15">
        <v>64.002594999999999</v>
      </c>
      <c r="D14" s="14">
        <v>11</v>
      </c>
      <c r="E14" s="14">
        <v>1</v>
      </c>
      <c r="F14" s="14">
        <v>40</v>
      </c>
      <c r="G14" s="16">
        <v>68</v>
      </c>
      <c r="H14" s="14">
        <v>68</v>
      </c>
      <c r="I14" s="14">
        <v>68</v>
      </c>
      <c r="J14" s="14">
        <v>68</v>
      </c>
      <c r="K14" s="15" t="s">
        <v>70</v>
      </c>
      <c r="L14" s="15" t="s">
        <v>78</v>
      </c>
      <c r="M14" s="15" t="s">
        <v>61</v>
      </c>
      <c r="N14" s="17" t="s">
        <v>62</v>
      </c>
      <c r="O14" s="17" t="s">
        <v>62</v>
      </c>
      <c r="P14" s="16" t="s">
        <v>62</v>
      </c>
      <c r="Q14" s="17" t="s">
        <v>62</v>
      </c>
      <c r="R14" s="17" t="s">
        <v>62</v>
      </c>
      <c r="S14" s="17" t="s">
        <v>62</v>
      </c>
      <c r="T14" s="14">
        <v>0</v>
      </c>
      <c r="U14" s="16">
        <v>4</v>
      </c>
      <c r="V14" s="16">
        <v>4</v>
      </c>
      <c r="W14" s="16">
        <v>4</v>
      </c>
      <c r="X14" s="16">
        <v>4</v>
      </c>
      <c r="Y14" s="14">
        <v>0</v>
      </c>
      <c r="Z14" s="14">
        <v>0</v>
      </c>
      <c r="AA14" s="14">
        <v>0</v>
      </c>
      <c r="AB14" s="14">
        <v>0</v>
      </c>
      <c r="AC14" s="14">
        <v>0</v>
      </c>
      <c r="AD14" s="14">
        <v>4</v>
      </c>
      <c r="AE14" s="14">
        <v>4</v>
      </c>
      <c r="AF14" s="14">
        <v>4</v>
      </c>
      <c r="AG14" s="16">
        <v>0</v>
      </c>
      <c r="AH14" s="14">
        <v>0</v>
      </c>
      <c r="AI14" s="14">
        <v>0</v>
      </c>
      <c r="AJ14" s="14">
        <v>0</v>
      </c>
      <c r="AK14" s="14">
        <v>0</v>
      </c>
      <c r="AL14" s="14">
        <v>0</v>
      </c>
      <c r="AM14" s="17" t="s">
        <v>62</v>
      </c>
      <c r="AN14" s="17" t="s">
        <v>62</v>
      </c>
      <c r="AO14" s="17" t="s">
        <v>62</v>
      </c>
      <c r="AP14" s="17" t="s">
        <v>62</v>
      </c>
      <c r="AQ14" s="17" t="s">
        <v>62</v>
      </c>
      <c r="AR14" s="17" t="s">
        <v>62</v>
      </c>
      <c r="AS14" s="17" t="s">
        <v>62</v>
      </c>
      <c r="AT14" s="17" t="s">
        <v>62</v>
      </c>
      <c r="AU14" s="17" t="s">
        <v>62</v>
      </c>
      <c r="AV14" s="17" t="s">
        <v>62</v>
      </c>
      <c r="AW14" s="17" t="s">
        <v>62</v>
      </c>
      <c r="AX14" s="17" t="s">
        <v>62</v>
      </c>
      <c r="AY14" s="17" t="s">
        <v>62</v>
      </c>
      <c r="AZ14" s="17" t="s">
        <v>62</v>
      </c>
      <c r="BA14" s="17" t="s">
        <v>62</v>
      </c>
      <c r="BB14" s="17" t="s">
        <v>62</v>
      </c>
      <c r="BC14" s="17" t="s">
        <v>62</v>
      </c>
      <c r="BD14" s="17" t="s">
        <v>62</v>
      </c>
      <c r="BE14" s="17" t="s">
        <v>62</v>
      </c>
      <c r="BF14" s="17" t="s">
        <v>62</v>
      </c>
      <c r="BG14" s="17" t="s">
        <v>62</v>
      </c>
      <c r="BH14" s="17" t="s">
        <v>62</v>
      </c>
      <c r="BI14" s="17" t="s">
        <v>62</v>
      </c>
      <c r="BJ14" s="17" t="s">
        <v>62</v>
      </c>
      <c r="BK14" s="17" t="s">
        <v>62</v>
      </c>
      <c r="BL14" s="17" t="s">
        <v>62</v>
      </c>
      <c r="BM14" s="17" t="s">
        <v>62</v>
      </c>
      <c r="BN14" s="17" t="s">
        <v>62</v>
      </c>
      <c r="BO14" s="17" t="s">
        <v>62</v>
      </c>
      <c r="BP14" s="17" t="s">
        <v>62</v>
      </c>
      <c r="BQ14" s="17" t="s">
        <v>62</v>
      </c>
      <c r="BR14" s="17" t="s">
        <v>62</v>
      </c>
      <c r="BS14" s="17" t="s">
        <v>62</v>
      </c>
      <c r="BT14" s="17" t="s">
        <v>62</v>
      </c>
      <c r="BU14" s="17" t="s">
        <v>62</v>
      </c>
      <c r="BV14" s="17" t="s">
        <v>62</v>
      </c>
      <c r="BW14" s="17" t="s">
        <v>62</v>
      </c>
      <c r="BX14" s="17" t="s">
        <v>62</v>
      </c>
      <c r="BY14" s="17" t="s">
        <v>62</v>
      </c>
      <c r="BZ14" s="17" t="s">
        <v>62</v>
      </c>
      <c r="CA14" s="17" t="s">
        <v>62</v>
      </c>
      <c r="CB14" s="17" t="s">
        <v>62</v>
      </c>
      <c r="CC14" s="17" t="s">
        <v>62</v>
      </c>
      <c r="CD14" s="17" t="s">
        <v>62</v>
      </c>
      <c r="CE14" s="17" t="s">
        <v>62</v>
      </c>
      <c r="CF14" s="17" t="s">
        <v>62</v>
      </c>
      <c r="CG14" s="15" t="s">
        <v>74</v>
      </c>
      <c r="CH14" s="15">
        <v>1.7699999999999999E-4</v>
      </c>
      <c r="CI14" s="14">
        <v>0</v>
      </c>
      <c r="CJ14" s="79" t="s">
        <v>224</v>
      </c>
      <c r="CK14" s="79" t="s">
        <v>224</v>
      </c>
      <c r="CL14" s="79" t="s">
        <v>224</v>
      </c>
      <c r="CM14" s="79">
        <v>64.002649000000005</v>
      </c>
      <c r="CN14" s="79">
        <v>2</v>
      </c>
      <c r="CO14" s="79">
        <v>0</v>
      </c>
      <c r="CP14" s="79" t="s">
        <v>224</v>
      </c>
      <c r="CQ14" s="79" t="s">
        <v>224</v>
      </c>
      <c r="CR14" s="12" t="str">
        <f>IF(COUNTIF(Incl!A:A,Raw!J14),1, "")</f>
        <v/>
      </c>
    </row>
    <row r="15" spans="1:96" ht="13.5" thickTop="1" thickBot="1" x14ac:dyDescent="0.3">
      <c r="A15" s="13">
        <v>12</v>
      </c>
      <c r="B15" s="14">
        <v>1</v>
      </c>
      <c r="C15" s="15">
        <v>575.68185500000004</v>
      </c>
      <c r="D15" s="14">
        <v>12</v>
      </c>
      <c r="E15" s="14">
        <v>1</v>
      </c>
      <c r="F15" s="14">
        <v>41</v>
      </c>
      <c r="G15" s="16">
        <v>69</v>
      </c>
      <c r="H15" s="14">
        <v>69</v>
      </c>
      <c r="I15" s="14">
        <v>69</v>
      </c>
      <c r="J15" s="14">
        <v>69</v>
      </c>
      <c r="K15" s="15" t="s">
        <v>70</v>
      </c>
      <c r="L15" s="15" t="s">
        <v>78</v>
      </c>
      <c r="M15" s="15" t="s">
        <v>79</v>
      </c>
      <c r="N15" s="17" t="s">
        <v>62</v>
      </c>
      <c r="O15" s="17" t="s">
        <v>62</v>
      </c>
      <c r="P15" s="16">
        <v>19</v>
      </c>
      <c r="Q15" s="17" t="s">
        <v>62</v>
      </c>
      <c r="R15" s="17" t="s">
        <v>62</v>
      </c>
      <c r="S15" s="17" t="s">
        <v>62</v>
      </c>
      <c r="T15" s="14">
        <v>19</v>
      </c>
      <c r="U15" s="16">
        <v>12</v>
      </c>
      <c r="V15" s="16">
        <v>12</v>
      </c>
      <c r="W15" s="16">
        <v>12</v>
      </c>
      <c r="X15" s="16">
        <v>13</v>
      </c>
      <c r="Y15" s="14">
        <v>63</v>
      </c>
      <c r="Z15" s="14">
        <v>63</v>
      </c>
      <c r="AA15" s="14">
        <v>63</v>
      </c>
      <c r="AB15" s="14">
        <v>68</v>
      </c>
      <c r="AC15" s="14">
        <v>0</v>
      </c>
      <c r="AD15" s="14">
        <v>12</v>
      </c>
      <c r="AE15" s="14">
        <v>11</v>
      </c>
      <c r="AF15" s="14">
        <v>10</v>
      </c>
      <c r="AG15" s="16">
        <v>10</v>
      </c>
      <c r="AH15" s="14">
        <v>63</v>
      </c>
      <c r="AI15" s="14">
        <v>58</v>
      </c>
      <c r="AJ15" s="14">
        <v>52</v>
      </c>
      <c r="AK15" s="14">
        <v>52</v>
      </c>
      <c r="AL15" s="14">
        <v>0</v>
      </c>
      <c r="AM15" s="17" t="s">
        <v>62</v>
      </c>
      <c r="AN15" s="17" t="s">
        <v>62</v>
      </c>
      <c r="AO15" s="17" t="s">
        <v>62</v>
      </c>
      <c r="AP15" s="17" t="s">
        <v>62</v>
      </c>
      <c r="AQ15" s="17" t="s">
        <v>62</v>
      </c>
      <c r="AR15" s="17" t="s">
        <v>62</v>
      </c>
      <c r="AS15" s="17" t="s">
        <v>62</v>
      </c>
      <c r="AT15" s="17" t="s">
        <v>62</v>
      </c>
      <c r="AU15" s="17" t="s">
        <v>62</v>
      </c>
      <c r="AV15" s="17" t="s">
        <v>62</v>
      </c>
      <c r="AW15" s="17" t="s">
        <v>62</v>
      </c>
      <c r="AX15" s="17" t="s">
        <v>62</v>
      </c>
      <c r="AY15" s="17" t="s">
        <v>62</v>
      </c>
      <c r="AZ15" s="17" t="s">
        <v>62</v>
      </c>
      <c r="BA15" s="17" t="s">
        <v>62</v>
      </c>
      <c r="BB15" s="17" t="s">
        <v>62</v>
      </c>
      <c r="BC15" s="17" t="s">
        <v>62</v>
      </c>
      <c r="BD15" s="17" t="s">
        <v>62</v>
      </c>
      <c r="BE15" s="17" t="s">
        <v>62</v>
      </c>
      <c r="BF15" s="17" t="s">
        <v>62</v>
      </c>
      <c r="BG15" s="17" t="s">
        <v>62</v>
      </c>
      <c r="BH15" s="17" t="s">
        <v>62</v>
      </c>
      <c r="BI15" s="17" t="s">
        <v>62</v>
      </c>
      <c r="BJ15" s="17" t="s">
        <v>62</v>
      </c>
      <c r="BK15" s="17" t="s">
        <v>62</v>
      </c>
      <c r="BL15" s="17" t="s">
        <v>62</v>
      </c>
      <c r="BM15" s="17" t="s">
        <v>62</v>
      </c>
      <c r="BN15" s="17" t="s">
        <v>62</v>
      </c>
      <c r="BO15" s="17" t="s">
        <v>62</v>
      </c>
      <c r="BP15" s="17" t="s">
        <v>62</v>
      </c>
      <c r="BQ15" s="17" t="s">
        <v>62</v>
      </c>
      <c r="BR15" s="17" t="s">
        <v>62</v>
      </c>
      <c r="BS15" s="17" t="s">
        <v>62</v>
      </c>
      <c r="BT15" s="17" t="s">
        <v>62</v>
      </c>
      <c r="BU15" s="17" t="s">
        <v>62</v>
      </c>
      <c r="BV15" s="17" t="s">
        <v>62</v>
      </c>
      <c r="BW15" s="17" t="s">
        <v>62</v>
      </c>
      <c r="BX15" s="17" t="s">
        <v>62</v>
      </c>
      <c r="BY15" s="17" t="s">
        <v>62</v>
      </c>
      <c r="BZ15" s="17" t="s">
        <v>62</v>
      </c>
      <c r="CA15" s="17" t="s">
        <v>62</v>
      </c>
      <c r="CB15" s="17" t="s">
        <v>62</v>
      </c>
      <c r="CC15" s="17" t="s">
        <v>62</v>
      </c>
      <c r="CD15" s="17" t="s">
        <v>62</v>
      </c>
      <c r="CE15" s="17" t="s">
        <v>62</v>
      </c>
      <c r="CF15" s="17" t="s">
        <v>62</v>
      </c>
      <c r="CG15" s="15" t="s">
        <v>71</v>
      </c>
      <c r="CH15" s="15">
        <v>1.7470000000000001E-3</v>
      </c>
      <c r="CI15" s="14">
        <v>0</v>
      </c>
      <c r="CJ15" s="79" t="s">
        <v>224</v>
      </c>
      <c r="CK15" s="79" t="s">
        <v>224</v>
      </c>
      <c r="CL15" s="79" t="s">
        <v>224</v>
      </c>
      <c r="CM15" s="79">
        <v>575.68192899999997</v>
      </c>
      <c r="CN15" s="79">
        <v>2</v>
      </c>
      <c r="CO15" s="79" t="s">
        <v>224</v>
      </c>
      <c r="CP15" s="79" t="s">
        <v>224</v>
      </c>
      <c r="CQ15" s="79" t="s">
        <v>224</v>
      </c>
      <c r="CR15" s="12" t="str">
        <f>IF(COUNTIF(Incl!A:A,Raw!J15),1, "")</f>
        <v/>
      </c>
    </row>
    <row r="16" spans="1:96" ht="13.5" thickTop="1" thickBot="1" x14ac:dyDescent="0.3">
      <c r="A16" s="13">
        <v>13</v>
      </c>
      <c r="B16" s="14">
        <v>1</v>
      </c>
      <c r="C16" s="15">
        <v>568.53622700000005</v>
      </c>
      <c r="D16" s="14">
        <v>13</v>
      </c>
      <c r="E16" s="14">
        <v>2</v>
      </c>
      <c r="F16" s="14">
        <v>42</v>
      </c>
      <c r="G16" s="16">
        <v>70</v>
      </c>
      <c r="H16" s="14">
        <v>70</v>
      </c>
      <c r="I16" s="14">
        <v>70</v>
      </c>
      <c r="J16" s="14">
        <v>70</v>
      </c>
      <c r="K16" s="15" t="s">
        <v>70</v>
      </c>
      <c r="L16" s="15" t="s">
        <v>79</v>
      </c>
      <c r="M16" s="15" t="s">
        <v>78</v>
      </c>
      <c r="N16" s="17" t="s">
        <v>62</v>
      </c>
      <c r="O16" s="17" t="s">
        <v>62</v>
      </c>
      <c r="P16" s="16">
        <v>25</v>
      </c>
      <c r="Q16" s="17" t="s">
        <v>62</v>
      </c>
      <c r="R16" s="17" t="s">
        <v>62</v>
      </c>
      <c r="S16" s="17" t="s">
        <v>62</v>
      </c>
      <c r="T16" s="14">
        <v>25</v>
      </c>
      <c r="U16" s="16">
        <v>17</v>
      </c>
      <c r="V16" s="16">
        <v>16</v>
      </c>
      <c r="W16" s="16">
        <v>15</v>
      </c>
      <c r="X16" s="16">
        <v>19</v>
      </c>
      <c r="Y16" s="14">
        <v>67</v>
      </c>
      <c r="Z16" s="14">
        <v>63</v>
      </c>
      <c r="AA16" s="14">
        <v>59</v>
      </c>
      <c r="AB16" s="14">
        <v>75</v>
      </c>
      <c r="AC16" s="14">
        <v>1</v>
      </c>
      <c r="AD16" s="14">
        <v>11</v>
      </c>
      <c r="AE16" s="14">
        <v>11</v>
      </c>
      <c r="AF16" s="14">
        <v>12</v>
      </c>
      <c r="AG16" s="16">
        <v>8</v>
      </c>
      <c r="AH16" s="14">
        <v>43</v>
      </c>
      <c r="AI16" s="14">
        <v>43</v>
      </c>
      <c r="AJ16" s="14">
        <v>47</v>
      </c>
      <c r="AK16" s="14">
        <v>31</v>
      </c>
      <c r="AL16" s="14">
        <v>0</v>
      </c>
      <c r="AM16" s="17" t="s">
        <v>62</v>
      </c>
      <c r="AN16" s="17" t="s">
        <v>62</v>
      </c>
      <c r="AO16" s="17" t="s">
        <v>62</v>
      </c>
      <c r="AP16" s="17" t="s">
        <v>62</v>
      </c>
      <c r="AQ16" s="17" t="s">
        <v>62</v>
      </c>
      <c r="AR16" s="17" t="s">
        <v>62</v>
      </c>
      <c r="AS16" s="17" t="s">
        <v>62</v>
      </c>
      <c r="AT16" s="17" t="s">
        <v>62</v>
      </c>
      <c r="AU16" s="17" t="s">
        <v>62</v>
      </c>
      <c r="AV16" s="17" t="s">
        <v>62</v>
      </c>
      <c r="AW16" s="17" t="s">
        <v>62</v>
      </c>
      <c r="AX16" s="17" t="s">
        <v>62</v>
      </c>
      <c r="AY16" s="17" t="s">
        <v>62</v>
      </c>
      <c r="AZ16" s="17" t="s">
        <v>62</v>
      </c>
      <c r="BA16" s="17" t="s">
        <v>62</v>
      </c>
      <c r="BB16" s="17" t="s">
        <v>62</v>
      </c>
      <c r="BC16" s="17" t="s">
        <v>62</v>
      </c>
      <c r="BD16" s="17" t="s">
        <v>62</v>
      </c>
      <c r="BE16" s="17" t="s">
        <v>62</v>
      </c>
      <c r="BF16" s="17" t="s">
        <v>62</v>
      </c>
      <c r="BG16" s="17" t="s">
        <v>62</v>
      </c>
      <c r="BH16" s="17" t="s">
        <v>62</v>
      </c>
      <c r="BI16" s="17" t="s">
        <v>62</v>
      </c>
      <c r="BJ16" s="17" t="s">
        <v>62</v>
      </c>
      <c r="BK16" s="17" t="s">
        <v>62</v>
      </c>
      <c r="BL16" s="17" t="s">
        <v>62</v>
      </c>
      <c r="BM16" s="17" t="s">
        <v>62</v>
      </c>
      <c r="BN16" s="17" t="s">
        <v>62</v>
      </c>
      <c r="BO16" s="17" t="s">
        <v>62</v>
      </c>
      <c r="BP16" s="17" t="s">
        <v>62</v>
      </c>
      <c r="BQ16" s="17" t="s">
        <v>62</v>
      </c>
      <c r="BR16" s="17" t="s">
        <v>62</v>
      </c>
      <c r="BS16" s="17" t="s">
        <v>62</v>
      </c>
      <c r="BT16" s="17" t="s">
        <v>62</v>
      </c>
      <c r="BU16" s="17" t="s">
        <v>62</v>
      </c>
      <c r="BV16" s="17" t="s">
        <v>62</v>
      </c>
      <c r="BW16" s="17" t="s">
        <v>62</v>
      </c>
      <c r="BX16" s="17" t="s">
        <v>62</v>
      </c>
      <c r="BY16" s="17" t="s">
        <v>62</v>
      </c>
      <c r="BZ16" s="17" t="s">
        <v>62</v>
      </c>
      <c r="CA16" s="17" t="s">
        <v>62</v>
      </c>
      <c r="CB16" s="17" t="s">
        <v>62</v>
      </c>
      <c r="CC16" s="17" t="s">
        <v>62</v>
      </c>
      <c r="CD16" s="17" t="s">
        <v>62</v>
      </c>
      <c r="CE16" s="17" t="s">
        <v>62</v>
      </c>
      <c r="CF16" s="17" t="s">
        <v>62</v>
      </c>
      <c r="CG16" s="15" t="s">
        <v>74</v>
      </c>
      <c r="CH16" s="15">
        <v>1.7309999999999999E-3</v>
      </c>
      <c r="CI16" s="14">
        <v>1</v>
      </c>
      <c r="CJ16" s="79" t="s">
        <v>224</v>
      </c>
      <c r="CK16" s="79" t="s">
        <v>224</v>
      </c>
      <c r="CL16" s="79" t="s">
        <v>224</v>
      </c>
      <c r="CM16" s="79">
        <v>568.53628400000002</v>
      </c>
      <c r="CN16" s="79">
        <v>2</v>
      </c>
      <c r="CO16" s="79" t="s">
        <v>224</v>
      </c>
      <c r="CP16" s="79" t="s">
        <v>224</v>
      </c>
      <c r="CQ16" s="79" t="s">
        <v>224</v>
      </c>
      <c r="CR16" s="12" t="str">
        <f>IF(COUNTIF(Incl!A:A,Raw!J16),1, "")</f>
        <v/>
      </c>
    </row>
    <row r="17" spans="1:96" ht="13.5" thickTop="1" thickBot="1" x14ac:dyDescent="0.3">
      <c r="A17" s="13">
        <v>14</v>
      </c>
      <c r="B17" s="14">
        <v>1</v>
      </c>
      <c r="C17" s="15">
        <v>688.26172599999995</v>
      </c>
      <c r="D17" s="14">
        <v>14</v>
      </c>
      <c r="E17" s="14">
        <v>4</v>
      </c>
      <c r="F17" s="14">
        <v>43</v>
      </c>
      <c r="G17" s="16">
        <v>99</v>
      </c>
      <c r="H17" s="14">
        <v>99</v>
      </c>
      <c r="I17" s="14">
        <v>99</v>
      </c>
      <c r="J17" s="14">
        <v>99</v>
      </c>
      <c r="K17" s="15" t="s">
        <v>78</v>
      </c>
      <c r="L17" s="15" t="s">
        <v>79</v>
      </c>
      <c r="M17" s="15" t="s">
        <v>70</v>
      </c>
      <c r="N17" s="17" t="s">
        <v>62</v>
      </c>
      <c r="O17" s="17" t="s">
        <v>62</v>
      </c>
      <c r="P17" s="16" t="s">
        <v>62</v>
      </c>
      <c r="Q17" s="17" t="s">
        <v>62</v>
      </c>
      <c r="R17" s="17" t="s">
        <v>62</v>
      </c>
      <c r="S17" s="17" t="s">
        <v>62</v>
      </c>
      <c r="T17" s="14">
        <v>0</v>
      </c>
      <c r="U17" s="16" t="s">
        <v>62</v>
      </c>
      <c r="V17" s="16" t="s">
        <v>62</v>
      </c>
      <c r="W17" s="16" t="s">
        <v>62</v>
      </c>
      <c r="X17" s="16" t="s">
        <v>62</v>
      </c>
      <c r="Y17" s="14">
        <v>0</v>
      </c>
      <c r="Z17" s="14">
        <v>0</v>
      </c>
      <c r="AA17" s="14">
        <v>0</v>
      </c>
      <c r="AB17" s="14">
        <v>0</v>
      </c>
      <c r="AC17" s="14">
        <v>0</v>
      </c>
      <c r="AD17" s="14">
        <v>0</v>
      </c>
      <c r="AE17" s="14">
        <v>0</v>
      </c>
      <c r="AF17" s="14">
        <v>0</v>
      </c>
      <c r="AG17" s="16">
        <v>0</v>
      </c>
      <c r="AH17" s="14">
        <v>0</v>
      </c>
      <c r="AI17" s="14">
        <v>0</v>
      </c>
      <c r="AJ17" s="14">
        <v>0</v>
      </c>
      <c r="AK17" s="14">
        <v>0</v>
      </c>
      <c r="AL17" s="14">
        <v>0</v>
      </c>
      <c r="AM17" s="17" t="s">
        <v>62</v>
      </c>
      <c r="AN17" s="17" t="s">
        <v>62</v>
      </c>
      <c r="AO17" s="17" t="s">
        <v>62</v>
      </c>
      <c r="AP17" s="17" t="s">
        <v>62</v>
      </c>
      <c r="AQ17" s="17" t="s">
        <v>62</v>
      </c>
      <c r="AR17" s="17" t="s">
        <v>62</v>
      </c>
      <c r="AS17" s="17" t="s">
        <v>62</v>
      </c>
      <c r="AT17" s="17" t="s">
        <v>62</v>
      </c>
      <c r="AU17" s="17" t="s">
        <v>62</v>
      </c>
      <c r="AV17" s="17" t="s">
        <v>62</v>
      </c>
      <c r="AW17" s="17" t="s">
        <v>62</v>
      </c>
      <c r="AX17" s="17" t="s">
        <v>62</v>
      </c>
      <c r="AY17" s="17" t="s">
        <v>62</v>
      </c>
      <c r="AZ17" s="17" t="s">
        <v>62</v>
      </c>
      <c r="BA17" s="17" t="s">
        <v>62</v>
      </c>
      <c r="BB17" s="17" t="s">
        <v>62</v>
      </c>
      <c r="BC17" s="17" t="s">
        <v>62</v>
      </c>
      <c r="BD17" s="17" t="s">
        <v>62</v>
      </c>
      <c r="BE17" s="17" t="s">
        <v>62</v>
      </c>
      <c r="BF17" s="17" t="s">
        <v>62</v>
      </c>
      <c r="BG17" s="17" t="s">
        <v>62</v>
      </c>
      <c r="BH17" s="17" t="s">
        <v>62</v>
      </c>
      <c r="BI17" s="17" t="s">
        <v>62</v>
      </c>
      <c r="BJ17" s="17" t="s">
        <v>62</v>
      </c>
      <c r="BK17" s="17" t="s">
        <v>62</v>
      </c>
      <c r="BL17" s="17" t="s">
        <v>62</v>
      </c>
      <c r="BM17" s="17" t="s">
        <v>62</v>
      </c>
      <c r="BN17" s="17" t="s">
        <v>62</v>
      </c>
      <c r="BO17" s="17" t="s">
        <v>62</v>
      </c>
      <c r="BP17" s="17" t="s">
        <v>62</v>
      </c>
      <c r="BQ17" s="17" t="s">
        <v>62</v>
      </c>
      <c r="BR17" s="17" t="s">
        <v>62</v>
      </c>
      <c r="BS17" s="17" t="s">
        <v>62</v>
      </c>
      <c r="BT17" s="17" t="s">
        <v>62</v>
      </c>
      <c r="BU17" s="17" t="s">
        <v>62</v>
      </c>
      <c r="BV17" s="17" t="s">
        <v>62</v>
      </c>
      <c r="BW17" s="17" t="s">
        <v>62</v>
      </c>
      <c r="BX17" s="17" t="s">
        <v>62</v>
      </c>
      <c r="BY17" s="17" t="s">
        <v>62</v>
      </c>
      <c r="BZ17" s="17" t="s">
        <v>62</v>
      </c>
      <c r="CA17" s="17" t="s">
        <v>62</v>
      </c>
      <c r="CB17" s="17" t="s">
        <v>62</v>
      </c>
      <c r="CC17" s="17" t="s">
        <v>62</v>
      </c>
      <c r="CD17" s="17" t="s">
        <v>62</v>
      </c>
      <c r="CE17" s="17" t="s">
        <v>62</v>
      </c>
      <c r="CF17" s="17" t="s">
        <v>62</v>
      </c>
      <c r="CG17" s="15" t="s">
        <v>74</v>
      </c>
      <c r="CH17" s="15">
        <v>2.1480000000000002E-3</v>
      </c>
      <c r="CI17" s="14">
        <v>0</v>
      </c>
      <c r="CJ17" s="79" t="s">
        <v>224</v>
      </c>
      <c r="CK17" s="79" t="s">
        <v>224</v>
      </c>
      <c r="CL17" s="79" t="s">
        <v>224</v>
      </c>
      <c r="CM17" s="79">
        <v>688.26192100000003</v>
      </c>
      <c r="CN17" s="79">
        <v>2</v>
      </c>
      <c r="CO17" s="79" t="s">
        <v>224</v>
      </c>
      <c r="CP17" s="79" t="s">
        <v>224</v>
      </c>
      <c r="CQ17" s="79" t="s">
        <v>224</v>
      </c>
      <c r="CR17" s="12" t="str">
        <f>IF(COUNTIF(Incl!A:A,Raw!J17),1, "")</f>
        <v/>
      </c>
    </row>
    <row r="18" spans="1:96" ht="13.5" thickTop="1" thickBot="1" x14ac:dyDescent="0.3">
      <c r="A18" s="18">
        <v>15</v>
      </c>
      <c r="B18" s="19">
        <v>1</v>
      </c>
      <c r="C18" s="20">
        <v>577.41561100000001</v>
      </c>
      <c r="D18" s="19">
        <v>15</v>
      </c>
      <c r="E18" s="19">
        <v>3</v>
      </c>
      <c r="F18" s="19">
        <v>44</v>
      </c>
      <c r="G18" s="21">
        <v>98</v>
      </c>
      <c r="H18" s="19">
        <v>98</v>
      </c>
      <c r="I18" s="19">
        <v>98</v>
      </c>
      <c r="J18" s="19">
        <v>98</v>
      </c>
      <c r="K18" s="20" t="s">
        <v>78</v>
      </c>
      <c r="L18" s="20" t="s">
        <v>70</v>
      </c>
      <c r="M18" s="20" t="s">
        <v>79</v>
      </c>
      <c r="N18" s="22" t="s">
        <v>62</v>
      </c>
      <c r="O18" s="22" t="s">
        <v>62</v>
      </c>
      <c r="P18" s="21" t="s">
        <v>62</v>
      </c>
      <c r="Q18" s="22" t="s">
        <v>62</v>
      </c>
      <c r="R18" s="22" t="s">
        <v>62</v>
      </c>
      <c r="S18" s="22" t="s">
        <v>62</v>
      </c>
      <c r="T18" s="19">
        <v>0</v>
      </c>
      <c r="U18" s="21" t="s">
        <v>62</v>
      </c>
      <c r="V18" s="21" t="s">
        <v>62</v>
      </c>
      <c r="W18" s="21" t="s">
        <v>62</v>
      </c>
      <c r="X18" s="21" t="s">
        <v>62</v>
      </c>
      <c r="Y18" s="19">
        <v>0</v>
      </c>
      <c r="Z18" s="19">
        <v>0</v>
      </c>
      <c r="AA18" s="19">
        <v>0</v>
      </c>
      <c r="AB18" s="19">
        <v>0</v>
      </c>
      <c r="AC18" s="19">
        <v>0</v>
      </c>
      <c r="AD18" s="19">
        <v>0</v>
      </c>
      <c r="AE18" s="19">
        <v>0</v>
      </c>
      <c r="AF18" s="19">
        <v>0</v>
      </c>
      <c r="AG18" s="21">
        <v>0</v>
      </c>
      <c r="AH18" s="19">
        <v>0</v>
      </c>
      <c r="AI18" s="19">
        <v>0</v>
      </c>
      <c r="AJ18" s="19">
        <v>0</v>
      </c>
      <c r="AK18" s="19">
        <v>0</v>
      </c>
      <c r="AL18" s="19">
        <v>0</v>
      </c>
      <c r="AM18" s="22" t="s">
        <v>62</v>
      </c>
      <c r="AN18" s="22" t="s">
        <v>62</v>
      </c>
      <c r="AO18" s="22" t="s">
        <v>62</v>
      </c>
      <c r="AP18" s="22" t="s">
        <v>62</v>
      </c>
      <c r="AQ18" s="22" t="s">
        <v>62</v>
      </c>
      <c r="AR18" s="22" t="s">
        <v>62</v>
      </c>
      <c r="AS18" s="22" t="s">
        <v>62</v>
      </c>
      <c r="AT18" s="22" t="s">
        <v>62</v>
      </c>
      <c r="AU18" s="22" t="s">
        <v>62</v>
      </c>
      <c r="AV18" s="22" t="s">
        <v>62</v>
      </c>
      <c r="AW18" s="22" t="s">
        <v>62</v>
      </c>
      <c r="AX18" s="22" t="s">
        <v>62</v>
      </c>
      <c r="AY18" s="22" t="s">
        <v>62</v>
      </c>
      <c r="AZ18" s="22" t="s">
        <v>62</v>
      </c>
      <c r="BA18" s="22" t="s">
        <v>62</v>
      </c>
      <c r="BB18" s="22" t="s">
        <v>62</v>
      </c>
      <c r="BC18" s="22" t="s">
        <v>62</v>
      </c>
      <c r="BD18" s="22" t="s">
        <v>62</v>
      </c>
      <c r="BE18" s="22" t="s">
        <v>62</v>
      </c>
      <c r="BF18" s="22" t="s">
        <v>62</v>
      </c>
      <c r="BG18" s="22" t="s">
        <v>62</v>
      </c>
      <c r="BH18" s="22" t="s">
        <v>62</v>
      </c>
      <c r="BI18" s="22" t="s">
        <v>62</v>
      </c>
      <c r="BJ18" s="22" t="s">
        <v>62</v>
      </c>
      <c r="BK18" s="22" t="s">
        <v>62</v>
      </c>
      <c r="BL18" s="22" t="s">
        <v>62</v>
      </c>
      <c r="BM18" s="22" t="s">
        <v>62</v>
      </c>
      <c r="BN18" s="22" t="s">
        <v>62</v>
      </c>
      <c r="BO18" s="22" t="s">
        <v>62</v>
      </c>
      <c r="BP18" s="22" t="s">
        <v>62</v>
      </c>
      <c r="BQ18" s="22" t="s">
        <v>62</v>
      </c>
      <c r="BR18" s="22" t="s">
        <v>62</v>
      </c>
      <c r="BS18" s="22" t="s">
        <v>62</v>
      </c>
      <c r="BT18" s="22" t="s">
        <v>62</v>
      </c>
      <c r="BU18" s="22" t="s">
        <v>62</v>
      </c>
      <c r="BV18" s="22" t="s">
        <v>62</v>
      </c>
      <c r="BW18" s="22" t="s">
        <v>62</v>
      </c>
      <c r="BX18" s="22" t="s">
        <v>62</v>
      </c>
      <c r="BY18" s="22" t="s">
        <v>62</v>
      </c>
      <c r="BZ18" s="22" t="s">
        <v>62</v>
      </c>
      <c r="CA18" s="22" t="s">
        <v>62</v>
      </c>
      <c r="CB18" s="22" t="s">
        <v>62</v>
      </c>
      <c r="CC18" s="22" t="s">
        <v>62</v>
      </c>
      <c r="CD18" s="22" t="s">
        <v>62</v>
      </c>
      <c r="CE18" s="22" t="s">
        <v>62</v>
      </c>
      <c r="CF18" s="22" t="s">
        <v>62</v>
      </c>
      <c r="CG18" s="20" t="s">
        <v>71</v>
      </c>
      <c r="CH18" s="20">
        <v>1.7899999999999999E-3</v>
      </c>
      <c r="CI18" s="19">
        <v>0</v>
      </c>
      <c r="CJ18" s="78" t="s">
        <v>224</v>
      </c>
      <c r="CK18" s="78" t="s">
        <v>224</v>
      </c>
      <c r="CL18" s="78" t="s">
        <v>224</v>
      </c>
      <c r="CM18" s="78">
        <v>577.41566899999998</v>
      </c>
      <c r="CN18" s="78">
        <v>2</v>
      </c>
      <c r="CO18" s="78" t="s">
        <v>224</v>
      </c>
      <c r="CP18" s="78" t="s">
        <v>224</v>
      </c>
      <c r="CQ18" s="78" t="s">
        <v>224</v>
      </c>
      <c r="CR18" s="12" t="str">
        <f>IF(COUNTIF(Incl!A:A,Raw!J18),1, "")</f>
        <v/>
      </c>
    </row>
    <row r="19" spans="1:96" ht="13.5" thickTop="1" thickBot="1" x14ac:dyDescent="0.3">
      <c r="A19" s="13">
        <v>16</v>
      </c>
      <c r="B19" s="14">
        <v>1</v>
      </c>
      <c r="C19" s="15">
        <v>564.70664099999999</v>
      </c>
      <c r="D19" s="14">
        <v>16</v>
      </c>
      <c r="E19" s="14">
        <v>2</v>
      </c>
      <c r="F19" s="14">
        <v>45</v>
      </c>
      <c r="G19" s="16">
        <v>103</v>
      </c>
      <c r="H19" s="14">
        <v>103</v>
      </c>
      <c r="I19" s="14">
        <v>103</v>
      </c>
      <c r="J19" s="14">
        <v>103</v>
      </c>
      <c r="K19" s="15" t="s">
        <v>60</v>
      </c>
      <c r="L19" s="15" t="s">
        <v>61</v>
      </c>
      <c r="M19" s="15" t="s">
        <v>79</v>
      </c>
      <c r="N19" s="17">
        <v>1</v>
      </c>
      <c r="O19" s="17">
        <v>14</v>
      </c>
      <c r="P19" s="16" t="s">
        <v>62</v>
      </c>
      <c r="Q19" s="17" t="s">
        <v>62</v>
      </c>
      <c r="R19" s="17" t="s">
        <v>62</v>
      </c>
      <c r="S19" s="17" t="s">
        <v>62</v>
      </c>
      <c r="T19" s="14">
        <v>15</v>
      </c>
      <c r="U19" s="16">
        <v>7</v>
      </c>
      <c r="V19" s="16">
        <v>8</v>
      </c>
      <c r="W19" s="16">
        <v>7</v>
      </c>
      <c r="X19" s="16" t="s">
        <v>62</v>
      </c>
      <c r="Y19" s="14">
        <v>47</v>
      </c>
      <c r="Z19" s="14">
        <v>54</v>
      </c>
      <c r="AA19" s="14">
        <v>47</v>
      </c>
      <c r="AB19" s="14">
        <v>0</v>
      </c>
      <c r="AC19" s="14">
        <v>0</v>
      </c>
      <c r="AD19" s="14">
        <v>7</v>
      </c>
      <c r="AE19" s="14">
        <v>7</v>
      </c>
      <c r="AF19" s="14">
        <v>12</v>
      </c>
      <c r="AG19" s="16" t="s">
        <v>62</v>
      </c>
      <c r="AH19" s="14">
        <v>47</v>
      </c>
      <c r="AI19" s="14">
        <v>47</v>
      </c>
      <c r="AJ19" s="14">
        <v>81</v>
      </c>
      <c r="AK19" s="14">
        <v>0</v>
      </c>
      <c r="AL19" s="14">
        <v>1</v>
      </c>
      <c r="AM19" s="17">
        <v>7</v>
      </c>
      <c r="AN19" s="17">
        <v>6</v>
      </c>
      <c r="AO19" s="17">
        <v>7</v>
      </c>
      <c r="AP19" s="17">
        <v>6</v>
      </c>
      <c r="AQ19" s="17">
        <v>8</v>
      </c>
      <c r="AR19" s="17">
        <v>6</v>
      </c>
      <c r="AS19" s="17">
        <v>7</v>
      </c>
      <c r="AT19" s="17">
        <v>6</v>
      </c>
      <c r="AU19" s="17">
        <v>7</v>
      </c>
      <c r="AV19" s="17">
        <v>11</v>
      </c>
      <c r="AW19" s="17">
        <v>33</v>
      </c>
      <c r="AX19" s="17">
        <v>3</v>
      </c>
      <c r="AY19" s="17">
        <v>0</v>
      </c>
      <c r="AZ19" s="17">
        <v>0</v>
      </c>
      <c r="BA19" s="17">
        <v>0</v>
      </c>
      <c r="BB19" s="17">
        <v>0</v>
      </c>
      <c r="BC19" s="17">
        <v>1</v>
      </c>
      <c r="BD19" s="17">
        <v>1</v>
      </c>
      <c r="BE19" s="17">
        <v>2</v>
      </c>
      <c r="BF19" s="17">
        <v>0</v>
      </c>
      <c r="BG19" s="17">
        <v>40</v>
      </c>
      <c r="BH19" s="17">
        <v>2.7</v>
      </c>
      <c r="BI19" s="17" t="s">
        <v>63</v>
      </c>
      <c r="BJ19" s="17">
        <v>7</v>
      </c>
      <c r="BK19" s="17">
        <v>14</v>
      </c>
      <c r="BL19" s="17">
        <v>10</v>
      </c>
      <c r="BM19" s="17">
        <v>6</v>
      </c>
      <c r="BN19" s="17">
        <v>7</v>
      </c>
      <c r="BO19" s="17">
        <v>8</v>
      </c>
      <c r="BP19" s="17">
        <v>9</v>
      </c>
      <c r="BQ19" s="17">
        <v>10</v>
      </c>
      <c r="BR19" s="17">
        <v>12</v>
      </c>
      <c r="BS19" s="17">
        <v>12</v>
      </c>
      <c r="BT19" s="17">
        <v>48</v>
      </c>
      <c r="BU19" s="17">
        <v>9</v>
      </c>
      <c r="BV19" s="17">
        <v>6</v>
      </c>
      <c r="BW19" s="17">
        <v>0</v>
      </c>
      <c r="BX19" s="17">
        <v>1</v>
      </c>
      <c r="BY19" s="17">
        <v>1</v>
      </c>
      <c r="BZ19" s="17">
        <v>0</v>
      </c>
      <c r="CA19" s="17">
        <v>0</v>
      </c>
      <c r="CB19" s="17">
        <v>0</v>
      </c>
      <c r="CC19" s="17">
        <v>0</v>
      </c>
      <c r="CD19" s="17">
        <v>65</v>
      </c>
      <c r="CE19" s="17">
        <v>4.4000000000000004</v>
      </c>
      <c r="CF19" s="17" t="s">
        <v>67</v>
      </c>
      <c r="CG19" s="15" t="s">
        <v>71</v>
      </c>
      <c r="CH19" s="15">
        <v>1.717E-3</v>
      </c>
      <c r="CI19" s="14">
        <v>1</v>
      </c>
      <c r="CJ19" s="79">
        <v>1</v>
      </c>
      <c r="CK19" s="79">
        <v>1</v>
      </c>
      <c r="CL19" s="79" t="s">
        <v>224</v>
      </c>
      <c r="CM19" s="79">
        <v>564.70692499999996</v>
      </c>
      <c r="CN19" s="79">
        <v>1</v>
      </c>
      <c r="CO19" s="79">
        <v>1</v>
      </c>
      <c r="CP19" s="79" t="s">
        <v>224</v>
      </c>
      <c r="CQ19" s="79" t="s">
        <v>224</v>
      </c>
      <c r="CR19" s="12" t="str">
        <f>IF(COUNTIF(Incl!A:A,Raw!J19),1, "")</f>
        <v/>
      </c>
    </row>
    <row r="20" spans="1:96" ht="13.5" thickTop="1" thickBot="1" x14ac:dyDescent="0.3">
      <c r="A20" s="18">
        <v>17</v>
      </c>
      <c r="B20" s="19">
        <v>1</v>
      </c>
      <c r="C20" s="20">
        <v>235.881766</v>
      </c>
      <c r="D20" s="19">
        <v>17</v>
      </c>
      <c r="E20" s="19">
        <v>1</v>
      </c>
      <c r="F20" s="19">
        <v>46</v>
      </c>
      <c r="G20" s="21">
        <v>105</v>
      </c>
      <c r="H20" s="19">
        <v>105</v>
      </c>
      <c r="I20" s="19">
        <v>105</v>
      </c>
      <c r="J20" s="19">
        <v>105</v>
      </c>
      <c r="K20" s="20" t="s">
        <v>60</v>
      </c>
      <c r="L20" s="20" t="s">
        <v>80</v>
      </c>
      <c r="M20" s="20" t="s">
        <v>76</v>
      </c>
      <c r="N20" s="22" t="s">
        <v>62</v>
      </c>
      <c r="O20" s="22">
        <v>9</v>
      </c>
      <c r="P20" s="21" t="s">
        <v>62</v>
      </c>
      <c r="Q20" s="22" t="s">
        <v>62</v>
      </c>
      <c r="R20" s="22" t="s">
        <v>62</v>
      </c>
      <c r="S20" s="22" t="s">
        <v>62</v>
      </c>
      <c r="T20" s="19">
        <v>9</v>
      </c>
      <c r="U20" s="21">
        <v>1</v>
      </c>
      <c r="V20" s="21">
        <v>6</v>
      </c>
      <c r="W20" s="21">
        <v>2</v>
      </c>
      <c r="X20" s="21" t="s">
        <v>62</v>
      </c>
      <c r="Y20" s="19">
        <v>11</v>
      </c>
      <c r="Z20" s="19">
        <v>64</v>
      </c>
      <c r="AA20" s="19">
        <v>21</v>
      </c>
      <c r="AB20" s="19">
        <v>0</v>
      </c>
      <c r="AC20" s="19">
        <v>0</v>
      </c>
      <c r="AD20" s="19">
        <v>3</v>
      </c>
      <c r="AE20" s="19">
        <v>1</v>
      </c>
      <c r="AF20" s="19">
        <v>5</v>
      </c>
      <c r="AG20" s="21" t="s">
        <v>62</v>
      </c>
      <c r="AH20" s="19">
        <v>32</v>
      </c>
      <c r="AI20" s="19">
        <v>11</v>
      </c>
      <c r="AJ20" s="19">
        <v>53</v>
      </c>
      <c r="AK20" s="19">
        <v>0</v>
      </c>
      <c r="AL20" s="19">
        <v>0</v>
      </c>
      <c r="AM20" s="22">
        <v>1</v>
      </c>
      <c r="AN20" s="22">
        <v>2</v>
      </c>
      <c r="AO20" s="22">
        <v>2</v>
      </c>
      <c r="AP20" s="22">
        <v>3</v>
      </c>
      <c r="AQ20" s="22">
        <v>6</v>
      </c>
      <c r="AR20" s="22">
        <v>1</v>
      </c>
      <c r="AS20" s="22">
        <v>1</v>
      </c>
      <c r="AT20" s="22">
        <v>1</v>
      </c>
      <c r="AU20" s="22">
        <v>2</v>
      </c>
      <c r="AV20" s="22">
        <v>0</v>
      </c>
      <c r="AW20" s="22">
        <v>10</v>
      </c>
      <c r="AX20" s="22">
        <v>0</v>
      </c>
      <c r="AY20" s="22">
        <v>0</v>
      </c>
      <c r="AZ20" s="22">
        <v>1</v>
      </c>
      <c r="BA20" s="22">
        <v>1</v>
      </c>
      <c r="BB20" s="22">
        <v>0</v>
      </c>
      <c r="BC20" s="22">
        <v>0</v>
      </c>
      <c r="BD20" s="22">
        <v>0</v>
      </c>
      <c r="BE20" s="22">
        <v>0</v>
      </c>
      <c r="BF20" s="22">
        <v>0</v>
      </c>
      <c r="BG20" s="22">
        <v>12</v>
      </c>
      <c r="BH20" s="22">
        <v>1.3</v>
      </c>
      <c r="BI20" s="22" t="s">
        <v>68</v>
      </c>
      <c r="BJ20" s="22">
        <v>3</v>
      </c>
      <c r="BK20" s="22">
        <v>1</v>
      </c>
      <c r="BL20" s="22">
        <v>0</v>
      </c>
      <c r="BM20" s="22">
        <v>1</v>
      </c>
      <c r="BN20" s="22">
        <v>1</v>
      </c>
      <c r="BO20" s="22">
        <v>2</v>
      </c>
      <c r="BP20" s="22">
        <v>1</v>
      </c>
      <c r="BQ20" s="22">
        <v>1</v>
      </c>
      <c r="BR20" s="22">
        <v>5</v>
      </c>
      <c r="BS20" s="22">
        <v>2</v>
      </c>
      <c r="BT20" s="22">
        <v>8</v>
      </c>
      <c r="BU20" s="22">
        <v>1</v>
      </c>
      <c r="BV20" s="22">
        <v>1</v>
      </c>
      <c r="BW20" s="22">
        <v>1</v>
      </c>
      <c r="BX20" s="22">
        <v>0</v>
      </c>
      <c r="BY20" s="22">
        <v>0</v>
      </c>
      <c r="BZ20" s="22">
        <v>0</v>
      </c>
      <c r="CA20" s="22">
        <v>0</v>
      </c>
      <c r="CB20" s="22">
        <v>0</v>
      </c>
      <c r="CC20" s="22">
        <v>0</v>
      </c>
      <c r="CD20" s="22">
        <v>11</v>
      </c>
      <c r="CE20" s="22">
        <v>1.2</v>
      </c>
      <c r="CF20" s="22" t="s">
        <v>68</v>
      </c>
      <c r="CG20" s="20" t="s">
        <v>74</v>
      </c>
      <c r="CH20" s="20">
        <v>7.1400000000000001E-4</v>
      </c>
      <c r="CI20" s="19">
        <v>0</v>
      </c>
      <c r="CJ20" s="78" t="s">
        <v>224</v>
      </c>
      <c r="CK20" s="78" t="s">
        <v>224</v>
      </c>
      <c r="CL20" s="78" t="s">
        <v>224</v>
      </c>
      <c r="CM20" s="78">
        <v>235.88161199999999</v>
      </c>
      <c r="CN20" s="78">
        <v>1</v>
      </c>
      <c r="CO20" s="78">
        <v>1</v>
      </c>
      <c r="CP20" s="78" t="s">
        <v>224</v>
      </c>
      <c r="CQ20" s="78" t="s">
        <v>224</v>
      </c>
      <c r="CR20" s="12" t="str">
        <f>IF(COUNTIF(Incl!A:A,Raw!J20),1, "")</f>
        <v/>
      </c>
    </row>
    <row r="21" spans="1:96" ht="13.5" thickTop="1" thickBot="1" x14ac:dyDescent="0.3">
      <c r="A21" s="18">
        <v>18</v>
      </c>
      <c r="B21" s="19">
        <v>1</v>
      </c>
      <c r="C21" s="20">
        <v>237.92852199999999</v>
      </c>
      <c r="D21" s="19">
        <v>18</v>
      </c>
      <c r="E21" s="19">
        <v>1</v>
      </c>
      <c r="F21" s="19">
        <v>47</v>
      </c>
      <c r="G21" s="21">
        <v>106</v>
      </c>
      <c r="H21" s="19">
        <v>106</v>
      </c>
      <c r="I21" s="19">
        <v>106</v>
      </c>
      <c r="J21" s="19">
        <v>106</v>
      </c>
      <c r="K21" s="20" t="s">
        <v>60</v>
      </c>
      <c r="L21" s="20" t="s">
        <v>81</v>
      </c>
      <c r="M21" s="20" t="s">
        <v>80</v>
      </c>
      <c r="N21" s="22" t="s">
        <v>62</v>
      </c>
      <c r="O21" s="22">
        <v>9</v>
      </c>
      <c r="P21" s="21" t="s">
        <v>62</v>
      </c>
      <c r="Q21" s="22" t="s">
        <v>62</v>
      </c>
      <c r="R21" s="22" t="s">
        <v>62</v>
      </c>
      <c r="S21" s="22" t="s">
        <v>62</v>
      </c>
      <c r="T21" s="19">
        <v>9</v>
      </c>
      <c r="U21" s="21">
        <v>7</v>
      </c>
      <c r="V21" s="21">
        <v>3</v>
      </c>
      <c r="W21" s="21">
        <v>3</v>
      </c>
      <c r="X21" s="21" t="s">
        <v>62</v>
      </c>
      <c r="Y21" s="19">
        <v>74</v>
      </c>
      <c r="Z21" s="19">
        <v>32</v>
      </c>
      <c r="AA21" s="19">
        <v>32</v>
      </c>
      <c r="AB21" s="19">
        <v>0</v>
      </c>
      <c r="AC21" s="19">
        <v>0</v>
      </c>
      <c r="AD21" s="19">
        <v>2</v>
      </c>
      <c r="AE21" s="19">
        <v>4</v>
      </c>
      <c r="AF21" s="19">
        <v>7</v>
      </c>
      <c r="AG21" s="21" t="s">
        <v>62</v>
      </c>
      <c r="AH21" s="19">
        <v>21</v>
      </c>
      <c r="AI21" s="19">
        <v>43</v>
      </c>
      <c r="AJ21" s="19">
        <v>74</v>
      </c>
      <c r="AK21" s="19">
        <v>0</v>
      </c>
      <c r="AL21" s="19">
        <v>0</v>
      </c>
      <c r="AM21" s="22">
        <v>7</v>
      </c>
      <c r="AN21" s="22">
        <v>7</v>
      </c>
      <c r="AO21" s="22">
        <v>4</v>
      </c>
      <c r="AP21" s="22">
        <v>3</v>
      </c>
      <c r="AQ21" s="22">
        <v>3</v>
      </c>
      <c r="AR21" s="22">
        <v>1</v>
      </c>
      <c r="AS21" s="22">
        <v>2</v>
      </c>
      <c r="AT21" s="22">
        <v>6</v>
      </c>
      <c r="AU21" s="22">
        <v>3</v>
      </c>
      <c r="AV21" s="22">
        <v>2</v>
      </c>
      <c r="AW21" s="22">
        <v>20</v>
      </c>
      <c r="AX21" s="22">
        <v>4</v>
      </c>
      <c r="AY21" s="22">
        <v>2</v>
      </c>
      <c r="AZ21" s="22">
        <v>1</v>
      </c>
      <c r="BA21" s="22">
        <v>0</v>
      </c>
      <c r="BB21" s="22">
        <v>0</v>
      </c>
      <c r="BC21" s="22">
        <v>0</v>
      </c>
      <c r="BD21" s="22">
        <v>0</v>
      </c>
      <c r="BE21" s="22">
        <v>0</v>
      </c>
      <c r="BF21" s="22">
        <v>0</v>
      </c>
      <c r="BG21" s="22">
        <v>27</v>
      </c>
      <c r="BH21" s="22">
        <v>2.9</v>
      </c>
      <c r="BI21" s="22" t="s">
        <v>63</v>
      </c>
      <c r="BJ21" s="22">
        <v>2</v>
      </c>
      <c r="BK21" s="22">
        <v>2</v>
      </c>
      <c r="BL21" s="22">
        <v>3</v>
      </c>
      <c r="BM21" s="22">
        <v>4</v>
      </c>
      <c r="BN21" s="22">
        <v>4</v>
      </c>
      <c r="BO21" s="22">
        <v>8</v>
      </c>
      <c r="BP21" s="22">
        <v>5</v>
      </c>
      <c r="BQ21" s="22">
        <v>7</v>
      </c>
      <c r="BR21" s="22">
        <v>7</v>
      </c>
      <c r="BS21" s="22">
        <v>0</v>
      </c>
      <c r="BT21" s="22">
        <v>16</v>
      </c>
      <c r="BU21" s="22">
        <v>5</v>
      </c>
      <c r="BV21" s="22">
        <v>2</v>
      </c>
      <c r="BW21" s="22">
        <v>1</v>
      </c>
      <c r="BX21" s="22">
        <v>0</v>
      </c>
      <c r="BY21" s="22">
        <v>1</v>
      </c>
      <c r="BZ21" s="22">
        <v>0</v>
      </c>
      <c r="CA21" s="22">
        <v>0</v>
      </c>
      <c r="CB21" s="22">
        <v>0</v>
      </c>
      <c r="CC21" s="22">
        <v>0</v>
      </c>
      <c r="CD21" s="22">
        <v>25</v>
      </c>
      <c r="CE21" s="22">
        <v>2.7</v>
      </c>
      <c r="CF21" s="22" t="s">
        <v>63</v>
      </c>
      <c r="CG21" s="20" t="s">
        <v>74</v>
      </c>
      <c r="CH21" s="20">
        <v>7.2300000000000001E-4</v>
      </c>
      <c r="CI21" s="19">
        <v>0</v>
      </c>
      <c r="CJ21" s="78" t="s">
        <v>224</v>
      </c>
      <c r="CK21" s="78" t="s">
        <v>224</v>
      </c>
      <c r="CL21" s="78" t="s">
        <v>224</v>
      </c>
      <c r="CM21" s="78">
        <v>237.92853600000001</v>
      </c>
      <c r="CN21" s="78">
        <v>1</v>
      </c>
      <c r="CO21" s="78">
        <v>1</v>
      </c>
      <c r="CP21" s="78" t="s">
        <v>224</v>
      </c>
      <c r="CQ21" s="78" t="s">
        <v>224</v>
      </c>
      <c r="CR21" s="12" t="str">
        <f>IF(COUNTIF(Incl!A:A,Raw!J21),1, "")</f>
        <v/>
      </c>
    </row>
    <row r="22" spans="1:96" ht="13.5" thickTop="1" thickBot="1" x14ac:dyDescent="0.3">
      <c r="A22" s="13">
        <v>19</v>
      </c>
      <c r="B22" s="14">
        <v>1</v>
      </c>
      <c r="C22" s="15">
        <v>51.271281999999999</v>
      </c>
      <c r="D22" s="14">
        <v>19</v>
      </c>
      <c r="E22" s="14">
        <v>1</v>
      </c>
      <c r="F22" s="14">
        <v>48</v>
      </c>
      <c r="G22" s="16">
        <v>159</v>
      </c>
      <c r="H22" s="14">
        <v>159</v>
      </c>
      <c r="I22" s="14">
        <v>159</v>
      </c>
      <c r="J22" s="14">
        <v>159</v>
      </c>
      <c r="K22" s="15" t="s">
        <v>79</v>
      </c>
      <c r="L22" s="15" t="s">
        <v>78</v>
      </c>
      <c r="M22" s="15" t="s">
        <v>70</v>
      </c>
      <c r="N22" s="17" t="s">
        <v>62</v>
      </c>
      <c r="O22" s="17" t="s">
        <v>62</v>
      </c>
      <c r="P22" s="16">
        <v>4</v>
      </c>
      <c r="Q22" s="17" t="s">
        <v>62</v>
      </c>
      <c r="R22" s="17" t="s">
        <v>62</v>
      </c>
      <c r="S22" s="17" t="s">
        <v>62</v>
      </c>
      <c r="T22" s="14">
        <v>4</v>
      </c>
      <c r="U22" s="16">
        <v>2</v>
      </c>
      <c r="V22" s="16">
        <v>3</v>
      </c>
      <c r="W22" s="16" t="s">
        <v>62</v>
      </c>
      <c r="X22" s="16" t="s">
        <v>62</v>
      </c>
      <c r="Y22" s="14">
        <v>45</v>
      </c>
      <c r="Z22" s="14">
        <v>68</v>
      </c>
      <c r="AA22" s="14">
        <v>0</v>
      </c>
      <c r="AB22" s="14">
        <v>0</v>
      </c>
      <c r="AC22" s="14">
        <v>0</v>
      </c>
      <c r="AD22" s="14">
        <v>2</v>
      </c>
      <c r="AE22" s="14">
        <v>2</v>
      </c>
      <c r="AF22" s="14">
        <v>1</v>
      </c>
      <c r="AG22" s="16" t="s">
        <v>62</v>
      </c>
      <c r="AH22" s="14">
        <v>45</v>
      </c>
      <c r="AI22" s="14">
        <v>45</v>
      </c>
      <c r="AJ22" s="14">
        <v>23</v>
      </c>
      <c r="AK22" s="14">
        <v>0</v>
      </c>
      <c r="AL22" s="14">
        <v>0</v>
      </c>
      <c r="AM22" s="17">
        <v>2</v>
      </c>
      <c r="AN22" s="17">
        <v>3</v>
      </c>
      <c r="AO22" s="17">
        <v>2</v>
      </c>
      <c r="AP22" s="17">
        <v>2</v>
      </c>
      <c r="AQ22" s="17">
        <v>3</v>
      </c>
      <c r="AR22" s="17">
        <v>2</v>
      </c>
      <c r="AS22" s="17">
        <v>2</v>
      </c>
      <c r="AT22" s="17">
        <v>0</v>
      </c>
      <c r="AU22" s="17">
        <v>0</v>
      </c>
      <c r="AV22" s="17">
        <v>0</v>
      </c>
      <c r="AW22" s="17">
        <v>1</v>
      </c>
      <c r="AX22" s="17">
        <v>0</v>
      </c>
      <c r="AY22" s="17">
        <v>1</v>
      </c>
      <c r="AZ22" s="17">
        <v>0</v>
      </c>
      <c r="BA22" s="17">
        <v>1</v>
      </c>
      <c r="BB22" s="17">
        <v>0</v>
      </c>
      <c r="BC22" s="17">
        <v>1</v>
      </c>
      <c r="BD22" s="17">
        <v>0</v>
      </c>
      <c r="BE22" s="17">
        <v>0</v>
      </c>
      <c r="BF22" s="17">
        <v>0</v>
      </c>
      <c r="BG22" s="17">
        <v>4</v>
      </c>
      <c r="BH22" s="17">
        <v>0.9</v>
      </c>
      <c r="BI22" s="17" t="s">
        <v>77</v>
      </c>
      <c r="BJ22" s="17">
        <v>2</v>
      </c>
      <c r="BK22" s="17">
        <v>2</v>
      </c>
      <c r="BL22" s="17">
        <v>1</v>
      </c>
      <c r="BM22" s="17">
        <v>2</v>
      </c>
      <c r="BN22" s="17">
        <v>2</v>
      </c>
      <c r="BO22" s="17">
        <v>3</v>
      </c>
      <c r="BP22" s="17">
        <v>2</v>
      </c>
      <c r="BQ22" s="17">
        <v>2</v>
      </c>
      <c r="BR22" s="17">
        <v>1</v>
      </c>
      <c r="BS22" s="17">
        <v>1</v>
      </c>
      <c r="BT22" s="17">
        <v>6</v>
      </c>
      <c r="BU22" s="17">
        <v>1</v>
      </c>
      <c r="BV22" s="17">
        <v>0</v>
      </c>
      <c r="BW22" s="17">
        <v>0</v>
      </c>
      <c r="BX22" s="17">
        <v>0</v>
      </c>
      <c r="BY22" s="17">
        <v>0</v>
      </c>
      <c r="BZ22" s="17">
        <v>0</v>
      </c>
      <c r="CA22" s="17">
        <v>0</v>
      </c>
      <c r="CB22" s="17">
        <v>0</v>
      </c>
      <c r="CC22" s="17">
        <v>1</v>
      </c>
      <c r="CD22" s="17">
        <v>8</v>
      </c>
      <c r="CE22" s="17">
        <v>1.8</v>
      </c>
      <c r="CF22" s="17" t="s">
        <v>68</v>
      </c>
      <c r="CG22" s="15" t="s">
        <v>64</v>
      </c>
      <c r="CH22" s="15">
        <v>1.66E-4</v>
      </c>
      <c r="CI22" s="14">
        <v>0</v>
      </c>
      <c r="CJ22" s="79" t="s">
        <v>224</v>
      </c>
      <c r="CK22" s="79" t="s">
        <v>224</v>
      </c>
      <c r="CL22" s="79" t="s">
        <v>224</v>
      </c>
      <c r="CM22" s="79">
        <v>51.271182000000003</v>
      </c>
      <c r="CN22" s="79">
        <v>1</v>
      </c>
      <c r="CO22" s="79" t="s">
        <v>224</v>
      </c>
      <c r="CP22" s="79" t="s">
        <v>224</v>
      </c>
      <c r="CQ22" s="79" t="s">
        <v>224</v>
      </c>
      <c r="CR22" s="12" t="str">
        <f>IF(COUNTIF(Incl!A:A,Raw!J22),1, "")</f>
        <v/>
      </c>
    </row>
    <row r="23" spans="1:96" ht="13.5" thickTop="1" thickBot="1" x14ac:dyDescent="0.3">
      <c r="A23" s="13">
        <v>20</v>
      </c>
      <c r="B23" s="14">
        <v>1</v>
      </c>
      <c r="C23" s="15">
        <v>51.362904</v>
      </c>
      <c r="D23" s="14">
        <v>20</v>
      </c>
      <c r="E23" s="14">
        <v>1</v>
      </c>
      <c r="F23" s="14">
        <v>49</v>
      </c>
      <c r="G23" s="16">
        <v>160</v>
      </c>
      <c r="H23" s="14">
        <v>160</v>
      </c>
      <c r="I23" s="14">
        <v>160</v>
      </c>
      <c r="J23" s="14">
        <v>160</v>
      </c>
      <c r="K23" s="15" t="s">
        <v>79</v>
      </c>
      <c r="L23" s="15" t="s">
        <v>60</v>
      </c>
      <c r="M23" s="15" t="s">
        <v>78</v>
      </c>
      <c r="N23" s="17" t="s">
        <v>62</v>
      </c>
      <c r="O23" s="17" t="s">
        <v>62</v>
      </c>
      <c r="P23" s="16">
        <v>2</v>
      </c>
      <c r="Q23" s="17" t="s">
        <v>62</v>
      </c>
      <c r="R23" s="17" t="s">
        <v>62</v>
      </c>
      <c r="S23" s="17" t="s">
        <v>62</v>
      </c>
      <c r="T23" s="14">
        <v>2</v>
      </c>
      <c r="U23" s="16">
        <v>2</v>
      </c>
      <c r="V23" s="16">
        <v>2</v>
      </c>
      <c r="W23" s="16">
        <v>2</v>
      </c>
      <c r="X23" s="16" t="s">
        <v>62</v>
      </c>
      <c r="Y23" s="14">
        <v>91</v>
      </c>
      <c r="Z23" s="14">
        <v>91</v>
      </c>
      <c r="AA23" s="14">
        <v>91</v>
      </c>
      <c r="AB23" s="14">
        <v>0</v>
      </c>
      <c r="AC23" s="14">
        <v>3</v>
      </c>
      <c r="AD23" s="14">
        <v>2</v>
      </c>
      <c r="AE23" s="14">
        <v>2</v>
      </c>
      <c r="AF23" s="14">
        <v>0</v>
      </c>
      <c r="AG23" s="16" t="s">
        <v>62</v>
      </c>
      <c r="AH23" s="14">
        <v>91</v>
      </c>
      <c r="AI23" s="14">
        <v>91</v>
      </c>
      <c r="AJ23" s="14">
        <v>0</v>
      </c>
      <c r="AK23" s="14">
        <v>0</v>
      </c>
      <c r="AL23" s="14">
        <v>2</v>
      </c>
      <c r="AM23" s="17">
        <v>2</v>
      </c>
      <c r="AN23" s="17">
        <v>2</v>
      </c>
      <c r="AO23" s="17">
        <v>2</v>
      </c>
      <c r="AP23" s="17">
        <v>2</v>
      </c>
      <c r="AQ23" s="17">
        <v>2</v>
      </c>
      <c r="AR23" s="17">
        <v>2</v>
      </c>
      <c r="AS23" s="17">
        <v>2</v>
      </c>
      <c r="AT23" s="17">
        <v>2</v>
      </c>
      <c r="AU23" s="17">
        <v>2</v>
      </c>
      <c r="AV23" s="17">
        <v>2</v>
      </c>
      <c r="AW23" s="17">
        <v>0</v>
      </c>
      <c r="AX23" s="17">
        <v>0</v>
      </c>
      <c r="AY23" s="17">
        <v>0</v>
      </c>
      <c r="AZ23" s="17">
        <v>0</v>
      </c>
      <c r="BA23" s="17">
        <v>0</v>
      </c>
      <c r="BB23" s="17">
        <v>0</v>
      </c>
      <c r="BC23" s="17">
        <v>0</v>
      </c>
      <c r="BD23" s="17">
        <v>0</v>
      </c>
      <c r="BE23" s="17">
        <v>0</v>
      </c>
      <c r="BF23" s="17">
        <v>2</v>
      </c>
      <c r="BG23" s="17">
        <v>2</v>
      </c>
      <c r="BH23" s="17">
        <v>0.9</v>
      </c>
      <c r="BI23" s="17" t="s">
        <v>77</v>
      </c>
      <c r="BJ23" s="17">
        <v>2</v>
      </c>
      <c r="BK23" s="17">
        <v>2</v>
      </c>
      <c r="BL23" s="17">
        <v>2</v>
      </c>
      <c r="BM23" s="17">
        <v>2</v>
      </c>
      <c r="BN23" s="17">
        <v>2</v>
      </c>
      <c r="BO23" s="17">
        <v>2</v>
      </c>
      <c r="BP23" s="17">
        <v>1</v>
      </c>
      <c r="BQ23" s="17">
        <v>1</v>
      </c>
      <c r="BR23" s="17">
        <v>0</v>
      </c>
      <c r="BS23" s="17">
        <v>0</v>
      </c>
      <c r="BT23" s="17">
        <v>1</v>
      </c>
      <c r="BU23" s="17">
        <v>0</v>
      </c>
      <c r="BV23" s="17">
        <v>0</v>
      </c>
      <c r="BW23" s="17">
        <v>0</v>
      </c>
      <c r="BX23" s="17">
        <v>1</v>
      </c>
      <c r="BY23" s="17">
        <v>0</v>
      </c>
      <c r="BZ23" s="17">
        <v>0</v>
      </c>
      <c r="CA23" s="17">
        <v>1</v>
      </c>
      <c r="CB23" s="17">
        <v>0</v>
      </c>
      <c r="CC23" s="17">
        <v>0</v>
      </c>
      <c r="CD23" s="17">
        <v>3</v>
      </c>
      <c r="CE23" s="17">
        <v>1.4</v>
      </c>
      <c r="CF23" s="17" t="s">
        <v>68</v>
      </c>
      <c r="CG23" s="15" t="s">
        <v>64</v>
      </c>
      <c r="CH23" s="15">
        <v>1.65E-4</v>
      </c>
      <c r="CI23" s="14">
        <v>5</v>
      </c>
      <c r="CJ23" s="79" t="s">
        <v>224</v>
      </c>
      <c r="CK23" s="79" t="s">
        <v>224</v>
      </c>
      <c r="CL23" s="79" t="s">
        <v>224</v>
      </c>
      <c r="CM23" s="79">
        <v>51.362819999999999</v>
      </c>
      <c r="CN23" s="79">
        <v>1</v>
      </c>
      <c r="CO23" s="79">
        <v>0</v>
      </c>
      <c r="CP23" s="79" t="s">
        <v>224</v>
      </c>
      <c r="CQ23" s="79" t="s">
        <v>224</v>
      </c>
      <c r="CR23" s="12" t="str">
        <f>IF(COUNTIF(Incl!A:A,Raw!J23),1, "")</f>
        <v/>
      </c>
    </row>
    <row r="24" spans="1:96" ht="13.5" thickTop="1" thickBot="1" x14ac:dyDescent="0.3">
      <c r="A24" s="18">
        <v>21</v>
      </c>
      <c r="B24" s="19">
        <v>1</v>
      </c>
      <c r="C24" s="20">
        <v>179.873752</v>
      </c>
      <c r="D24" s="19">
        <v>21</v>
      </c>
      <c r="E24" s="19">
        <v>2</v>
      </c>
      <c r="F24" s="19">
        <v>50</v>
      </c>
      <c r="G24" s="21">
        <v>161</v>
      </c>
      <c r="H24" s="19">
        <v>161</v>
      </c>
      <c r="I24" s="19">
        <v>161</v>
      </c>
      <c r="J24" s="19">
        <v>161</v>
      </c>
      <c r="K24" s="20" t="s">
        <v>79</v>
      </c>
      <c r="L24" s="20" t="s">
        <v>70</v>
      </c>
      <c r="M24" s="20" t="s">
        <v>60</v>
      </c>
      <c r="N24" s="22" t="s">
        <v>62</v>
      </c>
      <c r="O24" s="22" t="s">
        <v>62</v>
      </c>
      <c r="P24" s="21">
        <v>6</v>
      </c>
      <c r="Q24" s="22" t="s">
        <v>62</v>
      </c>
      <c r="R24" s="22" t="s">
        <v>62</v>
      </c>
      <c r="S24" s="22" t="s">
        <v>62</v>
      </c>
      <c r="T24" s="19">
        <v>6</v>
      </c>
      <c r="U24" s="21">
        <v>1</v>
      </c>
      <c r="V24" s="21">
        <v>1</v>
      </c>
      <c r="W24" s="21" t="s">
        <v>62</v>
      </c>
      <c r="X24" s="21" t="s">
        <v>62</v>
      </c>
      <c r="Y24" s="19">
        <v>16</v>
      </c>
      <c r="Z24" s="19">
        <v>16</v>
      </c>
      <c r="AA24" s="19">
        <v>0</v>
      </c>
      <c r="AB24" s="19">
        <v>0</v>
      </c>
      <c r="AC24" s="19">
        <v>0</v>
      </c>
      <c r="AD24" s="19">
        <v>6</v>
      </c>
      <c r="AE24" s="19">
        <v>6</v>
      </c>
      <c r="AF24" s="19">
        <v>0</v>
      </c>
      <c r="AG24" s="21" t="s">
        <v>62</v>
      </c>
      <c r="AH24" s="19">
        <v>94</v>
      </c>
      <c r="AI24" s="19">
        <v>94</v>
      </c>
      <c r="AJ24" s="19">
        <v>0</v>
      </c>
      <c r="AK24" s="19">
        <v>0</v>
      </c>
      <c r="AL24" s="19">
        <v>2</v>
      </c>
      <c r="AM24" s="22">
        <v>1</v>
      </c>
      <c r="AN24" s="22">
        <v>0</v>
      </c>
      <c r="AO24" s="22">
        <v>3</v>
      </c>
      <c r="AP24" s="22">
        <v>1</v>
      </c>
      <c r="AQ24" s="22">
        <v>1</v>
      </c>
      <c r="AR24" s="22">
        <v>3</v>
      </c>
      <c r="AS24" s="22">
        <v>1</v>
      </c>
      <c r="AT24" s="22">
        <v>0</v>
      </c>
      <c r="AU24" s="22">
        <v>0</v>
      </c>
      <c r="AV24" s="22">
        <v>0</v>
      </c>
      <c r="AW24" s="22">
        <v>5</v>
      </c>
      <c r="AX24" s="22">
        <v>1</v>
      </c>
      <c r="AY24" s="22">
        <v>1</v>
      </c>
      <c r="AZ24" s="22">
        <v>0</v>
      </c>
      <c r="BA24" s="22">
        <v>0</v>
      </c>
      <c r="BB24" s="22">
        <v>0</v>
      </c>
      <c r="BC24" s="22">
        <v>0</v>
      </c>
      <c r="BD24" s="22">
        <v>0</v>
      </c>
      <c r="BE24" s="22">
        <v>0</v>
      </c>
      <c r="BF24" s="22">
        <v>0</v>
      </c>
      <c r="BG24" s="22">
        <v>7</v>
      </c>
      <c r="BH24" s="22">
        <v>1.1000000000000001</v>
      </c>
      <c r="BI24" s="22" t="s">
        <v>68</v>
      </c>
      <c r="BJ24" s="22">
        <v>6</v>
      </c>
      <c r="BK24" s="22">
        <v>5</v>
      </c>
      <c r="BL24" s="22">
        <v>3</v>
      </c>
      <c r="BM24" s="22">
        <v>6</v>
      </c>
      <c r="BN24" s="22">
        <v>6</v>
      </c>
      <c r="BO24" s="22">
        <v>4</v>
      </c>
      <c r="BP24" s="22">
        <v>4</v>
      </c>
      <c r="BQ24" s="22">
        <v>1</v>
      </c>
      <c r="BR24" s="22">
        <v>0</v>
      </c>
      <c r="BS24" s="22">
        <v>0</v>
      </c>
      <c r="BT24" s="22">
        <v>8</v>
      </c>
      <c r="BU24" s="22">
        <v>3</v>
      </c>
      <c r="BV24" s="22">
        <v>2</v>
      </c>
      <c r="BW24" s="22">
        <v>0</v>
      </c>
      <c r="BX24" s="22">
        <v>0</v>
      </c>
      <c r="BY24" s="22">
        <v>0</v>
      </c>
      <c r="BZ24" s="22">
        <v>1</v>
      </c>
      <c r="CA24" s="22">
        <v>1</v>
      </c>
      <c r="CB24" s="22">
        <v>0</v>
      </c>
      <c r="CC24" s="22">
        <v>0</v>
      </c>
      <c r="CD24" s="22">
        <v>15</v>
      </c>
      <c r="CE24" s="22">
        <v>2.2999999999999998</v>
      </c>
      <c r="CF24" s="22" t="s">
        <v>63</v>
      </c>
      <c r="CG24" s="20" t="s">
        <v>66</v>
      </c>
      <c r="CH24" s="20">
        <v>5.7300000000000005E-4</v>
      </c>
      <c r="CI24" s="19">
        <v>2</v>
      </c>
      <c r="CJ24" s="78" t="s">
        <v>224</v>
      </c>
      <c r="CK24" s="78" t="s">
        <v>224</v>
      </c>
      <c r="CL24" s="78" t="s">
        <v>224</v>
      </c>
      <c r="CM24" s="78">
        <v>179.87379100000001</v>
      </c>
      <c r="CN24" s="78">
        <v>1</v>
      </c>
      <c r="CO24" s="78">
        <v>0</v>
      </c>
      <c r="CP24" s="78" t="s">
        <v>224</v>
      </c>
      <c r="CQ24" s="78" t="s">
        <v>224</v>
      </c>
      <c r="CR24" s="12" t="str">
        <f>IF(COUNTIF(Incl!A:A,Raw!J24),1, "")</f>
        <v/>
      </c>
    </row>
    <row r="25" spans="1:96" ht="13.5" thickTop="1" thickBot="1" x14ac:dyDescent="0.3">
      <c r="A25" s="18">
        <v>22</v>
      </c>
      <c r="B25" s="19">
        <v>1</v>
      </c>
      <c r="C25" s="20">
        <v>232.033108</v>
      </c>
      <c r="D25" s="19">
        <v>22</v>
      </c>
      <c r="E25" s="19">
        <v>1</v>
      </c>
      <c r="F25" s="19">
        <v>51</v>
      </c>
      <c r="G25" s="21">
        <v>71</v>
      </c>
      <c r="H25" s="19">
        <v>71</v>
      </c>
      <c r="I25" s="19">
        <v>71</v>
      </c>
      <c r="J25" s="19">
        <v>71</v>
      </c>
      <c r="K25" s="20" t="s">
        <v>82</v>
      </c>
      <c r="L25" s="20" t="s">
        <v>79</v>
      </c>
      <c r="M25" s="20" t="s">
        <v>83</v>
      </c>
      <c r="N25" s="22" t="s">
        <v>62</v>
      </c>
      <c r="O25" s="21" t="s">
        <v>62</v>
      </c>
      <c r="P25" s="22">
        <v>8</v>
      </c>
      <c r="Q25" s="22" t="s">
        <v>62</v>
      </c>
      <c r="R25" s="22" t="s">
        <v>62</v>
      </c>
      <c r="S25" s="22" t="s">
        <v>62</v>
      </c>
      <c r="T25" s="19">
        <v>8</v>
      </c>
      <c r="U25" s="21">
        <v>8</v>
      </c>
      <c r="V25" s="21">
        <v>8</v>
      </c>
      <c r="W25" s="21">
        <v>8</v>
      </c>
      <c r="X25" s="21">
        <v>5</v>
      </c>
      <c r="Y25" s="19">
        <v>99</v>
      </c>
      <c r="Z25" s="19">
        <v>99</v>
      </c>
      <c r="AA25" s="19">
        <v>99</v>
      </c>
      <c r="AB25" s="19">
        <v>62</v>
      </c>
      <c r="AC25" s="19">
        <v>3</v>
      </c>
      <c r="AD25" s="19">
        <v>8</v>
      </c>
      <c r="AE25" s="19">
        <v>8</v>
      </c>
      <c r="AF25" s="19">
        <v>8</v>
      </c>
      <c r="AG25" s="21">
        <v>3</v>
      </c>
      <c r="AH25" s="19">
        <v>99</v>
      </c>
      <c r="AI25" s="19">
        <v>99</v>
      </c>
      <c r="AJ25" s="19">
        <v>99</v>
      </c>
      <c r="AK25" s="19">
        <v>37</v>
      </c>
      <c r="AL25" s="19">
        <v>3</v>
      </c>
      <c r="AM25" s="22" t="s">
        <v>62</v>
      </c>
      <c r="AN25" s="22" t="s">
        <v>62</v>
      </c>
      <c r="AO25" s="22" t="s">
        <v>62</v>
      </c>
      <c r="AP25" s="22" t="s">
        <v>62</v>
      </c>
      <c r="AQ25" s="22" t="s">
        <v>62</v>
      </c>
      <c r="AR25" s="22" t="s">
        <v>62</v>
      </c>
      <c r="AS25" s="22" t="s">
        <v>62</v>
      </c>
      <c r="AT25" s="22" t="s">
        <v>62</v>
      </c>
      <c r="AU25" s="22" t="s">
        <v>62</v>
      </c>
      <c r="AV25" s="22" t="s">
        <v>62</v>
      </c>
      <c r="AW25" s="22" t="s">
        <v>62</v>
      </c>
      <c r="AX25" s="22" t="s">
        <v>62</v>
      </c>
      <c r="AY25" s="22" t="s">
        <v>62</v>
      </c>
      <c r="AZ25" s="22" t="s">
        <v>62</v>
      </c>
      <c r="BA25" s="22" t="s">
        <v>62</v>
      </c>
      <c r="BB25" s="22" t="s">
        <v>62</v>
      </c>
      <c r="BC25" s="22" t="s">
        <v>62</v>
      </c>
      <c r="BD25" s="22" t="s">
        <v>62</v>
      </c>
      <c r="BE25" s="22" t="s">
        <v>62</v>
      </c>
      <c r="BF25" s="22" t="s">
        <v>62</v>
      </c>
      <c r="BG25" s="22" t="s">
        <v>62</v>
      </c>
      <c r="BH25" s="22" t="s">
        <v>62</v>
      </c>
      <c r="BI25" s="22" t="s">
        <v>62</v>
      </c>
      <c r="BJ25" s="22" t="s">
        <v>62</v>
      </c>
      <c r="BK25" s="22" t="s">
        <v>62</v>
      </c>
      <c r="BL25" s="22" t="s">
        <v>62</v>
      </c>
      <c r="BM25" s="22" t="s">
        <v>62</v>
      </c>
      <c r="BN25" s="22" t="s">
        <v>62</v>
      </c>
      <c r="BO25" s="22" t="s">
        <v>62</v>
      </c>
      <c r="BP25" s="22" t="s">
        <v>62</v>
      </c>
      <c r="BQ25" s="22" t="s">
        <v>62</v>
      </c>
      <c r="BR25" s="22" t="s">
        <v>62</v>
      </c>
      <c r="BS25" s="22" t="s">
        <v>62</v>
      </c>
      <c r="BT25" s="22" t="s">
        <v>62</v>
      </c>
      <c r="BU25" s="22" t="s">
        <v>62</v>
      </c>
      <c r="BV25" s="22" t="s">
        <v>62</v>
      </c>
      <c r="BW25" s="22" t="s">
        <v>62</v>
      </c>
      <c r="BX25" s="22" t="s">
        <v>62</v>
      </c>
      <c r="BY25" s="22" t="s">
        <v>62</v>
      </c>
      <c r="BZ25" s="22" t="s">
        <v>62</v>
      </c>
      <c r="CA25" s="22" t="s">
        <v>62</v>
      </c>
      <c r="CB25" s="22" t="s">
        <v>62</v>
      </c>
      <c r="CC25" s="22" t="s">
        <v>62</v>
      </c>
      <c r="CD25" s="22" t="s">
        <v>62</v>
      </c>
      <c r="CE25" s="22" t="s">
        <v>62</v>
      </c>
      <c r="CF25" s="22" t="s">
        <v>62</v>
      </c>
      <c r="CG25" s="20" t="s">
        <v>71</v>
      </c>
      <c r="CH25" s="20">
        <v>6.9399999999999996E-4</v>
      </c>
      <c r="CI25" s="19">
        <v>6</v>
      </c>
      <c r="CJ25" s="78" t="s">
        <v>224</v>
      </c>
      <c r="CK25" s="78" t="s">
        <v>224</v>
      </c>
      <c r="CL25" s="78" t="s">
        <v>224</v>
      </c>
      <c r="CM25" s="78">
        <v>232.033174</v>
      </c>
      <c r="CN25" s="78">
        <v>2</v>
      </c>
      <c r="CO25" s="78" t="s">
        <v>224</v>
      </c>
      <c r="CP25" s="78" t="s">
        <v>224</v>
      </c>
      <c r="CQ25" s="78" t="s">
        <v>224</v>
      </c>
      <c r="CR25" s="12" t="str">
        <f>IF(COUNTIF(Incl!A:A,Raw!J25),1, "")</f>
        <v/>
      </c>
    </row>
    <row r="26" spans="1:96" ht="13.5" thickTop="1" thickBot="1" x14ac:dyDescent="0.3">
      <c r="A26" s="18">
        <v>23</v>
      </c>
      <c r="B26" s="19">
        <v>1</v>
      </c>
      <c r="C26" s="20">
        <v>214.87336300000001</v>
      </c>
      <c r="D26" s="19">
        <v>23</v>
      </c>
      <c r="E26" s="19">
        <v>1</v>
      </c>
      <c r="F26" s="19">
        <v>52</v>
      </c>
      <c r="G26" s="21">
        <v>72</v>
      </c>
      <c r="H26" s="19">
        <v>72</v>
      </c>
      <c r="I26" s="19">
        <v>72</v>
      </c>
      <c r="J26" s="19">
        <v>72</v>
      </c>
      <c r="K26" s="20" t="s">
        <v>82</v>
      </c>
      <c r="L26" s="20" t="s">
        <v>83</v>
      </c>
      <c r="M26" s="20" t="s">
        <v>79</v>
      </c>
      <c r="N26" s="22" t="s">
        <v>62</v>
      </c>
      <c r="O26" s="22" t="s">
        <v>62</v>
      </c>
      <c r="P26" s="21">
        <v>9</v>
      </c>
      <c r="Q26" s="22" t="s">
        <v>62</v>
      </c>
      <c r="R26" s="22" t="s">
        <v>62</v>
      </c>
      <c r="S26" s="22" t="s">
        <v>62</v>
      </c>
      <c r="T26" s="19">
        <v>9</v>
      </c>
      <c r="U26" s="21">
        <v>8</v>
      </c>
      <c r="V26" s="21">
        <v>8</v>
      </c>
      <c r="W26" s="21">
        <v>8</v>
      </c>
      <c r="X26" s="21">
        <v>4</v>
      </c>
      <c r="Y26" s="19">
        <v>88</v>
      </c>
      <c r="Z26" s="19">
        <v>88</v>
      </c>
      <c r="AA26" s="19">
        <v>88</v>
      </c>
      <c r="AB26" s="19">
        <v>44</v>
      </c>
      <c r="AC26" s="19">
        <v>3</v>
      </c>
      <c r="AD26" s="19">
        <v>7</v>
      </c>
      <c r="AE26" s="19">
        <v>7</v>
      </c>
      <c r="AF26" s="19">
        <v>6</v>
      </c>
      <c r="AG26" s="21">
        <v>3</v>
      </c>
      <c r="AH26" s="19">
        <v>77</v>
      </c>
      <c r="AI26" s="19">
        <v>77</v>
      </c>
      <c r="AJ26" s="19">
        <v>66</v>
      </c>
      <c r="AK26" s="19">
        <v>33</v>
      </c>
      <c r="AL26" s="19">
        <v>2</v>
      </c>
      <c r="AM26" s="22" t="s">
        <v>62</v>
      </c>
      <c r="AN26" s="22" t="s">
        <v>62</v>
      </c>
      <c r="AO26" s="22" t="s">
        <v>62</v>
      </c>
      <c r="AP26" s="22" t="s">
        <v>62</v>
      </c>
      <c r="AQ26" s="22" t="s">
        <v>62</v>
      </c>
      <c r="AR26" s="22" t="s">
        <v>62</v>
      </c>
      <c r="AS26" s="22" t="s">
        <v>62</v>
      </c>
      <c r="AT26" s="22" t="s">
        <v>62</v>
      </c>
      <c r="AU26" s="22" t="s">
        <v>62</v>
      </c>
      <c r="AV26" s="22" t="s">
        <v>62</v>
      </c>
      <c r="AW26" s="22" t="s">
        <v>62</v>
      </c>
      <c r="AX26" s="22" t="s">
        <v>62</v>
      </c>
      <c r="AY26" s="22" t="s">
        <v>62</v>
      </c>
      <c r="AZ26" s="22" t="s">
        <v>62</v>
      </c>
      <c r="BA26" s="22" t="s">
        <v>62</v>
      </c>
      <c r="BB26" s="22" t="s">
        <v>62</v>
      </c>
      <c r="BC26" s="22" t="s">
        <v>62</v>
      </c>
      <c r="BD26" s="22" t="s">
        <v>62</v>
      </c>
      <c r="BE26" s="22" t="s">
        <v>62</v>
      </c>
      <c r="BF26" s="22" t="s">
        <v>62</v>
      </c>
      <c r="BG26" s="22" t="s">
        <v>62</v>
      </c>
      <c r="BH26" s="22" t="s">
        <v>62</v>
      </c>
      <c r="BI26" s="22" t="s">
        <v>62</v>
      </c>
      <c r="BJ26" s="22" t="s">
        <v>62</v>
      </c>
      <c r="BK26" s="22" t="s">
        <v>62</v>
      </c>
      <c r="BL26" s="22" t="s">
        <v>62</v>
      </c>
      <c r="BM26" s="22" t="s">
        <v>62</v>
      </c>
      <c r="BN26" s="22" t="s">
        <v>62</v>
      </c>
      <c r="BO26" s="22" t="s">
        <v>62</v>
      </c>
      <c r="BP26" s="22" t="s">
        <v>62</v>
      </c>
      <c r="BQ26" s="22" t="s">
        <v>62</v>
      </c>
      <c r="BR26" s="22" t="s">
        <v>62</v>
      </c>
      <c r="BS26" s="22" t="s">
        <v>62</v>
      </c>
      <c r="BT26" s="22" t="s">
        <v>62</v>
      </c>
      <c r="BU26" s="22" t="s">
        <v>62</v>
      </c>
      <c r="BV26" s="22" t="s">
        <v>62</v>
      </c>
      <c r="BW26" s="22" t="s">
        <v>62</v>
      </c>
      <c r="BX26" s="22" t="s">
        <v>62</v>
      </c>
      <c r="BY26" s="22" t="s">
        <v>62</v>
      </c>
      <c r="BZ26" s="22" t="s">
        <v>62</v>
      </c>
      <c r="CA26" s="22" t="s">
        <v>62</v>
      </c>
      <c r="CB26" s="22" t="s">
        <v>62</v>
      </c>
      <c r="CC26" s="22" t="s">
        <v>62</v>
      </c>
      <c r="CD26" s="22" t="s">
        <v>62</v>
      </c>
      <c r="CE26" s="22" t="s">
        <v>62</v>
      </c>
      <c r="CF26" s="22" t="s">
        <v>62</v>
      </c>
      <c r="CG26" s="20" t="s">
        <v>74</v>
      </c>
      <c r="CH26" s="20">
        <v>6.5399999999999996E-4</v>
      </c>
      <c r="CI26" s="19">
        <v>5</v>
      </c>
      <c r="CJ26" s="78" t="s">
        <v>224</v>
      </c>
      <c r="CK26" s="78" t="s">
        <v>224</v>
      </c>
      <c r="CL26" s="78" t="s">
        <v>224</v>
      </c>
      <c r="CM26" s="78">
        <v>214.873457</v>
      </c>
      <c r="CN26" s="78">
        <v>2</v>
      </c>
      <c r="CO26" s="78" t="s">
        <v>224</v>
      </c>
      <c r="CP26" s="78" t="s">
        <v>224</v>
      </c>
      <c r="CQ26" s="78" t="s">
        <v>224</v>
      </c>
      <c r="CR26" s="12" t="str">
        <f>IF(COUNTIF(Incl!A:A,Raw!J26),1, "")</f>
        <v/>
      </c>
    </row>
    <row r="27" spans="1:96" ht="13.5" thickTop="1" thickBot="1" x14ac:dyDescent="0.3">
      <c r="A27" s="18">
        <v>24</v>
      </c>
      <c r="B27" s="19">
        <v>1</v>
      </c>
      <c r="C27" s="20">
        <v>232.81606300000001</v>
      </c>
      <c r="D27" s="19">
        <v>24</v>
      </c>
      <c r="E27" s="19">
        <v>1</v>
      </c>
      <c r="F27" s="19">
        <v>53</v>
      </c>
      <c r="G27" s="21">
        <v>107</v>
      </c>
      <c r="H27" s="19">
        <v>107</v>
      </c>
      <c r="I27" s="19">
        <v>107</v>
      </c>
      <c r="J27" s="19">
        <v>107</v>
      </c>
      <c r="K27" s="20" t="s">
        <v>60</v>
      </c>
      <c r="L27" s="20" t="s">
        <v>79</v>
      </c>
      <c r="M27" s="20" t="s">
        <v>83</v>
      </c>
      <c r="N27" s="22">
        <v>7</v>
      </c>
      <c r="O27" s="22" t="s">
        <v>62</v>
      </c>
      <c r="P27" s="22" t="s">
        <v>62</v>
      </c>
      <c r="Q27" s="22" t="s">
        <v>62</v>
      </c>
      <c r="R27" s="22" t="s">
        <v>62</v>
      </c>
      <c r="S27" s="21" t="s">
        <v>62</v>
      </c>
      <c r="T27" s="19">
        <v>7</v>
      </c>
      <c r="U27" s="21" t="s">
        <v>62</v>
      </c>
      <c r="V27" s="21" t="s">
        <v>62</v>
      </c>
      <c r="W27" s="21" t="s">
        <v>62</v>
      </c>
      <c r="X27" s="21" t="s">
        <v>62</v>
      </c>
      <c r="Y27" s="19">
        <v>0</v>
      </c>
      <c r="Z27" s="19">
        <v>0</v>
      </c>
      <c r="AA27" s="19">
        <v>0</v>
      </c>
      <c r="AB27" s="19">
        <v>0</v>
      </c>
      <c r="AC27" s="19">
        <v>0</v>
      </c>
      <c r="AD27" s="19">
        <v>0</v>
      </c>
      <c r="AE27" s="19">
        <v>2</v>
      </c>
      <c r="AF27" s="19">
        <v>0</v>
      </c>
      <c r="AG27" s="21" t="s">
        <v>62</v>
      </c>
      <c r="AH27" s="19">
        <v>0</v>
      </c>
      <c r="AI27" s="19">
        <v>28</v>
      </c>
      <c r="AJ27" s="19">
        <v>0</v>
      </c>
      <c r="AK27" s="19">
        <v>0</v>
      </c>
      <c r="AL27" s="19">
        <v>0</v>
      </c>
      <c r="AM27" s="22">
        <v>0</v>
      </c>
      <c r="AN27" s="22">
        <v>0</v>
      </c>
      <c r="AO27" s="22">
        <v>1</v>
      </c>
      <c r="AP27" s="22">
        <v>0</v>
      </c>
      <c r="AQ27" s="22">
        <v>0</v>
      </c>
      <c r="AR27" s="22">
        <v>0</v>
      </c>
      <c r="AS27" s="22">
        <v>0</v>
      </c>
      <c r="AT27" s="22">
        <v>0</v>
      </c>
      <c r="AU27" s="22">
        <v>0</v>
      </c>
      <c r="AV27" s="22">
        <v>0</v>
      </c>
      <c r="AW27" s="22">
        <v>1</v>
      </c>
      <c r="AX27" s="22">
        <v>0</v>
      </c>
      <c r="AY27" s="22">
        <v>0</v>
      </c>
      <c r="AZ27" s="22">
        <v>0</v>
      </c>
      <c r="BA27" s="22">
        <v>0</v>
      </c>
      <c r="BB27" s="22">
        <v>0</v>
      </c>
      <c r="BC27" s="22">
        <v>0</v>
      </c>
      <c r="BD27" s="22">
        <v>0</v>
      </c>
      <c r="BE27" s="22">
        <v>0</v>
      </c>
      <c r="BF27" s="22">
        <v>0</v>
      </c>
      <c r="BG27" s="22">
        <v>1</v>
      </c>
      <c r="BH27" s="22">
        <v>0.1</v>
      </c>
      <c r="BI27" s="22" t="s">
        <v>77</v>
      </c>
      <c r="BJ27" s="22">
        <v>0</v>
      </c>
      <c r="BK27" s="22">
        <v>0</v>
      </c>
      <c r="BL27" s="22">
        <v>0</v>
      </c>
      <c r="BM27" s="22">
        <v>0</v>
      </c>
      <c r="BN27" s="22">
        <v>2</v>
      </c>
      <c r="BO27" s="22">
        <v>0</v>
      </c>
      <c r="BP27" s="22">
        <v>2</v>
      </c>
      <c r="BQ27" s="22">
        <v>0</v>
      </c>
      <c r="BR27" s="22">
        <v>0</v>
      </c>
      <c r="BS27" s="22">
        <v>0</v>
      </c>
      <c r="BT27" s="22">
        <v>4</v>
      </c>
      <c r="BU27" s="22">
        <v>0</v>
      </c>
      <c r="BV27" s="22">
        <v>0</v>
      </c>
      <c r="BW27" s="22">
        <v>0</v>
      </c>
      <c r="BX27" s="22">
        <v>0</v>
      </c>
      <c r="BY27" s="22">
        <v>0</v>
      </c>
      <c r="BZ27" s="22">
        <v>0</v>
      </c>
      <c r="CA27" s="22">
        <v>0</v>
      </c>
      <c r="CB27" s="22">
        <v>0</v>
      </c>
      <c r="CC27" s="22">
        <v>0</v>
      </c>
      <c r="CD27" s="22">
        <v>4</v>
      </c>
      <c r="CE27" s="22">
        <v>0.6</v>
      </c>
      <c r="CF27" s="22" t="s">
        <v>77</v>
      </c>
      <c r="CG27" s="20" t="s">
        <v>71</v>
      </c>
      <c r="CH27" s="20">
        <v>7.0699999999999995E-4</v>
      </c>
      <c r="CI27" s="19">
        <v>0</v>
      </c>
      <c r="CJ27" s="78">
        <v>1</v>
      </c>
      <c r="CK27" s="78">
        <v>1</v>
      </c>
      <c r="CL27" s="78" t="s">
        <v>224</v>
      </c>
      <c r="CM27" s="78">
        <v>232.81589700000001</v>
      </c>
      <c r="CN27" s="78">
        <v>1</v>
      </c>
      <c r="CO27" s="78">
        <v>1</v>
      </c>
      <c r="CP27" s="78" t="s">
        <v>224</v>
      </c>
      <c r="CQ27" s="78" t="s">
        <v>224</v>
      </c>
      <c r="CR27" s="12" t="str">
        <f>IF(COUNTIF(Incl!A:A,Raw!J27),1, "")</f>
        <v/>
      </c>
    </row>
    <row r="28" spans="1:96" ht="13.5" thickTop="1" thickBot="1" x14ac:dyDescent="0.3">
      <c r="A28" s="13">
        <v>25</v>
      </c>
      <c r="B28" s="14">
        <v>1</v>
      </c>
      <c r="C28" s="15">
        <v>140.85674</v>
      </c>
      <c r="D28" s="14">
        <v>25</v>
      </c>
      <c r="E28" s="14">
        <v>1</v>
      </c>
      <c r="F28" s="14">
        <v>54</v>
      </c>
      <c r="G28" s="16">
        <v>162</v>
      </c>
      <c r="H28" s="14">
        <v>162</v>
      </c>
      <c r="I28" s="14">
        <v>162</v>
      </c>
      <c r="J28" s="14">
        <v>162</v>
      </c>
      <c r="K28" s="15" t="s">
        <v>84</v>
      </c>
      <c r="L28" s="15" t="s">
        <v>60</v>
      </c>
      <c r="M28" s="15" t="s">
        <v>82</v>
      </c>
      <c r="N28" s="17" t="s">
        <v>62</v>
      </c>
      <c r="O28" s="17" t="s">
        <v>62</v>
      </c>
      <c r="P28" s="17">
        <v>2</v>
      </c>
      <c r="Q28" s="17" t="s">
        <v>62</v>
      </c>
      <c r="R28" s="17" t="s">
        <v>62</v>
      </c>
      <c r="S28" s="16" t="s">
        <v>62</v>
      </c>
      <c r="T28" s="14">
        <v>2</v>
      </c>
      <c r="U28" s="17">
        <v>2</v>
      </c>
      <c r="V28" s="17" t="s">
        <v>62</v>
      </c>
      <c r="W28" s="16" t="s">
        <v>62</v>
      </c>
      <c r="X28" s="16" t="s">
        <v>62</v>
      </c>
      <c r="Y28" s="14">
        <v>114</v>
      </c>
      <c r="Z28" s="14">
        <v>0</v>
      </c>
      <c r="AA28" s="14">
        <v>0</v>
      </c>
      <c r="AB28" s="14">
        <v>0</v>
      </c>
      <c r="AC28" s="14">
        <v>1</v>
      </c>
      <c r="AD28" s="14">
        <v>0</v>
      </c>
      <c r="AE28" s="14">
        <v>1</v>
      </c>
      <c r="AF28" s="14">
        <v>0</v>
      </c>
      <c r="AG28" s="16" t="s">
        <v>62</v>
      </c>
      <c r="AH28" s="14">
        <v>0</v>
      </c>
      <c r="AI28" s="14">
        <v>57</v>
      </c>
      <c r="AJ28" s="14">
        <v>0</v>
      </c>
      <c r="AK28" s="14">
        <v>0</v>
      </c>
      <c r="AL28" s="14">
        <v>0</v>
      </c>
      <c r="AM28" s="17">
        <v>2</v>
      </c>
      <c r="AN28" s="17">
        <v>2</v>
      </c>
      <c r="AO28" s="17">
        <v>2</v>
      </c>
      <c r="AP28" s="17">
        <v>2</v>
      </c>
      <c r="AQ28" s="17">
        <v>0</v>
      </c>
      <c r="AR28" s="17">
        <v>0</v>
      </c>
      <c r="AS28" s="17">
        <v>0</v>
      </c>
      <c r="AT28" s="17">
        <v>0</v>
      </c>
      <c r="AU28" s="17">
        <v>0</v>
      </c>
      <c r="AV28" s="17">
        <v>0</v>
      </c>
      <c r="AW28" s="17">
        <v>0</v>
      </c>
      <c r="AX28" s="17">
        <v>0</v>
      </c>
      <c r="AY28" s="17">
        <v>0</v>
      </c>
      <c r="AZ28" s="17">
        <v>2</v>
      </c>
      <c r="BA28" s="17">
        <v>0</v>
      </c>
      <c r="BB28" s="17">
        <v>0</v>
      </c>
      <c r="BC28" s="17">
        <v>0</v>
      </c>
      <c r="BD28" s="17">
        <v>0</v>
      </c>
      <c r="BE28" s="17">
        <v>0</v>
      </c>
      <c r="BF28" s="17">
        <v>0</v>
      </c>
      <c r="BG28" s="17">
        <v>2</v>
      </c>
      <c r="BH28" s="17">
        <v>1.1000000000000001</v>
      </c>
      <c r="BI28" s="17" t="s">
        <v>68</v>
      </c>
      <c r="BJ28" s="17">
        <v>0</v>
      </c>
      <c r="BK28" s="17">
        <v>0</v>
      </c>
      <c r="BL28" s="17">
        <v>0</v>
      </c>
      <c r="BM28" s="17">
        <v>0</v>
      </c>
      <c r="BN28" s="17">
        <v>1</v>
      </c>
      <c r="BO28" s="17">
        <v>2</v>
      </c>
      <c r="BP28" s="17">
        <v>1</v>
      </c>
      <c r="BQ28" s="17">
        <v>0</v>
      </c>
      <c r="BR28" s="17">
        <v>0</v>
      </c>
      <c r="BS28" s="17">
        <v>0</v>
      </c>
      <c r="BT28" s="17">
        <v>2</v>
      </c>
      <c r="BU28" s="17">
        <v>1</v>
      </c>
      <c r="BV28" s="17">
        <v>0</v>
      </c>
      <c r="BW28" s="17">
        <v>0</v>
      </c>
      <c r="BX28" s="17">
        <v>0</v>
      </c>
      <c r="BY28" s="17">
        <v>0</v>
      </c>
      <c r="BZ28" s="17">
        <v>0</v>
      </c>
      <c r="CA28" s="17">
        <v>0</v>
      </c>
      <c r="CB28" s="17">
        <v>0</v>
      </c>
      <c r="CC28" s="17">
        <v>0</v>
      </c>
      <c r="CD28" s="17">
        <v>3</v>
      </c>
      <c r="CE28" s="17">
        <v>1.7</v>
      </c>
      <c r="CF28" s="17" t="s">
        <v>68</v>
      </c>
      <c r="CG28" s="15" t="s">
        <v>64</v>
      </c>
      <c r="CH28" s="15">
        <v>4.6200000000000001E-4</v>
      </c>
      <c r="CI28" s="14">
        <v>1</v>
      </c>
      <c r="CJ28" s="79" t="s">
        <v>224</v>
      </c>
      <c r="CK28" s="79" t="s">
        <v>224</v>
      </c>
      <c r="CL28" s="79" t="s">
        <v>224</v>
      </c>
      <c r="CM28" s="79">
        <v>140.85694599999999</v>
      </c>
      <c r="CN28" s="79">
        <v>1</v>
      </c>
      <c r="CO28" s="79">
        <v>0</v>
      </c>
      <c r="CP28" s="79" t="s">
        <v>224</v>
      </c>
      <c r="CQ28" s="79" t="s">
        <v>224</v>
      </c>
      <c r="CR28" s="12" t="str">
        <f>IF(COUNTIF(Incl!A:A,Raw!J28),1, "")</f>
        <v/>
      </c>
    </row>
    <row r="29" spans="1:96" ht="13.5" thickTop="1" thickBot="1" x14ac:dyDescent="0.3">
      <c r="A29" s="18">
        <v>26</v>
      </c>
      <c r="B29" s="19">
        <v>1</v>
      </c>
      <c r="C29" s="20">
        <v>159.55662899999999</v>
      </c>
      <c r="D29" s="19">
        <v>26</v>
      </c>
      <c r="E29" s="19">
        <v>1</v>
      </c>
      <c r="F29" s="19">
        <v>55</v>
      </c>
      <c r="G29" s="21">
        <v>163</v>
      </c>
      <c r="H29" s="19">
        <v>163</v>
      </c>
      <c r="I29" s="19">
        <v>163</v>
      </c>
      <c r="J29" s="19">
        <v>163</v>
      </c>
      <c r="K29" s="20" t="s">
        <v>84</v>
      </c>
      <c r="L29" s="20" t="s">
        <v>82</v>
      </c>
      <c r="M29" s="20" t="s">
        <v>60</v>
      </c>
      <c r="N29" s="22" t="s">
        <v>62</v>
      </c>
      <c r="O29" s="22">
        <v>6</v>
      </c>
      <c r="P29" s="22" t="s">
        <v>62</v>
      </c>
      <c r="Q29" s="22" t="s">
        <v>62</v>
      </c>
      <c r="R29" s="22" t="s">
        <v>62</v>
      </c>
      <c r="S29" s="21" t="s">
        <v>62</v>
      </c>
      <c r="T29" s="19">
        <v>6</v>
      </c>
      <c r="U29" s="21">
        <v>5</v>
      </c>
      <c r="V29" s="21">
        <v>1</v>
      </c>
      <c r="W29" s="21">
        <v>6</v>
      </c>
      <c r="X29" s="21" t="s">
        <v>62</v>
      </c>
      <c r="Y29" s="19">
        <v>83</v>
      </c>
      <c r="Z29" s="19">
        <v>17</v>
      </c>
      <c r="AA29" s="19">
        <v>100</v>
      </c>
      <c r="AB29" s="19">
        <v>0</v>
      </c>
      <c r="AC29" s="19">
        <v>2</v>
      </c>
      <c r="AD29" s="19">
        <v>5</v>
      </c>
      <c r="AE29" s="19">
        <v>5</v>
      </c>
      <c r="AF29" s="19">
        <v>4</v>
      </c>
      <c r="AG29" s="21" t="s">
        <v>62</v>
      </c>
      <c r="AH29" s="19">
        <v>83</v>
      </c>
      <c r="AI29" s="19">
        <v>83</v>
      </c>
      <c r="AJ29" s="19">
        <v>67</v>
      </c>
      <c r="AK29" s="19">
        <v>0</v>
      </c>
      <c r="AL29" s="19">
        <v>2</v>
      </c>
      <c r="AM29" s="22">
        <v>5</v>
      </c>
      <c r="AN29" s="22">
        <v>1</v>
      </c>
      <c r="AO29" s="22">
        <v>1</v>
      </c>
      <c r="AP29" s="22">
        <v>1</v>
      </c>
      <c r="AQ29" s="22">
        <v>1</v>
      </c>
      <c r="AR29" s="22">
        <v>3</v>
      </c>
      <c r="AS29" s="22">
        <v>5</v>
      </c>
      <c r="AT29" s="22">
        <v>5</v>
      </c>
      <c r="AU29" s="22">
        <v>6</v>
      </c>
      <c r="AV29" s="22">
        <v>1</v>
      </c>
      <c r="AW29" s="22">
        <v>10</v>
      </c>
      <c r="AX29" s="22">
        <v>6</v>
      </c>
      <c r="AY29" s="22">
        <v>1</v>
      </c>
      <c r="AZ29" s="22">
        <v>1</v>
      </c>
      <c r="BA29" s="22">
        <v>0</v>
      </c>
      <c r="BB29" s="22">
        <v>0</v>
      </c>
      <c r="BC29" s="22">
        <v>0</v>
      </c>
      <c r="BD29" s="22">
        <v>0</v>
      </c>
      <c r="BE29" s="22">
        <v>0</v>
      </c>
      <c r="BF29" s="22">
        <v>0</v>
      </c>
      <c r="BG29" s="22">
        <v>18</v>
      </c>
      <c r="BH29" s="22">
        <v>3</v>
      </c>
      <c r="BI29" s="22" t="s">
        <v>63</v>
      </c>
      <c r="BJ29" s="22">
        <v>5</v>
      </c>
      <c r="BK29" s="22">
        <v>6</v>
      </c>
      <c r="BL29" s="22">
        <v>6</v>
      </c>
      <c r="BM29" s="22">
        <v>3</v>
      </c>
      <c r="BN29" s="22">
        <v>5</v>
      </c>
      <c r="BO29" s="22">
        <v>4</v>
      </c>
      <c r="BP29" s="22">
        <v>6</v>
      </c>
      <c r="BQ29" s="22">
        <v>6</v>
      </c>
      <c r="BR29" s="22">
        <v>4</v>
      </c>
      <c r="BS29" s="22">
        <v>2</v>
      </c>
      <c r="BT29" s="22">
        <v>6</v>
      </c>
      <c r="BU29" s="22">
        <v>3</v>
      </c>
      <c r="BV29" s="22">
        <v>2</v>
      </c>
      <c r="BW29" s="22">
        <v>1</v>
      </c>
      <c r="BX29" s="22">
        <v>1</v>
      </c>
      <c r="BY29" s="22">
        <v>0</v>
      </c>
      <c r="BZ29" s="22">
        <v>0</v>
      </c>
      <c r="CA29" s="22">
        <v>0</v>
      </c>
      <c r="CB29" s="22">
        <v>0</v>
      </c>
      <c r="CC29" s="22">
        <v>2</v>
      </c>
      <c r="CD29" s="22">
        <v>15</v>
      </c>
      <c r="CE29" s="22">
        <v>2.5</v>
      </c>
      <c r="CF29" s="22" t="s">
        <v>63</v>
      </c>
      <c r="CG29" s="20" t="s">
        <v>66</v>
      </c>
      <c r="CH29" s="20">
        <v>5.1599999999999997E-4</v>
      </c>
      <c r="CI29" s="19">
        <v>4</v>
      </c>
      <c r="CJ29" s="78" t="s">
        <v>224</v>
      </c>
      <c r="CK29" s="78" t="s">
        <v>224</v>
      </c>
      <c r="CL29" s="78" t="s">
        <v>224</v>
      </c>
      <c r="CM29" s="78">
        <v>159.55660499999999</v>
      </c>
      <c r="CN29" s="78">
        <v>1</v>
      </c>
      <c r="CO29" s="78">
        <v>0</v>
      </c>
      <c r="CP29" s="78" t="s">
        <v>224</v>
      </c>
      <c r="CQ29" s="78" t="s">
        <v>224</v>
      </c>
      <c r="CR29" s="12" t="str">
        <f>IF(COUNTIF(Incl!A:A,Raw!J29),1, "")</f>
        <v/>
      </c>
    </row>
    <row r="30" spans="1:96" ht="13.5" thickTop="1" thickBot="1" x14ac:dyDescent="0.3">
      <c r="A30" s="13">
        <v>27</v>
      </c>
      <c r="B30" s="14">
        <v>1</v>
      </c>
      <c r="C30" s="15">
        <v>1292.5164219999999</v>
      </c>
      <c r="D30" s="14">
        <v>27</v>
      </c>
      <c r="E30" s="14">
        <v>1</v>
      </c>
      <c r="F30" s="14">
        <v>56</v>
      </c>
      <c r="G30" s="16">
        <v>108</v>
      </c>
      <c r="H30" s="14">
        <v>108</v>
      </c>
      <c r="I30" s="14">
        <v>108</v>
      </c>
      <c r="J30" s="14">
        <v>108</v>
      </c>
      <c r="K30" s="15" t="s">
        <v>60</v>
      </c>
      <c r="L30" s="15" t="s">
        <v>85</v>
      </c>
      <c r="M30" s="15" t="s">
        <v>81</v>
      </c>
      <c r="N30" s="17">
        <v>28</v>
      </c>
      <c r="O30" s="17">
        <v>8</v>
      </c>
      <c r="P30" s="17" t="s">
        <v>62</v>
      </c>
      <c r="Q30" s="17" t="s">
        <v>62</v>
      </c>
      <c r="R30" s="17" t="s">
        <v>62</v>
      </c>
      <c r="S30" s="16" t="s">
        <v>62</v>
      </c>
      <c r="T30" s="14">
        <v>35</v>
      </c>
      <c r="U30" s="16">
        <v>8</v>
      </c>
      <c r="V30" s="16">
        <v>18</v>
      </c>
      <c r="W30" s="16">
        <v>31</v>
      </c>
      <c r="X30" s="16" t="s">
        <v>62</v>
      </c>
      <c r="Y30" s="14">
        <v>23</v>
      </c>
      <c r="Z30" s="14">
        <v>51</v>
      </c>
      <c r="AA30" s="14">
        <v>88</v>
      </c>
      <c r="AB30" s="14">
        <v>0</v>
      </c>
      <c r="AC30" s="14">
        <v>1</v>
      </c>
      <c r="AD30" s="14">
        <v>19</v>
      </c>
      <c r="AE30" s="14">
        <v>28</v>
      </c>
      <c r="AF30" s="14">
        <v>30</v>
      </c>
      <c r="AG30" s="16" t="s">
        <v>62</v>
      </c>
      <c r="AH30" s="14">
        <v>54</v>
      </c>
      <c r="AI30" s="14">
        <v>79</v>
      </c>
      <c r="AJ30" s="14">
        <v>85</v>
      </c>
      <c r="AK30" s="14">
        <v>0</v>
      </c>
      <c r="AL30" s="14">
        <v>2</v>
      </c>
      <c r="AM30" s="17">
        <v>8</v>
      </c>
      <c r="AN30" s="17">
        <v>13</v>
      </c>
      <c r="AO30" s="17">
        <v>11</v>
      </c>
      <c r="AP30" s="17">
        <v>10</v>
      </c>
      <c r="AQ30" s="17">
        <v>18</v>
      </c>
      <c r="AR30" s="17">
        <v>26</v>
      </c>
      <c r="AS30" s="17">
        <v>27</v>
      </c>
      <c r="AT30" s="17">
        <v>30</v>
      </c>
      <c r="AU30" s="17">
        <v>31</v>
      </c>
      <c r="AV30" s="17">
        <v>28</v>
      </c>
      <c r="AW30" s="17">
        <v>58</v>
      </c>
      <c r="AX30" s="17">
        <v>24</v>
      </c>
      <c r="AY30" s="17">
        <v>6</v>
      </c>
      <c r="AZ30" s="17">
        <v>6</v>
      </c>
      <c r="BA30" s="17">
        <v>0</v>
      </c>
      <c r="BB30" s="17">
        <v>1</v>
      </c>
      <c r="BC30" s="17">
        <v>0</v>
      </c>
      <c r="BD30" s="17">
        <v>1</v>
      </c>
      <c r="BE30" s="17">
        <v>0</v>
      </c>
      <c r="BF30" s="17">
        <v>4</v>
      </c>
      <c r="BG30" s="17">
        <v>100</v>
      </c>
      <c r="BH30" s="17">
        <v>2.8</v>
      </c>
      <c r="BI30" s="17" t="s">
        <v>63</v>
      </c>
      <c r="BJ30" s="17">
        <v>19</v>
      </c>
      <c r="BK30" s="17">
        <v>26</v>
      </c>
      <c r="BL30" s="17">
        <v>32</v>
      </c>
      <c r="BM30" s="17">
        <v>29</v>
      </c>
      <c r="BN30" s="17">
        <v>28</v>
      </c>
      <c r="BO30" s="17">
        <v>27</v>
      </c>
      <c r="BP30" s="17">
        <v>26</v>
      </c>
      <c r="BQ30" s="17">
        <v>31</v>
      </c>
      <c r="BR30" s="17">
        <v>30</v>
      </c>
      <c r="BS30" s="17">
        <v>24</v>
      </c>
      <c r="BT30" s="17">
        <v>63</v>
      </c>
      <c r="BU30" s="17">
        <v>28</v>
      </c>
      <c r="BV30" s="17">
        <v>5</v>
      </c>
      <c r="BW30" s="17">
        <v>3</v>
      </c>
      <c r="BX30" s="17">
        <v>2</v>
      </c>
      <c r="BY30" s="17">
        <v>2</v>
      </c>
      <c r="BZ30" s="17">
        <v>0</v>
      </c>
      <c r="CA30" s="17">
        <v>2</v>
      </c>
      <c r="CB30" s="17">
        <v>2</v>
      </c>
      <c r="CC30" s="17">
        <v>7</v>
      </c>
      <c r="CD30" s="17">
        <v>114</v>
      </c>
      <c r="CE30" s="17">
        <v>3.2</v>
      </c>
      <c r="CF30" s="17" t="s">
        <v>65</v>
      </c>
      <c r="CG30" s="15" t="s">
        <v>74</v>
      </c>
      <c r="CH30" s="15">
        <v>3.8990000000000001E-3</v>
      </c>
      <c r="CI30" s="14">
        <v>3</v>
      </c>
      <c r="CJ30" s="79" t="s">
        <v>224</v>
      </c>
      <c r="CK30" s="79" t="s">
        <v>224</v>
      </c>
      <c r="CL30" s="79" t="s">
        <v>224</v>
      </c>
      <c r="CM30" s="79">
        <v>1292.516588</v>
      </c>
      <c r="CN30" s="79">
        <v>1</v>
      </c>
      <c r="CO30" s="79">
        <v>1</v>
      </c>
      <c r="CP30" s="79" t="s">
        <v>224</v>
      </c>
      <c r="CQ30" s="79" t="s">
        <v>224</v>
      </c>
      <c r="CR30" s="12" t="str">
        <f>IF(COUNTIF(Incl!A:A,Raw!J30),1, "")</f>
        <v/>
      </c>
    </row>
    <row r="31" spans="1:96" ht="13.5" thickTop="1" thickBot="1" x14ac:dyDescent="0.3">
      <c r="A31" s="13">
        <v>28</v>
      </c>
      <c r="B31" s="14">
        <v>1</v>
      </c>
      <c r="C31" s="15">
        <v>765.647021</v>
      </c>
      <c r="D31" s="14">
        <v>28</v>
      </c>
      <c r="E31" s="14">
        <v>1</v>
      </c>
      <c r="F31" s="14">
        <v>57</v>
      </c>
      <c r="G31" s="16">
        <v>109</v>
      </c>
      <c r="H31" s="14">
        <v>109</v>
      </c>
      <c r="I31" s="14">
        <v>109</v>
      </c>
      <c r="J31" s="14">
        <v>109</v>
      </c>
      <c r="K31" s="15" t="s">
        <v>60</v>
      </c>
      <c r="L31" s="15" t="s">
        <v>83</v>
      </c>
      <c r="M31" s="15" t="s">
        <v>86</v>
      </c>
      <c r="N31" s="17" t="s">
        <v>62</v>
      </c>
      <c r="O31" s="17">
        <v>26</v>
      </c>
      <c r="P31" s="17" t="s">
        <v>62</v>
      </c>
      <c r="Q31" s="17" t="s">
        <v>62</v>
      </c>
      <c r="R31" s="17" t="s">
        <v>62</v>
      </c>
      <c r="S31" s="16" t="s">
        <v>62</v>
      </c>
      <c r="T31" s="14">
        <v>26</v>
      </c>
      <c r="U31" s="16">
        <v>11</v>
      </c>
      <c r="V31" s="16">
        <v>11</v>
      </c>
      <c r="W31" s="16">
        <v>18</v>
      </c>
      <c r="X31" s="16" t="s">
        <v>62</v>
      </c>
      <c r="Y31" s="14">
        <v>42</v>
      </c>
      <c r="Z31" s="14">
        <v>42</v>
      </c>
      <c r="AA31" s="14">
        <v>69</v>
      </c>
      <c r="AB31" s="14">
        <v>0</v>
      </c>
      <c r="AC31" s="14">
        <v>0</v>
      </c>
      <c r="AD31" s="14">
        <v>23</v>
      </c>
      <c r="AE31" s="14">
        <v>15</v>
      </c>
      <c r="AF31" s="14">
        <v>17</v>
      </c>
      <c r="AG31" s="16" t="s">
        <v>62</v>
      </c>
      <c r="AH31" s="14">
        <v>89</v>
      </c>
      <c r="AI31" s="14">
        <v>58</v>
      </c>
      <c r="AJ31" s="14">
        <v>66</v>
      </c>
      <c r="AK31" s="14">
        <v>0</v>
      </c>
      <c r="AL31" s="14">
        <v>1</v>
      </c>
      <c r="AM31" s="17">
        <v>11</v>
      </c>
      <c r="AN31" s="17">
        <v>8</v>
      </c>
      <c r="AO31" s="17">
        <v>10</v>
      </c>
      <c r="AP31" s="17">
        <v>10</v>
      </c>
      <c r="AQ31" s="17">
        <v>11</v>
      </c>
      <c r="AR31" s="17">
        <v>18</v>
      </c>
      <c r="AS31" s="17">
        <v>12</v>
      </c>
      <c r="AT31" s="17">
        <v>12</v>
      </c>
      <c r="AU31" s="17">
        <v>18</v>
      </c>
      <c r="AV31" s="17">
        <v>19</v>
      </c>
      <c r="AW31" s="17">
        <v>26</v>
      </c>
      <c r="AX31" s="17">
        <v>8</v>
      </c>
      <c r="AY31" s="17">
        <v>5</v>
      </c>
      <c r="AZ31" s="17">
        <v>5</v>
      </c>
      <c r="BA31" s="17">
        <v>4</v>
      </c>
      <c r="BB31" s="17">
        <v>2</v>
      </c>
      <c r="BC31" s="17">
        <v>0</v>
      </c>
      <c r="BD31" s="17">
        <v>0</v>
      </c>
      <c r="BE31" s="17">
        <v>0</v>
      </c>
      <c r="BF31" s="17">
        <v>2</v>
      </c>
      <c r="BG31" s="17">
        <v>52</v>
      </c>
      <c r="BH31" s="17">
        <v>2</v>
      </c>
      <c r="BI31" s="17" t="s">
        <v>68</v>
      </c>
      <c r="BJ31" s="17">
        <v>23</v>
      </c>
      <c r="BK31" s="17">
        <v>21</v>
      </c>
      <c r="BL31" s="17">
        <v>22</v>
      </c>
      <c r="BM31" s="17">
        <v>15</v>
      </c>
      <c r="BN31" s="17">
        <v>15</v>
      </c>
      <c r="BO31" s="17">
        <v>10</v>
      </c>
      <c r="BP31" s="17">
        <v>13</v>
      </c>
      <c r="BQ31" s="17">
        <v>15</v>
      </c>
      <c r="BR31" s="17">
        <v>17</v>
      </c>
      <c r="BS31" s="17">
        <v>19</v>
      </c>
      <c r="BT31" s="17">
        <v>54</v>
      </c>
      <c r="BU31" s="17">
        <v>9</v>
      </c>
      <c r="BV31" s="17">
        <v>4</v>
      </c>
      <c r="BW31" s="17">
        <v>2</v>
      </c>
      <c r="BX31" s="17">
        <v>2</v>
      </c>
      <c r="BY31" s="17">
        <v>0</v>
      </c>
      <c r="BZ31" s="17">
        <v>3</v>
      </c>
      <c r="CA31" s="17">
        <v>1</v>
      </c>
      <c r="CB31" s="17">
        <v>1</v>
      </c>
      <c r="CC31" s="17">
        <v>3</v>
      </c>
      <c r="CD31" s="17">
        <v>79</v>
      </c>
      <c r="CE31" s="17">
        <v>3.1</v>
      </c>
      <c r="CF31" s="17" t="s">
        <v>65</v>
      </c>
      <c r="CG31" s="15" t="s">
        <v>71</v>
      </c>
      <c r="CH31" s="15">
        <v>2.32E-3</v>
      </c>
      <c r="CI31" s="14">
        <v>1</v>
      </c>
      <c r="CJ31" s="79">
        <v>1</v>
      </c>
      <c r="CK31" s="79">
        <v>1</v>
      </c>
      <c r="CL31" s="79" t="s">
        <v>224</v>
      </c>
      <c r="CM31" s="79">
        <v>765.64710100000002</v>
      </c>
      <c r="CN31" s="79">
        <v>1</v>
      </c>
      <c r="CO31" s="79">
        <v>1</v>
      </c>
      <c r="CP31" s="79" t="s">
        <v>224</v>
      </c>
      <c r="CQ31" s="79" t="s">
        <v>224</v>
      </c>
      <c r="CR31" s="12" t="str">
        <f>IF(COUNTIF(Incl!A:A,Raw!J31),1, "")</f>
        <v/>
      </c>
    </row>
    <row r="32" spans="1:96" ht="13.5" thickTop="1" thickBot="1" x14ac:dyDescent="0.3">
      <c r="A32" s="18">
        <v>29</v>
      </c>
      <c r="B32" s="19">
        <v>1</v>
      </c>
      <c r="C32" s="20">
        <v>173.35116099999999</v>
      </c>
      <c r="D32" s="19">
        <v>29</v>
      </c>
      <c r="E32" s="19">
        <v>1</v>
      </c>
      <c r="F32" s="19">
        <v>58</v>
      </c>
      <c r="G32" s="21">
        <v>73</v>
      </c>
      <c r="H32" s="19">
        <v>73</v>
      </c>
      <c r="I32" s="19">
        <v>73</v>
      </c>
      <c r="J32" s="19">
        <v>73</v>
      </c>
      <c r="K32" s="20" t="s">
        <v>82</v>
      </c>
      <c r="L32" s="20" t="s">
        <v>83</v>
      </c>
      <c r="M32" s="20" t="s">
        <v>87</v>
      </c>
      <c r="N32" s="22" t="s">
        <v>62</v>
      </c>
      <c r="O32" s="22" t="s">
        <v>62</v>
      </c>
      <c r="P32" s="22">
        <v>8</v>
      </c>
      <c r="Q32" s="22" t="s">
        <v>62</v>
      </c>
      <c r="R32" s="22" t="s">
        <v>62</v>
      </c>
      <c r="S32" s="21" t="s">
        <v>62</v>
      </c>
      <c r="T32" s="19">
        <v>8</v>
      </c>
      <c r="U32" s="21">
        <v>9</v>
      </c>
      <c r="V32" s="21">
        <v>4</v>
      </c>
      <c r="W32" s="21">
        <v>4</v>
      </c>
      <c r="X32" s="21">
        <v>4</v>
      </c>
      <c r="Y32" s="19">
        <v>117</v>
      </c>
      <c r="Z32" s="19">
        <v>52</v>
      </c>
      <c r="AA32" s="19">
        <v>52</v>
      </c>
      <c r="AB32" s="19">
        <v>52</v>
      </c>
      <c r="AC32" s="19">
        <v>1</v>
      </c>
      <c r="AD32" s="19">
        <v>5</v>
      </c>
      <c r="AE32" s="19">
        <v>5</v>
      </c>
      <c r="AF32" s="19">
        <v>3</v>
      </c>
      <c r="AG32" s="21">
        <v>4</v>
      </c>
      <c r="AH32" s="19">
        <v>65</v>
      </c>
      <c r="AI32" s="19">
        <v>65</v>
      </c>
      <c r="AJ32" s="19">
        <v>39</v>
      </c>
      <c r="AK32" s="19">
        <v>52</v>
      </c>
      <c r="AL32" s="19">
        <v>0</v>
      </c>
      <c r="AM32" s="22" t="s">
        <v>62</v>
      </c>
      <c r="AN32" s="22" t="s">
        <v>62</v>
      </c>
      <c r="AO32" s="22" t="s">
        <v>62</v>
      </c>
      <c r="AP32" s="22" t="s">
        <v>62</v>
      </c>
      <c r="AQ32" s="22" t="s">
        <v>62</v>
      </c>
      <c r="AR32" s="22" t="s">
        <v>62</v>
      </c>
      <c r="AS32" s="22" t="s">
        <v>62</v>
      </c>
      <c r="AT32" s="22" t="s">
        <v>62</v>
      </c>
      <c r="AU32" s="22" t="s">
        <v>62</v>
      </c>
      <c r="AV32" s="22" t="s">
        <v>62</v>
      </c>
      <c r="AW32" s="22" t="s">
        <v>62</v>
      </c>
      <c r="AX32" s="22" t="s">
        <v>62</v>
      </c>
      <c r="AY32" s="22" t="s">
        <v>62</v>
      </c>
      <c r="AZ32" s="22" t="s">
        <v>62</v>
      </c>
      <c r="BA32" s="22" t="s">
        <v>62</v>
      </c>
      <c r="BB32" s="22" t="s">
        <v>62</v>
      </c>
      <c r="BC32" s="22" t="s">
        <v>62</v>
      </c>
      <c r="BD32" s="22" t="s">
        <v>62</v>
      </c>
      <c r="BE32" s="22" t="s">
        <v>62</v>
      </c>
      <c r="BF32" s="22" t="s">
        <v>62</v>
      </c>
      <c r="BG32" s="22" t="s">
        <v>62</v>
      </c>
      <c r="BH32" s="22" t="s">
        <v>62</v>
      </c>
      <c r="BI32" s="22" t="s">
        <v>62</v>
      </c>
      <c r="BJ32" s="22" t="s">
        <v>62</v>
      </c>
      <c r="BK32" s="22" t="s">
        <v>62</v>
      </c>
      <c r="BL32" s="22" t="s">
        <v>62</v>
      </c>
      <c r="BM32" s="22" t="s">
        <v>62</v>
      </c>
      <c r="BN32" s="22" t="s">
        <v>62</v>
      </c>
      <c r="BO32" s="22" t="s">
        <v>62</v>
      </c>
      <c r="BP32" s="22" t="s">
        <v>62</v>
      </c>
      <c r="BQ32" s="22" t="s">
        <v>62</v>
      </c>
      <c r="BR32" s="22" t="s">
        <v>62</v>
      </c>
      <c r="BS32" s="22" t="s">
        <v>62</v>
      </c>
      <c r="BT32" s="22" t="s">
        <v>62</v>
      </c>
      <c r="BU32" s="22" t="s">
        <v>62</v>
      </c>
      <c r="BV32" s="22" t="s">
        <v>62</v>
      </c>
      <c r="BW32" s="22" t="s">
        <v>62</v>
      </c>
      <c r="BX32" s="22" t="s">
        <v>62</v>
      </c>
      <c r="BY32" s="22" t="s">
        <v>62</v>
      </c>
      <c r="BZ32" s="22" t="s">
        <v>62</v>
      </c>
      <c r="CA32" s="22" t="s">
        <v>62</v>
      </c>
      <c r="CB32" s="22" t="s">
        <v>62</v>
      </c>
      <c r="CC32" s="22" t="s">
        <v>62</v>
      </c>
      <c r="CD32" s="22" t="s">
        <v>62</v>
      </c>
      <c r="CE32" s="22" t="s">
        <v>62</v>
      </c>
      <c r="CF32" s="22" t="s">
        <v>62</v>
      </c>
      <c r="CG32" s="20" t="s">
        <v>71</v>
      </c>
      <c r="CH32" s="20">
        <v>5.1999999999999995E-4</v>
      </c>
      <c r="CI32" s="19">
        <v>1</v>
      </c>
      <c r="CJ32" s="78" t="s">
        <v>224</v>
      </c>
      <c r="CK32" s="78" t="s">
        <v>224</v>
      </c>
      <c r="CL32" s="78" t="s">
        <v>224</v>
      </c>
      <c r="CM32" s="78">
        <v>173.35113100000001</v>
      </c>
      <c r="CN32" s="78">
        <v>2</v>
      </c>
      <c r="CO32" s="78" t="s">
        <v>224</v>
      </c>
      <c r="CP32" s="78" t="s">
        <v>224</v>
      </c>
      <c r="CQ32" s="78" t="s">
        <v>224</v>
      </c>
      <c r="CR32" s="12" t="str">
        <f>IF(COUNTIF(Incl!A:A,Raw!J32),1, "")</f>
        <v/>
      </c>
    </row>
    <row r="33" spans="1:96" ht="13.5" thickTop="1" thickBot="1" x14ac:dyDescent="0.3">
      <c r="A33" s="13">
        <v>30</v>
      </c>
      <c r="B33" s="14">
        <v>1</v>
      </c>
      <c r="C33" s="15">
        <v>545.14276099999995</v>
      </c>
      <c r="D33" s="14">
        <v>30</v>
      </c>
      <c r="E33" s="14">
        <v>1</v>
      </c>
      <c r="F33" s="14">
        <v>59</v>
      </c>
      <c r="G33" s="16">
        <v>75</v>
      </c>
      <c r="H33" s="14">
        <v>75</v>
      </c>
      <c r="I33" s="14">
        <v>75</v>
      </c>
      <c r="J33" s="14">
        <v>75</v>
      </c>
      <c r="K33" s="15" t="s">
        <v>82</v>
      </c>
      <c r="L33" s="15" t="s">
        <v>87</v>
      </c>
      <c r="M33" s="15" t="s">
        <v>86</v>
      </c>
      <c r="N33" s="17" t="s">
        <v>62</v>
      </c>
      <c r="O33" s="17" t="s">
        <v>62</v>
      </c>
      <c r="P33" s="16">
        <v>18</v>
      </c>
      <c r="Q33" s="17" t="s">
        <v>62</v>
      </c>
      <c r="R33" s="17" t="s">
        <v>62</v>
      </c>
      <c r="S33" s="17" t="s">
        <v>62</v>
      </c>
      <c r="T33" s="14">
        <v>18</v>
      </c>
      <c r="U33" s="16">
        <v>16</v>
      </c>
      <c r="V33" s="16">
        <v>16</v>
      </c>
      <c r="W33" s="16">
        <v>14</v>
      </c>
      <c r="X33" s="16">
        <v>16</v>
      </c>
      <c r="Y33" s="14">
        <v>90</v>
      </c>
      <c r="Z33" s="14">
        <v>90</v>
      </c>
      <c r="AA33" s="14">
        <v>79</v>
      </c>
      <c r="AB33" s="14">
        <v>90</v>
      </c>
      <c r="AC33" s="14">
        <v>4</v>
      </c>
      <c r="AD33" s="14">
        <v>18</v>
      </c>
      <c r="AE33" s="14">
        <v>16</v>
      </c>
      <c r="AF33" s="14">
        <v>18</v>
      </c>
      <c r="AG33" s="16">
        <v>17</v>
      </c>
      <c r="AH33" s="14">
        <v>101</v>
      </c>
      <c r="AI33" s="14">
        <v>90</v>
      </c>
      <c r="AJ33" s="14">
        <v>101</v>
      </c>
      <c r="AK33" s="14">
        <v>96</v>
      </c>
      <c r="AL33" s="14">
        <v>4</v>
      </c>
      <c r="AM33" s="17" t="s">
        <v>62</v>
      </c>
      <c r="AN33" s="17" t="s">
        <v>62</v>
      </c>
      <c r="AO33" s="17" t="s">
        <v>62</v>
      </c>
      <c r="AP33" s="17" t="s">
        <v>62</v>
      </c>
      <c r="AQ33" s="17" t="s">
        <v>62</v>
      </c>
      <c r="AR33" s="17" t="s">
        <v>62</v>
      </c>
      <c r="AS33" s="17" t="s">
        <v>62</v>
      </c>
      <c r="AT33" s="17" t="s">
        <v>62</v>
      </c>
      <c r="AU33" s="17" t="s">
        <v>62</v>
      </c>
      <c r="AV33" s="17" t="s">
        <v>62</v>
      </c>
      <c r="AW33" s="17" t="s">
        <v>62</v>
      </c>
      <c r="AX33" s="17" t="s">
        <v>62</v>
      </c>
      <c r="AY33" s="17" t="s">
        <v>62</v>
      </c>
      <c r="AZ33" s="17" t="s">
        <v>62</v>
      </c>
      <c r="BA33" s="17" t="s">
        <v>62</v>
      </c>
      <c r="BB33" s="17" t="s">
        <v>62</v>
      </c>
      <c r="BC33" s="17" t="s">
        <v>62</v>
      </c>
      <c r="BD33" s="17" t="s">
        <v>62</v>
      </c>
      <c r="BE33" s="17" t="s">
        <v>62</v>
      </c>
      <c r="BF33" s="17" t="s">
        <v>62</v>
      </c>
      <c r="BG33" s="17" t="s">
        <v>62</v>
      </c>
      <c r="BH33" s="17" t="s">
        <v>62</v>
      </c>
      <c r="BI33" s="17" t="s">
        <v>62</v>
      </c>
      <c r="BJ33" s="17" t="s">
        <v>62</v>
      </c>
      <c r="BK33" s="17" t="s">
        <v>62</v>
      </c>
      <c r="BL33" s="17" t="s">
        <v>62</v>
      </c>
      <c r="BM33" s="17" t="s">
        <v>62</v>
      </c>
      <c r="BN33" s="17" t="s">
        <v>62</v>
      </c>
      <c r="BO33" s="17" t="s">
        <v>62</v>
      </c>
      <c r="BP33" s="17" t="s">
        <v>62</v>
      </c>
      <c r="BQ33" s="17" t="s">
        <v>62</v>
      </c>
      <c r="BR33" s="17" t="s">
        <v>62</v>
      </c>
      <c r="BS33" s="17" t="s">
        <v>62</v>
      </c>
      <c r="BT33" s="17" t="s">
        <v>62</v>
      </c>
      <c r="BU33" s="17" t="s">
        <v>62</v>
      </c>
      <c r="BV33" s="17" t="s">
        <v>62</v>
      </c>
      <c r="BW33" s="17" t="s">
        <v>62</v>
      </c>
      <c r="BX33" s="17" t="s">
        <v>62</v>
      </c>
      <c r="BY33" s="17" t="s">
        <v>62</v>
      </c>
      <c r="BZ33" s="17" t="s">
        <v>62</v>
      </c>
      <c r="CA33" s="17" t="s">
        <v>62</v>
      </c>
      <c r="CB33" s="17" t="s">
        <v>62</v>
      </c>
      <c r="CC33" s="17" t="s">
        <v>62</v>
      </c>
      <c r="CD33" s="17" t="s">
        <v>62</v>
      </c>
      <c r="CE33" s="17" t="s">
        <v>62</v>
      </c>
      <c r="CF33" s="17" t="s">
        <v>62</v>
      </c>
      <c r="CG33" s="15" t="s">
        <v>71</v>
      </c>
      <c r="CH33" s="15">
        <v>1.647E-3</v>
      </c>
      <c r="CI33" s="14">
        <v>8</v>
      </c>
      <c r="CJ33" s="79" t="s">
        <v>224</v>
      </c>
      <c r="CK33" s="79" t="s">
        <v>224</v>
      </c>
      <c r="CL33" s="79" t="s">
        <v>224</v>
      </c>
      <c r="CM33" s="79">
        <v>545.14293799999996</v>
      </c>
      <c r="CN33" s="79">
        <v>2</v>
      </c>
      <c r="CO33" s="79" t="s">
        <v>224</v>
      </c>
      <c r="CP33" s="79" t="s">
        <v>224</v>
      </c>
      <c r="CQ33" s="79" t="s">
        <v>224</v>
      </c>
      <c r="CR33" s="12" t="str">
        <f>IF(COUNTIF(Incl!A:A,Raw!J33),1, "")</f>
        <v/>
      </c>
    </row>
    <row r="34" spans="1:96" ht="13.5" thickTop="1" thickBot="1" x14ac:dyDescent="0.3">
      <c r="A34" s="18">
        <v>31</v>
      </c>
      <c r="B34" s="19">
        <v>1</v>
      </c>
      <c r="C34" s="20">
        <v>750.15014399999995</v>
      </c>
      <c r="D34" s="19">
        <v>31</v>
      </c>
      <c r="E34" s="19">
        <v>1</v>
      </c>
      <c r="F34" s="19">
        <v>60</v>
      </c>
      <c r="G34" s="21">
        <v>74</v>
      </c>
      <c r="H34" s="19">
        <v>74</v>
      </c>
      <c r="I34" s="19">
        <v>74</v>
      </c>
      <c r="J34" s="19">
        <v>74</v>
      </c>
      <c r="K34" s="20" t="s">
        <v>82</v>
      </c>
      <c r="L34" s="20" t="s">
        <v>86</v>
      </c>
      <c r="M34" s="20" t="s">
        <v>83</v>
      </c>
      <c r="N34" s="22" t="s">
        <v>62</v>
      </c>
      <c r="O34" s="22" t="s">
        <v>62</v>
      </c>
      <c r="P34" s="21">
        <v>28</v>
      </c>
      <c r="Q34" s="22" t="s">
        <v>62</v>
      </c>
      <c r="R34" s="22">
        <v>1</v>
      </c>
      <c r="S34" s="22" t="s">
        <v>62</v>
      </c>
      <c r="T34" s="19">
        <v>29</v>
      </c>
      <c r="U34" s="21">
        <v>27</v>
      </c>
      <c r="V34" s="21">
        <v>27</v>
      </c>
      <c r="W34" s="21">
        <v>25</v>
      </c>
      <c r="X34" s="21">
        <v>27</v>
      </c>
      <c r="Y34" s="19">
        <v>95</v>
      </c>
      <c r="Z34" s="19">
        <v>95</v>
      </c>
      <c r="AA34" s="19">
        <v>88</v>
      </c>
      <c r="AB34" s="19">
        <v>95</v>
      </c>
      <c r="AC34" s="19">
        <v>4</v>
      </c>
      <c r="AD34" s="19">
        <v>28</v>
      </c>
      <c r="AE34" s="19">
        <v>24</v>
      </c>
      <c r="AF34" s="19">
        <v>20</v>
      </c>
      <c r="AG34" s="21">
        <v>23</v>
      </c>
      <c r="AH34" s="19">
        <v>98</v>
      </c>
      <c r="AI34" s="19">
        <v>84</v>
      </c>
      <c r="AJ34" s="19">
        <v>70</v>
      </c>
      <c r="AK34" s="19">
        <v>81</v>
      </c>
      <c r="AL34" s="19">
        <v>3</v>
      </c>
      <c r="AM34" s="22" t="s">
        <v>62</v>
      </c>
      <c r="AN34" s="22" t="s">
        <v>62</v>
      </c>
      <c r="AO34" s="22" t="s">
        <v>62</v>
      </c>
      <c r="AP34" s="22" t="s">
        <v>62</v>
      </c>
      <c r="AQ34" s="22" t="s">
        <v>62</v>
      </c>
      <c r="AR34" s="22" t="s">
        <v>62</v>
      </c>
      <c r="AS34" s="22" t="s">
        <v>62</v>
      </c>
      <c r="AT34" s="22" t="s">
        <v>62</v>
      </c>
      <c r="AU34" s="22" t="s">
        <v>62</v>
      </c>
      <c r="AV34" s="22" t="s">
        <v>62</v>
      </c>
      <c r="AW34" s="22" t="s">
        <v>62</v>
      </c>
      <c r="AX34" s="22" t="s">
        <v>62</v>
      </c>
      <c r="AY34" s="22" t="s">
        <v>62</v>
      </c>
      <c r="AZ34" s="22" t="s">
        <v>62</v>
      </c>
      <c r="BA34" s="22" t="s">
        <v>62</v>
      </c>
      <c r="BB34" s="22" t="s">
        <v>62</v>
      </c>
      <c r="BC34" s="22" t="s">
        <v>62</v>
      </c>
      <c r="BD34" s="22" t="s">
        <v>62</v>
      </c>
      <c r="BE34" s="22" t="s">
        <v>62</v>
      </c>
      <c r="BF34" s="22" t="s">
        <v>62</v>
      </c>
      <c r="BG34" s="22" t="s">
        <v>62</v>
      </c>
      <c r="BH34" s="22" t="s">
        <v>62</v>
      </c>
      <c r="BI34" s="22" t="s">
        <v>62</v>
      </c>
      <c r="BJ34" s="22" t="s">
        <v>62</v>
      </c>
      <c r="BK34" s="22" t="s">
        <v>62</v>
      </c>
      <c r="BL34" s="22" t="s">
        <v>62</v>
      </c>
      <c r="BM34" s="22" t="s">
        <v>62</v>
      </c>
      <c r="BN34" s="22" t="s">
        <v>62</v>
      </c>
      <c r="BO34" s="22" t="s">
        <v>62</v>
      </c>
      <c r="BP34" s="22" t="s">
        <v>62</v>
      </c>
      <c r="BQ34" s="22" t="s">
        <v>62</v>
      </c>
      <c r="BR34" s="22" t="s">
        <v>62</v>
      </c>
      <c r="BS34" s="22" t="s">
        <v>62</v>
      </c>
      <c r="BT34" s="22" t="s">
        <v>62</v>
      </c>
      <c r="BU34" s="22" t="s">
        <v>62</v>
      </c>
      <c r="BV34" s="22" t="s">
        <v>62</v>
      </c>
      <c r="BW34" s="22" t="s">
        <v>62</v>
      </c>
      <c r="BX34" s="22" t="s">
        <v>62</v>
      </c>
      <c r="BY34" s="22" t="s">
        <v>62</v>
      </c>
      <c r="BZ34" s="22" t="s">
        <v>62</v>
      </c>
      <c r="CA34" s="22" t="s">
        <v>62</v>
      </c>
      <c r="CB34" s="22" t="s">
        <v>62</v>
      </c>
      <c r="CC34" s="22" t="s">
        <v>62</v>
      </c>
      <c r="CD34" s="22" t="s">
        <v>62</v>
      </c>
      <c r="CE34" s="22" t="s">
        <v>62</v>
      </c>
      <c r="CF34" s="22" t="s">
        <v>62</v>
      </c>
      <c r="CG34" s="20" t="s">
        <v>74</v>
      </c>
      <c r="CH34" s="20">
        <v>2.2790000000000002E-3</v>
      </c>
      <c r="CI34" s="19">
        <v>7</v>
      </c>
      <c r="CJ34" s="78" t="s">
        <v>224</v>
      </c>
      <c r="CK34" s="78" t="s">
        <v>224</v>
      </c>
      <c r="CL34" s="78" t="s">
        <v>224</v>
      </c>
      <c r="CM34" s="78">
        <v>750.15007000000003</v>
      </c>
      <c r="CN34" s="78">
        <v>2</v>
      </c>
      <c r="CO34" s="78" t="s">
        <v>224</v>
      </c>
      <c r="CP34" s="78" t="s">
        <v>224</v>
      </c>
      <c r="CQ34" s="78" t="s">
        <v>224</v>
      </c>
      <c r="CR34" s="12" t="str">
        <f>IF(COUNTIF(Incl!A:A,Raw!J34),1, "")</f>
        <v/>
      </c>
    </row>
    <row r="35" spans="1:96" ht="13.5" thickTop="1" thickBot="1" x14ac:dyDescent="0.3">
      <c r="A35" s="18">
        <v>32</v>
      </c>
      <c r="B35" s="19">
        <v>1</v>
      </c>
      <c r="C35" s="20">
        <v>116.012337</v>
      </c>
      <c r="D35" s="19">
        <v>32</v>
      </c>
      <c r="E35" s="19">
        <v>1</v>
      </c>
      <c r="F35" s="19">
        <v>61</v>
      </c>
      <c r="G35" s="21">
        <v>164</v>
      </c>
      <c r="H35" s="19">
        <v>164</v>
      </c>
      <c r="I35" s="19">
        <v>164</v>
      </c>
      <c r="J35" s="19">
        <v>164</v>
      </c>
      <c r="K35" s="20" t="s">
        <v>86</v>
      </c>
      <c r="L35" s="20" t="s">
        <v>60</v>
      </c>
      <c r="M35" s="20" t="s">
        <v>82</v>
      </c>
      <c r="N35" s="22">
        <v>6</v>
      </c>
      <c r="O35" s="22" t="s">
        <v>62</v>
      </c>
      <c r="P35" s="21" t="s">
        <v>62</v>
      </c>
      <c r="Q35" s="22" t="s">
        <v>62</v>
      </c>
      <c r="R35" s="22" t="s">
        <v>62</v>
      </c>
      <c r="S35" s="22" t="s">
        <v>62</v>
      </c>
      <c r="T35" s="19">
        <v>6</v>
      </c>
      <c r="U35" s="21">
        <v>2</v>
      </c>
      <c r="V35" s="21" t="s">
        <v>62</v>
      </c>
      <c r="W35" s="21" t="s">
        <v>62</v>
      </c>
      <c r="X35" s="21" t="s">
        <v>62</v>
      </c>
      <c r="Y35" s="19">
        <v>31</v>
      </c>
      <c r="Z35" s="19">
        <v>0</v>
      </c>
      <c r="AA35" s="19">
        <v>0</v>
      </c>
      <c r="AB35" s="19">
        <v>0</v>
      </c>
      <c r="AC35" s="19">
        <v>0</v>
      </c>
      <c r="AD35" s="19">
        <v>6</v>
      </c>
      <c r="AE35" s="19">
        <v>1</v>
      </c>
      <c r="AF35" s="19">
        <v>1</v>
      </c>
      <c r="AG35" s="21" t="s">
        <v>62</v>
      </c>
      <c r="AH35" s="19">
        <v>94</v>
      </c>
      <c r="AI35" s="19">
        <v>16</v>
      </c>
      <c r="AJ35" s="19">
        <v>16</v>
      </c>
      <c r="AK35" s="19">
        <v>0</v>
      </c>
      <c r="AL35" s="19">
        <v>1</v>
      </c>
      <c r="AM35" s="22">
        <v>2</v>
      </c>
      <c r="AN35" s="22">
        <v>1</v>
      </c>
      <c r="AO35" s="22">
        <v>1</v>
      </c>
      <c r="AP35" s="22">
        <v>1</v>
      </c>
      <c r="AQ35" s="22">
        <v>0</v>
      </c>
      <c r="AR35" s="22">
        <v>0</v>
      </c>
      <c r="AS35" s="22">
        <v>0</v>
      </c>
      <c r="AT35" s="22">
        <v>0</v>
      </c>
      <c r="AU35" s="22">
        <v>0</v>
      </c>
      <c r="AV35" s="22">
        <v>0</v>
      </c>
      <c r="AW35" s="22">
        <v>3</v>
      </c>
      <c r="AX35" s="22">
        <v>1</v>
      </c>
      <c r="AY35" s="22">
        <v>0</v>
      </c>
      <c r="AZ35" s="22">
        <v>0</v>
      </c>
      <c r="BA35" s="22">
        <v>0</v>
      </c>
      <c r="BB35" s="22">
        <v>0</v>
      </c>
      <c r="BC35" s="22">
        <v>0</v>
      </c>
      <c r="BD35" s="22">
        <v>0</v>
      </c>
      <c r="BE35" s="22">
        <v>0</v>
      </c>
      <c r="BF35" s="22">
        <v>0</v>
      </c>
      <c r="BG35" s="22">
        <v>4</v>
      </c>
      <c r="BH35" s="22">
        <v>0.6</v>
      </c>
      <c r="BI35" s="22" t="s">
        <v>77</v>
      </c>
      <c r="BJ35" s="22">
        <v>6</v>
      </c>
      <c r="BK35" s="22">
        <v>6</v>
      </c>
      <c r="BL35" s="22">
        <v>6</v>
      </c>
      <c r="BM35" s="22">
        <v>1</v>
      </c>
      <c r="BN35" s="22">
        <v>1</v>
      </c>
      <c r="BO35" s="22">
        <v>1</v>
      </c>
      <c r="BP35" s="22">
        <v>1</v>
      </c>
      <c r="BQ35" s="22">
        <v>1</v>
      </c>
      <c r="BR35" s="22">
        <v>1</v>
      </c>
      <c r="BS35" s="22">
        <v>0</v>
      </c>
      <c r="BT35" s="22">
        <v>12</v>
      </c>
      <c r="BU35" s="22">
        <v>2</v>
      </c>
      <c r="BV35" s="22">
        <v>0</v>
      </c>
      <c r="BW35" s="22">
        <v>2</v>
      </c>
      <c r="BX35" s="22">
        <v>0</v>
      </c>
      <c r="BY35" s="22">
        <v>0</v>
      </c>
      <c r="BZ35" s="22">
        <v>0</v>
      </c>
      <c r="CA35" s="22">
        <v>0</v>
      </c>
      <c r="CB35" s="22">
        <v>0</v>
      </c>
      <c r="CC35" s="22">
        <v>0</v>
      </c>
      <c r="CD35" s="22">
        <v>16</v>
      </c>
      <c r="CE35" s="22">
        <v>2.5</v>
      </c>
      <c r="CF35" s="22" t="s">
        <v>63</v>
      </c>
      <c r="CG35" s="20" t="s">
        <v>64</v>
      </c>
      <c r="CH35" s="20">
        <v>3.77E-4</v>
      </c>
      <c r="CI35" s="19">
        <v>1</v>
      </c>
      <c r="CJ35" s="78" t="s">
        <v>224</v>
      </c>
      <c r="CK35" s="78" t="s">
        <v>224</v>
      </c>
      <c r="CL35" s="78" t="s">
        <v>224</v>
      </c>
      <c r="CM35" s="78">
        <v>116.012344</v>
      </c>
      <c r="CN35" s="78">
        <v>1</v>
      </c>
      <c r="CO35" s="78">
        <v>0</v>
      </c>
      <c r="CP35" s="78" t="s">
        <v>224</v>
      </c>
      <c r="CQ35" s="78" t="s">
        <v>224</v>
      </c>
      <c r="CR35" s="12" t="str">
        <f>IF(COUNTIF(Incl!A:A,Raw!J35),1, "")</f>
        <v/>
      </c>
    </row>
    <row r="36" spans="1:96" ht="13.5" thickTop="1" thickBot="1" x14ac:dyDescent="0.3">
      <c r="A36" s="18">
        <v>33</v>
      </c>
      <c r="B36" s="19">
        <v>1</v>
      </c>
      <c r="C36" s="20">
        <v>161.51320100000001</v>
      </c>
      <c r="D36" s="19">
        <v>33</v>
      </c>
      <c r="E36" s="19">
        <v>1</v>
      </c>
      <c r="F36" s="19">
        <v>62</v>
      </c>
      <c r="G36" s="21">
        <v>165</v>
      </c>
      <c r="H36" s="19">
        <v>165</v>
      </c>
      <c r="I36" s="19">
        <v>165</v>
      </c>
      <c r="J36" s="19">
        <v>165</v>
      </c>
      <c r="K36" s="20" t="s">
        <v>86</v>
      </c>
      <c r="L36" s="20" t="s">
        <v>82</v>
      </c>
      <c r="M36" s="20" t="s">
        <v>60</v>
      </c>
      <c r="N36" s="22" t="s">
        <v>62</v>
      </c>
      <c r="O36" s="22" t="s">
        <v>62</v>
      </c>
      <c r="P36" s="21">
        <v>7</v>
      </c>
      <c r="Q36" s="22" t="s">
        <v>62</v>
      </c>
      <c r="R36" s="22" t="s">
        <v>62</v>
      </c>
      <c r="S36" s="22" t="s">
        <v>62</v>
      </c>
      <c r="T36" s="19">
        <v>7</v>
      </c>
      <c r="U36" s="21">
        <v>7</v>
      </c>
      <c r="V36" s="21">
        <v>5</v>
      </c>
      <c r="W36" s="21">
        <v>6</v>
      </c>
      <c r="X36" s="21" t="s">
        <v>62</v>
      </c>
      <c r="Y36" s="19">
        <v>95</v>
      </c>
      <c r="Z36" s="19">
        <v>68</v>
      </c>
      <c r="AA36" s="19">
        <v>82</v>
      </c>
      <c r="AB36" s="19">
        <v>0</v>
      </c>
      <c r="AC36" s="19">
        <v>2</v>
      </c>
      <c r="AD36" s="19">
        <v>7</v>
      </c>
      <c r="AE36" s="19">
        <v>5</v>
      </c>
      <c r="AF36" s="19">
        <v>7</v>
      </c>
      <c r="AG36" s="21" t="s">
        <v>62</v>
      </c>
      <c r="AH36" s="19">
        <v>95</v>
      </c>
      <c r="AI36" s="19">
        <v>68</v>
      </c>
      <c r="AJ36" s="19">
        <v>95</v>
      </c>
      <c r="AK36" s="19">
        <v>0</v>
      </c>
      <c r="AL36" s="19">
        <v>2</v>
      </c>
      <c r="AM36" s="22">
        <v>7</v>
      </c>
      <c r="AN36" s="22">
        <v>6</v>
      </c>
      <c r="AO36" s="22">
        <v>6</v>
      </c>
      <c r="AP36" s="22">
        <v>6</v>
      </c>
      <c r="AQ36" s="22">
        <v>5</v>
      </c>
      <c r="AR36" s="22">
        <v>5</v>
      </c>
      <c r="AS36" s="22">
        <v>6</v>
      </c>
      <c r="AT36" s="22">
        <v>5</v>
      </c>
      <c r="AU36" s="22">
        <v>6</v>
      </c>
      <c r="AV36" s="22">
        <v>6</v>
      </c>
      <c r="AW36" s="22">
        <v>5</v>
      </c>
      <c r="AX36" s="22">
        <v>4</v>
      </c>
      <c r="AY36" s="22">
        <v>1</v>
      </c>
      <c r="AZ36" s="22">
        <v>0</v>
      </c>
      <c r="BA36" s="22">
        <v>1</v>
      </c>
      <c r="BB36" s="22">
        <v>0</v>
      </c>
      <c r="BC36" s="22">
        <v>1</v>
      </c>
      <c r="BD36" s="22">
        <v>0</v>
      </c>
      <c r="BE36" s="22">
        <v>0</v>
      </c>
      <c r="BF36" s="22">
        <v>3</v>
      </c>
      <c r="BG36" s="22">
        <v>15</v>
      </c>
      <c r="BH36" s="22">
        <v>2</v>
      </c>
      <c r="BI36" s="22" t="s">
        <v>68</v>
      </c>
      <c r="BJ36" s="22">
        <v>7</v>
      </c>
      <c r="BK36" s="22">
        <v>7</v>
      </c>
      <c r="BL36" s="22">
        <v>7</v>
      </c>
      <c r="BM36" s="22">
        <v>5</v>
      </c>
      <c r="BN36" s="22">
        <v>5</v>
      </c>
      <c r="BO36" s="22">
        <v>5</v>
      </c>
      <c r="BP36" s="22">
        <v>6</v>
      </c>
      <c r="BQ36" s="22">
        <v>6</v>
      </c>
      <c r="BR36" s="22">
        <v>7</v>
      </c>
      <c r="BS36" s="22">
        <v>7</v>
      </c>
      <c r="BT36" s="22">
        <v>6</v>
      </c>
      <c r="BU36" s="22">
        <v>1</v>
      </c>
      <c r="BV36" s="22">
        <v>1</v>
      </c>
      <c r="BW36" s="22">
        <v>1</v>
      </c>
      <c r="BX36" s="22">
        <v>0</v>
      </c>
      <c r="BY36" s="22">
        <v>0</v>
      </c>
      <c r="BZ36" s="22">
        <v>1</v>
      </c>
      <c r="CA36" s="22">
        <v>0</v>
      </c>
      <c r="CB36" s="22" t="s">
        <v>62</v>
      </c>
      <c r="CC36" s="22">
        <v>4</v>
      </c>
      <c r="CD36" s="22">
        <v>14</v>
      </c>
      <c r="CE36" s="22">
        <v>1.9</v>
      </c>
      <c r="CF36" s="22" t="s">
        <v>68</v>
      </c>
      <c r="CG36" s="20" t="s">
        <v>66</v>
      </c>
      <c r="CH36" s="20">
        <v>4.4200000000000001E-4</v>
      </c>
      <c r="CI36" s="19">
        <v>4</v>
      </c>
      <c r="CJ36" s="78">
        <v>2</v>
      </c>
      <c r="CK36" s="78" t="s">
        <v>224</v>
      </c>
      <c r="CL36" s="78" t="s">
        <v>224</v>
      </c>
      <c r="CM36" s="78">
        <v>136.11984000000001</v>
      </c>
      <c r="CN36" s="78">
        <v>1</v>
      </c>
      <c r="CO36" s="78">
        <v>0</v>
      </c>
      <c r="CP36" s="78" t="s">
        <v>224</v>
      </c>
      <c r="CQ36" s="78" t="s">
        <v>224</v>
      </c>
      <c r="CR36" s="12" t="str">
        <f>IF(COUNTIF(Incl!A:A,Raw!J36),1, "")</f>
        <v/>
      </c>
    </row>
    <row r="37" spans="1:96" ht="13.5" thickTop="1" thickBot="1" x14ac:dyDescent="0.3">
      <c r="A37" s="13">
        <v>34</v>
      </c>
      <c r="B37" s="14">
        <v>1</v>
      </c>
      <c r="C37" s="15">
        <v>829.07106299999998</v>
      </c>
      <c r="D37" s="14">
        <v>34</v>
      </c>
      <c r="E37" s="14">
        <v>1</v>
      </c>
      <c r="F37" s="14">
        <v>63</v>
      </c>
      <c r="G37" s="16">
        <v>76</v>
      </c>
      <c r="H37" s="14">
        <v>76</v>
      </c>
      <c r="I37" s="14">
        <v>76</v>
      </c>
      <c r="J37" s="14">
        <v>76</v>
      </c>
      <c r="K37" s="15" t="s">
        <v>82</v>
      </c>
      <c r="L37" s="15" t="s">
        <v>86</v>
      </c>
      <c r="M37" s="15" t="s">
        <v>88</v>
      </c>
      <c r="N37" s="17" t="s">
        <v>62</v>
      </c>
      <c r="O37" s="17" t="s">
        <v>62</v>
      </c>
      <c r="P37" s="17">
        <v>15</v>
      </c>
      <c r="Q37" s="17">
        <v>2</v>
      </c>
      <c r="R37" s="17">
        <v>8</v>
      </c>
      <c r="S37" s="16" t="s">
        <v>62</v>
      </c>
      <c r="T37" s="14">
        <v>25</v>
      </c>
      <c r="U37" s="16">
        <v>13</v>
      </c>
      <c r="V37" s="16">
        <v>15</v>
      </c>
      <c r="W37" s="16">
        <v>10</v>
      </c>
      <c r="X37" s="16" t="s">
        <v>62</v>
      </c>
      <c r="Y37" s="14">
        <v>51</v>
      </c>
      <c r="Z37" s="14">
        <v>59</v>
      </c>
      <c r="AA37" s="14">
        <v>39</v>
      </c>
      <c r="AB37" s="14">
        <v>0</v>
      </c>
      <c r="AC37" s="14">
        <v>0</v>
      </c>
      <c r="AD37" s="14">
        <v>12</v>
      </c>
      <c r="AE37" s="14">
        <v>9</v>
      </c>
      <c r="AF37" s="14">
        <v>6</v>
      </c>
      <c r="AG37" s="16" t="s">
        <v>62</v>
      </c>
      <c r="AH37" s="14">
        <v>47</v>
      </c>
      <c r="AI37" s="14">
        <v>35</v>
      </c>
      <c r="AJ37" s="14">
        <v>24</v>
      </c>
      <c r="AK37" s="14">
        <v>0</v>
      </c>
      <c r="AL37" s="14">
        <v>0</v>
      </c>
      <c r="AM37" s="17">
        <v>13</v>
      </c>
      <c r="AN37" s="17">
        <v>19</v>
      </c>
      <c r="AO37" s="17">
        <v>16</v>
      </c>
      <c r="AP37" s="17">
        <v>15</v>
      </c>
      <c r="AQ37" s="17">
        <v>15</v>
      </c>
      <c r="AR37" s="17">
        <v>17</v>
      </c>
      <c r="AS37" s="17">
        <v>21</v>
      </c>
      <c r="AT37" s="17">
        <v>21</v>
      </c>
      <c r="AU37" s="17">
        <v>10</v>
      </c>
      <c r="AV37" s="17">
        <v>9</v>
      </c>
      <c r="AW37" s="17">
        <v>54</v>
      </c>
      <c r="AX37" s="17">
        <v>19</v>
      </c>
      <c r="AY37" s="17">
        <v>0</v>
      </c>
      <c r="AZ37" s="17">
        <v>3</v>
      </c>
      <c r="BA37" s="17">
        <v>3</v>
      </c>
      <c r="BB37" s="17">
        <v>5</v>
      </c>
      <c r="BC37" s="17">
        <v>1</v>
      </c>
      <c r="BD37" s="17">
        <v>0</v>
      </c>
      <c r="BE37" s="17">
        <v>0</v>
      </c>
      <c r="BF37" s="17">
        <v>0</v>
      </c>
      <c r="BG37" s="17">
        <v>85</v>
      </c>
      <c r="BH37" s="17">
        <v>3.3</v>
      </c>
      <c r="BI37" s="17" t="s">
        <v>65</v>
      </c>
      <c r="BJ37" s="17">
        <v>12</v>
      </c>
      <c r="BK37" s="17">
        <v>12</v>
      </c>
      <c r="BL37" s="17">
        <v>13</v>
      </c>
      <c r="BM37" s="17">
        <v>9</v>
      </c>
      <c r="BN37" s="17">
        <v>9</v>
      </c>
      <c r="BO37" s="17">
        <v>7</v>
      </c>
      <c r="BP37" s="17">
        <v>6</v>
      </c>
      <c r="BQ37" s="17">
        <v>6</v>
      </c>
      <c r="BR37" s="17">
        <v>6</v>
      </c>
      <c r="BS37" s="17">
        <v>13</v>
      </c>
      <c r="BT37" s="17">
        <v>12</v>
      </c>
      <c r="BU37" s="17">
        <v>6</v>
      </c>
      <c r="BV37" s="17">
        <v>3</v>
      </c>
      <c r="BW37" s="17">
        <v>0</v>
      </c>
      <c r="BX37" s="17">
        <v>1</v>
      </c>
      <c r="BY37" s="17">
        <v>0</v>
      </c>
      <c r="BZ37" s="17">
        <v>0</v>
      </c>
      <c r="CA37" s="17">
        <v>2</v>
      </c>
      <c r="CB37" s="17">
        <v>1</v>
      </c>
      <c r="CC37" s="17">
        <v>3</v>
      </c>
      <c r="CD37" s="17">
        <v>28</v>
      </c>
      <c r="CE37" s="17">
        <v>1.1000000000000001</v>
      </c>
      <c r="CF37" s="17" t="s">
        <v>68</v>
      </c>
      <c r="CG37" s="15" t="s">
        <v>71</v>
      </c>
      <c r="CH37" s="15">
        <v>2.4030000000000002E-3</v>
      </c>
      <c r="CI37" s="14">
        <v>0</v>
      </c>
      <c r="CJ37" s="79">
        <v>4</v>
      </c>
      <c r="CK37" s="79" t="s">
        <v>224</v>
      </c>
      <c r="CL37" s="79" t="s">
        <v>224</v>
      </c>
      <c r="CM37" s="79">
        <v>791.03344000000004</v>
      </c>
      <c r="CN37" s="79">
        <v>1</v>
      </c>
      <c r="CO37" s="79" t="s">
        <v>224</v>
      </c>
      <c r="CP37" s="79" t="s">
        <v>224</v>
      </c>
      <c r="CQ37" s="79" t="s">
        <v>224</v>
      </c>
      <c r="CR37" s="12" t="str">
        <f>IF(COUNTIF(Incl!A:A,Raw!J37),1, "")</f>
        <v/>
      </c>
    </row>
    <row r="38" spans="1:96" ht="13.5" thickTop="1" thickBot="1" x14ac:dyDescent="0.3">
      <c r="A38" s="18">
        <v>35</v>
      </c>
      <c r="B38" s="19">
        <v>1</v>
      </c>
      <c r="C38" s="20">
        <v>204.180128</v>
      </c>
      <c r="D38" s="19">
        <v>35</v>
      </c>
      <c r="E38" s="19">
        <v>1</v>
      </c>
      <c r="F38" s="19">
        <v>64</v>
      </c>
      <c r="G38" s="21">
        <v>77</v>
      </c>
      <c r="H38" s="19">
        <v>77</v>
      </c>
      <c r="I38" s="19">
        <v>77</v>
      </c>
      <c r="J38" s="19">
        <v>77</v>
      </c>
      <c r="K38" s="20" t="s">
        <v>82</v>
      </c>
      <c r="L38" s="20" t="s">
        <v>85</v>
      </c>
      <c r="M38" s="20" t="s">
        <v>86</v>
      </c>
      <c r="N38" s="22" t="s">
        <v>62</v>
      </c>
      <c r="O38" s="22" t="s">
        <v>62</v>
      </c>
      <c r="P38" s="22">
        <v>9</v>
      </c>
      <c r="Q38" s="22" t="s">
        <v>62</v>
      </c>
      <c r="R38" s="22" t="s">
        <v>62</v>
      </c>
      <c r="S38" s="21" t="s">
        <v>62</v>
      </c>
      <c r="T38" s="19">
        <v>9</v>
      </c>
      <c r="U38" s="21">
        <v>9</v>
      </c>
      <c r="V38" s="21">
        <v>7</v>
      </c>
      <c r="W38" s="21">
        <v>4</v>
      </c>
      <c r="X38" s="21" t="s">
        <v>62</v>
      </c>
      <c r="Y38" s="19">
        <v>96</v>
      </c>
      <c r="Z38" s="19">
        <v>74</v>
      </c>
      <c r="AA38" s="19">
        <v>43</v>
      </c>
      <c r="AB38" s="19">
        <v>0</v>
      </c>
      <c r="AC38" s="19">
        <v>1</v>
      </c>
      <c r="AD38" s="19">
        <v>8</v>
      </c>
      <c r="AE38" s="19">
        <v>8</v>
      </c>
      <c r="AF38" s="19">
        <v>4</v>
      </c>
      <c r="AG38" s="21" t="s">
        <v>62</v>
      </c>
      <c r="AH38" s="19">
        <v>85</v>
      </c>
      <c r="AI38" s="19">
        <v>85</v>
      </c>
      <c r="AJ38" s="19">
        <v>43</v>
      </c>
      <c r="AK38" s="19">
        <v>0</v>
      </c>
      <c r="AL38" s="19">
        <v>2</v>
      </c>
      <c r="AM38" s="22">
        <v>9</v>
      </c>
      <c r="AN38" s="22">
        <v>9</v>
      </c>
      <c r="AO38" s="22">
        <v>9</v>
      </c>
      <c r="AP38" s="22">
        <v>8</v>
      </c>
      <c r="AQ38" s="22">
        <v>7</v>
      </c>
      <c r="AR38" s="22">
        <v>6</v>
      </c>
      <c r="AS38" s="22">
        <v>7</v>
      </c>
      <c r="AT38" s="22">
        <v>7</v>
      </c>
      <c r="AU38" s="22">
        <v>4</v>
      </c>
      <c r="AV38" s="22">
        <v>6</v>
      </c>
      <c r="AW38" s="22">
        <v>7</v>
      </c>
      <c r="AX38" s="22">
        <v>2</v>
      </c>
      <c r="AY38" s="22">
        <v>3</v>
      </c>
      <c r="AZ38" s="22">
        <v>1</v>
      </c>
      <c r="BA38" s="22">
        <v>2</v>
      </c>
      <c r="BB38" s="22">
        <v>0</v>
      </c>
      <c r="BC38" s="22">
        <v>0</v>
      </c>
      <c r="BD38" s="22">
        <v>0</v>
      </c>
      <c r="BE38" s="22">
        <v>2</v>
      </c>
      <c r="BF38" s="22">
        <v>2</v>
      </c>
      <c r="BG38" s="22">
        <v>19</v>
      </c>
      <c r="BH38" s="22">
        <v>2</v>
      </c>
      <c r="BI38" s="22" t="s">
        <v>68</v>
      </c>
      <c r="BJ38" s="22">
        <v>8</v>
      </c>
      <c r="BK38" s="22">
        <v>8</v>
      </c>
      <c r="BL38" s="22">
        <v>8</v>
      </c>
      <c r="BM38" s="22">
        <v>8</v>
      </c>
      <c r="BN38" s="22">
        <v>8</v>
      </c>
      <c r="BO38" s="22">
        <v>7</v>
      </c>
      <c r="BP38" s="22">
        <v>7</v>
      </c>
      <c r="BQ38" s="22">
        <v>4</v>
      </c>
      <c r="BR38" s="22">
        <v>4</v>
      </c>
      <c r="BS38" s="22">
        <v>4</v>
      </c>
      <c r="BT38" s="22">
        <v>4</v>
      </c>
      <c r="BU38" s="22">
        <v>1</v>
      </c>
      <c r="BV38" s="22">
        <v>0</v>
      </c>
      <c r="BW38" s="22">
        <v>1</v>
      </c>
      <c r="BX38" s="22">
        <v>3</v>
      </c>
      <c r="BY38" s="22">
        <v>0</v>
      </c>
      <c r="BZ38" s="22">
        <v>3</v>
      </c>
      <c r="CA38" s="22">
        <v>0</v>
      </c>
      <c r="CB38" s="22">
        <v>0</v>
      </c>
      <c r="CC38" s="22">
        <v>2</v>
      </c>
      <c r="CD38" s="22">
        <v>14</v>
      </c>
      <c r="CE38" s="22">
        <v>1.5</v>
      </c>
      <c r="CF38" s="22" t="s">
        <v>68</v>
      </c>
      <c r="CG38" s="20" t="s">
        <v>74</v>
      </c>
      <c r="CH38" s="20">
        <v>6.2399999999999999E-4</v>
      </c>
      <c r="CI38" s="19">
        <v>3</v>
      </c>
      <c r="CJ38" s="78">
        <v>2</v>
      </c>
      <c r="CK38" s="78" t="s">
        <v>224</v>
      </c>
      <c r="CL38" s="78" t="s">
        <v>224</v>
      </c>
      <c r="CM38" s="78">
        <v>204.18016499999999</v>
      </c>
      <c r="CN38" s="78">
        <v>1</v>
      </c>
      <c r="CO38" s="78" t="s">
        <v>224</v>
      </c>
      <c r="CP38" s="78" t="s">
        <v>224</v>
      </c>
      <c r="CQ38" s="78" t="s">
        <v>224</v>
      </c>
      <c r="CR38" s="12" t="str">
        <f>IF(COUNTIF(Incl!A:A,Raw!J38),1, "")</f>
        <v/>
      </c>
    </row>
    <row r="39" spans="1:96" ht="13.5" thickTop="1" thickBot="1" x14ac:dyDescent="0.3">
      <c r="A39" s="18">
        <v>36</v>
      </c>
      <c r="B39" s="19">
        <v>1</v>
      </c>
      <c r="C39" s="20">
        <v>865.18087300000002</v>
      </c>
      <c r="D39" s="19">
        <v>36</v>
      </c>
      <c r="E39" s="19">
        <v>1</v>
      </c>
      <c r="F39" s="19">
        <v>65</v>
      </c>
      <c r="G39" s="21">
        <v>78</v>
      </c>
      <c r="H39" s="19">
        <v>78</v>
      </c>
      <c r="I39" s="19">
        <v>78</v>
      </c>
      <c r="J39" s="19">
        <v>78</v>
      </c>
      <c r="K39" s="20" t="s">
        <v>82</v>
      </c>
      <c r="L39" s="20" t="s">
        <v>89</v>
      </c>
      <c r="M39" s="20" t="s">
        <v>85</v>
      </c>
      <c r="N39" s="22">
        <v>6</v>
      </c>
      <c r="O39" s="22">
        <v>14</v>
      </c>
      <c r="P39" s="22">
        <v>10</v>
      </c>
      <c r="Q39" s="22" t="s">
        <v>62</v>
      </c>
      <c r="R39" s="22" t="s">
        <v>62</v>
      </c>
      <c r="S39" s="21" t="s">
        <v>62</v>
      </c>
      <c r="T39" s="19">
        <v>30</v>
      </c>
      <c r="U39" s="21">
        <v>12</v>
      </c>
      <c r="V39" s="21">
        <v>12</v>
      </c>
      <c r="W39" s="21">
        <v>6</v>
      </c>
      <c r="X39" s="21" t="s">
        <v>62</v>
      </c>
      <c r="Y39" s="19">
        <v>39</v>
      </c>
      <c r="Z39" s="19">
        <v>39</v>
      </c>
      <c r="AA39" s="19">
        <v>20</v>
      </c>
      <c r="AB39" s="19">
        <v>0</v>
      </c>
      <c r="AC39" s="19">
        <v>0</v>
      </c>
      <c r="AD39" s="19">
        <v>15</v>
      </c>
      <c r="AE39" s="19">
        <v>14</v>
      </c>
      <c r="AF39" s="19">
        <v>6</v>
      </c>
      <c r="AG39" s="21" t="s">
        <v>62</v>
      </c>
      <c r="AH39" s="19">
        <v>49</v>
      </c>
      <c r="AI39" s="19">
        <v>46</v>
      </c>
      <c r="AJ39" s="19">
        <v>20</v>
      </c>
      <c r="AK39" s="19">
        <v>0</v>
      </c>
      <c r="AL39" s="19">
        <v>0</v>
      </c>
      <c r="AM39" s="22">
        <v>12</v>
      </c>
      <c r="AN39" s="22">
        <v>13</v>
      </c>
      <c r="AO39" s="22">
        <v>12</v>
      </c>
      <c r="AP39" s="22">
        <v>12</v>
      </c>
      <c r="AQ39" s="22">
        <v>12</v>
      </c>
      <c r="AR39" s="22">
        <v>12</v>
      </c>
      <c r="AS39" s="22">
        <v>12</v>
      </c>
      <c r="AT39" s="22">
        <v>19</v>
      </c>
      <c r="AU39" s="22">
        <v>6</v>
      </c>
      <c r="AV39" s="22">
        <v>7</v>
      </c>
      <c r="AW39" s="22">
        <v>53</v>
      </c>
      <c r="AX39" s="22">
        <v>2</v>
      </c>
      <c r="AY39" s="22">
        <v>2</v>
      </c>
      <c r="AZ39" s="22">
        <v>1</v>
      </c>
      <c r="BA39" s="22">
        <v>0</v>
      </c>
      <c r="BB39" s="22">
        <v>0</v>
      </c>
      <c r="BC39" s="22">
        <v>2</v>
      </c>
      <c r="BD39" s="22">
        <v>2</v>
      </c>
      <c r="BE39" s="22">
        <v>0</v>
      </c>
      <c r="BF39" s="22">
        <v>2</v>
      </c>
      <c r="BG39" s="22">
        <v>64</v>
      </c>
      <c r="BH39" s="22">
        <v>2.1</v>
      </c>
      <c r="BI39" s="22" t="s">
        <v>63</v>
      </c>
      <c r="BJ39" s="22">
        <v>15</v>
      </c>
      <c r="BK39" s="22">
        <v>9</v>
      </c>
      <c r="BL39" s="22">
        <v>15</v>
      </c>
      <c r="BM39" s="22">
        <v>11</v>
      </c>
      <c r="BN39" s="22">
        <v>14</v>
      </c>
      <c r="BO39" s="22">
        <v>14</v>
      </c>
      <c r="BP39" s="22">
        <v>13</v>
      </c>
      <c r="BQ39" s="22">
        <v>11</v>
      </c>
      <c r="BR39" s="22">
        <v>6</v>
      </c>
      <c r="BS39" s="22">
        <v>8</v>
      </c>
      <c r="BT39" s="22">
        <v>27</v>
      </c>
      <c r="BU39" s="22">
        <v>11</v>
      </c>
      <c r="BV39" s="22">
        <v>2</v>
      </c>
      <c r="BW39" s="22">
        <v>0</v>
      </c>
      <c r="BX39" s="22">
        <v>2</v>
      </c>
      <c r="BY39" s="22">
        <v>3</v>
      </c>
      <c r="BZ39" s="22">
        <v>1</v>
      </c>
      <c r="CA39" s="22">
        <v>2</v>
      </c>
      <c r="CB39" s="22">
        <v>0</v>
      </c>
      <c r="CC39" s="22">
        <v>1</v>
      </c>
      <c r="CD39" s="22">
        <v>49</v>
      </c>
      <c r="CE39" s="22">
        <v>1.6</v>
      </c>
      <c r="CF39" s="22" t="s">
        <v>68</v>
      </c>
      <c r="CG39" s="20" t="s">
        <v>74</v>
      </c>
      <c r="CH39" s="20">
        <v>2.6440000000000001E-3</v>
      </c>
      <c r="CI39" s="19">
        <v>0</v>
      </c>
      <c r="CJ39" s="78">
        <v>2</v>
      </c>
      <c r="CK39" s="78" t="s">
        <v>224</v>
      </c>
      <c r="CL39" s="78" t="s">
        <v>224</v>
      </c>
      <c r="CM39" s="78">
        <v>865.18098599999996</v>
      </c>
      <c r="CN39" s="78">
        <v>1</v>
      </c>
      <c r="CO39" s="78" t="s">
        <v>224</v>
      </c>
      <c r="CP39" s="78" t="s">
        <v>224</v>
      </c>
      <c r="CQ39" s="78" t="s">
        <v>224</v>
      </c>
      <c r="CR39" s="12" t="str">
        <f>IF(COUNTIF(Incl!A:A,Raw!J39),1, "")</f>
        <v/>
      </c>
    </row>
    <row r="40" spans="1:96" ht="13.5" thickTop="1" thickBot="1" x14ac:dyDescent="0.3">
      <c r="A40" s="18">
        <v>37</v>
      </c>
      <c r="B40" s="19">
        <v>1</v>
      </c>
      <c r="C40" s="20">
        <v>214.532802</v>
      </c>
      <c r="D40" s="19">
        <v>37</v>
      </c>
      <c r="E40" s="19">
        <v>1</v>
      </c>
      <c r="F40" s="19">
        <v>66</v>
      </c>
      <c r="G40" s="21">
        <v>110</v>
      </c>
      <c r="H40" s="19">
        <v>110</v>
      </c>
      <c r="I40" s="19">
        <v>110</v>
      </c>
      <c r="J40" s="19">
        <v>110</v>
      </c>
      <c r="K40" s="20" t="s">
        <v>60</v>
      </c>
      <c r="L40" s="20" t="s">
        <v>86</v>
      </c>
      <c r="M40" s="20" t="s">
        <v>85</v>
      </c>
      <c r="N40" s="22" t="s">
        <v>62</v>
      </c>
      <c r="O40" s="22">
        <v>11</v>
      </c>
      <c r="P40" s="22" t="s">
        <v>62</v>
      </c>
      <c r="Q40" s="22" t="s">
        <v>62</v>
      </c>
      <c r="R40" s="22" t="s">
        <v>62</v>
      </c>
      <c r="S40" s="21" t="s">
        <v>62</v>
      </c>
      <c r="T40" s="19">
        <v>11</v>
      </c>
      <c r="U40" s="21">
        <v>1</v>
      </c>
      <c r="V40" s="21" t="s">
        <v>62</v>
      </c>
      <c r="W40" s="21">
        <v>3</v>
      </c>
      <c r="X40" s="21" t="s">
        <v>62</v>
      </c>
      <c r="Y40" s="19">
        <v>9</v>
      </c>
      <c r="Z40" s="19">
        <v>0</v>
      </c>
      <c r="AA40" s="19">
        <v>28</v>
      </c>
      <c r="AB40" s="19">
        <v>0</v>
      </c>
      <c r="AC40" s="19">
        <v>0</v>
      </c>
      <c r="AD40" s="19">
        <v>8</v>
      </c>
      <c r="AE40" s="19">
        <v>3</v>
      </c>
      <c r="AF40" s="19">
        <v>6</v>
      </c>
      <c r="AG40" s="21" t="s">
        <v>62</v>
      </c>
      <c r="AH40" s="19">
        <v>74</v>
      </c>
      <c r="AI40" s="19">
        <v>28</v>
      </c>
      <c r="AJ40" s="19">
        <v>56</v>
      </c>
      <c r="AK40" s="19">
        <v>0</v>
      </c>
      <c r="AL40" s="19">
        <v>0</v>
      </c>
      <c r="AM40" s="22">
        <v>1</v>
      </c>
      <c r="AN40" s="22">
        <v>1</v>
      </c>
      <c r="AO40" s="22">
        <v>1</v>
      </c>
      <c r="AP40" s="22">
        <v>1</v>
      </c>
      <c r="AQ40" s="22">
        <v>0</v>
      </c>
      <c r="AR40" s="22">
        <v>0</v>
      </c>
      <c r="AS40" s="22">
        <v>0</v>
      </c>
      <c r="AT40" s="22">
        <v>2</v>
      </c>
      <c r="AU40" s="22">
        <v>3</v>
      </c>
      <c r="AV40" s="22">
        <v>10</v>
      </c>
      <c r="AW40" s="22">
        <v>8</v>
      </c>
      <c r="AX40" s="22">
        <v>2</v>
      </c>
      <c r="AY40" s="22">
        <v>1</v>
      </c>
      <c r="AZ40" s="22">
        <v>1</v>
      </c>
      <c r="BA40" s="22">
        <v>0</v>
      </c>
      <c r="BB40" s="22">
        <v>0</v>
      </c>
      <c r="BC40" s="22">
        <v>0</v>
      </c>
      <c r="BD40" s="22">
        <v>0</v>
      </c>
      <c r="BE40" s="22">
        <v>0</v>
      </c>
      <c r="BF40" s="22">
        <v>0</v>
      </c>
      <c r="BG40" s="22">
        <v>12</v>
      </c>
      <c r="BH40" s="22">
        <v>1.1000000000000001</v>
      </c>
      <c r="BI40" s="22" t="s">
        <v>68</v>
      </c>
      <c r="BJ40" s="22">
        <v>8</v>
      </c>
      <c r="BK40" s="22">
        <v>9</v>
      </c>
      <c r="BL40" s="22">
        <v>10</v>
      </c>
      <c r="BM40" s="22">
        <v>3</v>
      </c>
      <c r="BN40" s="22">
        <v>3</v>
      </c>
      <c r="BO40" s="22">
        <v>3</v>
      </c>
      <c r="BP40" s="22">
        <v>3</v>
      </c>
      <c r="BQ40" s="22">
        <v>3</v>
      </c>
      <c r="BR40" s="22">
        <v>6</v>
      </c>
      <c r="BS40" s="22">
        <v>6</v>
      </c>
      <c r="BT40" s="22">
        <v>11</v>
      </c>
      <c r="BU40" s="22">
        <v>6</v>
      </c>
      <c r="BV40" s="22">
        <v>2</v>
      </c>
      <c r="BW40" s="22">
        <v>0</v>
      </c>
      <c r="BX40" s="22">
        <v>0</v>
      </c>
      <c r="BY40" s="22">
        <v>0</v>
      </c>
      <c r="BZ40" s="22">
        <v>1</v>
      </c>
      <c r="CA40" s="22">
        <v>1</v>
      </c>
      <c r="CB40" s="22">
        <v>0</v>
      </c>
      <c r="CC40" s="22">
        <v>1</v>
      </c>
      <c r="CD40" s="22">
        <v>22</v>
      </c>
      <c r="CE40" s="22">
        <v>2</v>
      </c>
      <c r="CF40" s="22" t="s">
        <v>63</v>
      </c>
      <c r="CG40" s="20" t="s">
        <v>71</v>
      </c>
      <c r="CH40" s="20">
        <v>7.1299999999999998E-4</v>
      </c>
      <c r="CI40" s="19">
        <v>0</v>
      </c>
      <c r="CJ40" s="78">
        <v>1</v>
      </c>
      <c r="CK40" s="78">
        <v>1</v>
      </c>
      <c r="CL40" s="78" t="s">
        <v>224</v>
      </c>
      <c r="CM40" s="78">
        <v>234.48701299999999</v>
      </c>
      <c r="CN40" s="78">
        <v>1</v>
      </c>
      <c r="CO40" s="78">
        <v>1</v>
      </c>
      <c r="CP40" s="78" t="s">
        <v>224</v>
      </c>
      <c r="CQ40" s="78" t="s">
        <v>224</v>
      </c>
      <c r="CR40" s="12" t="str">
        <f>IF(COUNTIF(Incl!A:A,Raw!J40),1, "")</f>
        <v/>
      </c>
    </row>
    <row r="41" spans="1:96" ht="13.5" thickTop="1" thickBot="1" x14ac:dyDescent="0.3">
      <c r="A41" s="13">
        <v>38</v>
      </c>
      <c r="B41" s="14">
        <v>1</v>
      </c>
      <c r="C41" s="15">
        <v>123.447104</v>
      </c>
      <c r="D41" s="14">
        <v>38</v>
      </c>
      <c r="E41" s="14">
        <v>1</v>
      </c>
      <c r="F41" s="14">
        <v>67</v>
      </c>
      <c r="G41" s="16">
        <v>166</v>
      </c>
      <c r="H41" s="14">
        <v>166</v>
      </c>
      <c r="I41" s="14">
        <v>166</v>
      </c>
      <c r="J41" s="14">
        <v>166</v>
      </c>
      <c r="K41" s="15" t="s">
        <v>85</v>
      </c>
      <c r="L41" s="15" t="s">
        <v>60</v>
      </c>
      <c r="M41" s="15" t="s">
        <v>82</v>
      </c>
      <c r="N41" s="17" t="s">
        <v>62</v>
      </c>
      <c r="O41" s="17">
        <v>3</v>
      </c>
      <c r="P41" s="17" t="s">
        <v>62</v>
      </c>
      <c r="Q41" s="17" t="s">
        <v>62</v>
      </c>
      <c r="R41" s="17" t="s">
        <v>62</v>
      </c>
      <c r="S41" s="16" t="s">
        <v>62</v>
      </c>
      <c r="T41" s="14">
        <v>3</v>
      </c>
      <c r="U41" s="16" t="s">
        <v>62</v>
      </c>
      <c r="V41" s="16" t="s">
        <v>62</v>
      </c>
      <c r="W41" s="16">
        <v>1</v>
      </c>
      <c r="X41" s="16" t="s">
        <v>62</v>
      </c>
      <c r="Y41" s="14">
        <v>0</v>
      </c>
      <c r="Z41" s="14">
        <v>0</v>
      </c>
      <c r="AA41" s="14">
        <v>33</v>
      </c>
      <c r="AB41" s="14">
        <v>0</v>
      </c>
      <c r="AC41" s="14">
        <v>0</v>
      </c>
      <c r="AD41" s="14">
        <v>2</v>
      </c>
      <c r="AE41" s="14">
        <v>3</v>
      </c>
      <c r="AF41" s="14">
        <v>0</v>
      </c>
      <c r="AG41" s="16" t="s">
        <v>62</v>
      </c>
      <c r="AH41" s="14">
        <v>67</v>
      </c>
      <c r="AI41" s="14">
        <v>100</v>
      </c>
      <c r="AJ41" s="14">
        <v>0</v>
      </c>
      <c r="AK41" s="14">
        <v>0</v>
      </c>
      <c r="AL41" s="14">
        <v>1</v>
      </c>
      <c r="AM41" s="17">
        <v>0</v>
      </c>
      <c r="AN41" s="17">
        <v>1</v>
      </c>
      <c r="AO41" s="17">
        <v>0</v>
      </c>
      <c r="AP41" s="17">
        <v>1</v>
      </c>
      <c r="AQ41" s="17">
        <v>0</v>
      </c>
      <c r="AR41" s="17">
        <v>1</v>
      </c>
      <c r="AS41" s="17">
        <v>1</v>
      </c>
      <c r="AT41" s="17">
        <v>1</v>
      </c>
      <c r="AU41" s="17">
        <v>1</v>
      </c>
      <c r="AV41" s="17">
        <v>0</v>
      </c>
      <c r="AW41" s="17">
        <v>2</v>
      </c>
      <c r="AX41" s="17">
        <v>0</v>
      </c>
      <c r="AY41" s="17">
        <v>0</v>
      </c>
      <c r="AZ41" s="17">
        <v>1</v>
      </c>
      <c r="BA41" s="17">
        <v>0</v>
      </c>
      <c r="BB41" s="17">
        <v>0</v>
      </c>
      <c r="BC41" s="17">
        <v>0</v>
      </c>
      <c r="BD41" s="17">
        <v>0</v>
      </c>
      <c r="BE41" s="17">
        <v>0</v>
      </c>
      <c r="BF41" s="17">
        <v>0</v>
      </c>
      <c r="BG41" s="17">
        <v>3</v>
      </c>
      <c r="BH41" s="17">
        <v>1</v>
      </c>
      <c r="BI41" s="17" t="s">
        <v>77</v>
      </c>
      <c r="BJ41" s="17">
        <v>2</v>
      </c>
      <c r="BK41" s="17">
        <v>1</v>
      </c>
      <c r="BL41" s="17">
        <v>2</v>
      </c>
      <c r="BM41" s="17">
        <v>3</v>
      </c>
      <c r="BN41" s="17">
        <v>3</v>
      </c>
      <c r="BO41" s="17">
        <v>3</v>
      </c>
      <c r="BP41" s="17">
        <v>2</v>
      </c>
      <c r="BQ41" s="17">
        <v>3</v>
      </c>
      <c r="BR41" s="17">
        <v>0</v>
      </c>
      <c r="BS41" s="17">
        <v>0</v>
      </c>
      <c r="BT41" s="17">
        <v>4</v>
      </c>
      <c r="BU41" s="17">
        <v>0</v>
      </c>
      <c r="BV41" s="17">
        <v>1</v>
      </c>
      <c r="BW41" s="17">
        <v>0</v>
      </c>
      <c r="BX41" s="17">
        <v>1</v>
      </c>
      <c r="BY41" s="17">
        <v>0</v>
      </c>
      <c r="BZ41" s="17">
        <v>1</v>
      </c>
      <c r="CA41" s="17">
        <v>0</v>
      </c>
      <c r="CB41" s="17">
        <v>0</v>
      </c>
      <c r="CC41" s="17">
        <v>0</v>
      </c>
      <c r="CD41" s="17">
        <v>7</v>
      </c>
      <c r="CE41" s="17">
        <v>2.2999999999999998</v>
      </c>
      <c r="CF41" s="17" t="s">
        <v>63</v>
      </c>
      <c r="CG41" s="15" t="s">
        <v>64</v>
      </c>
      <c r="CH41" s="15">
        <v>4.0299999999999998E-4</v>
      </c>
      <c r="CI41" s="14">
        <v>1</v>
      </c>
      <c r="CJ41" s="79">
        <v>2</v>
      </c>
      <c r="CK41" s="79" t="s">
        <v>224</v>
      </c>
      <c r="CL41" s="79" t="s">
        <v>224</v>
      </c>
      <c r="CM41" s="79">
        <v>123.446995</v>
      </c>
      <c r="CN41" s="79">
        <v>1</v>
      </c>
      <c r="CO41" s="79">
        <v>0</v>
      </c>
      <c r="CP41" s="79" t="s">
        <v>224</v>
      </c>
      <c r="CQ41" s="79" t="s">
        <v>224</v>
      </c>
      <c r="CR41" s="12" t="str">
        <f>IF(COUNTIF(Incl!A:A,Raw!J41),1, "")</f>
        <v/>
      </c>
    </row>
    <row r="42" spans="1:96" ht="13.5" thickTop="1" thickBot="1" x14ac:dyDescent="0.3">
      <c r="A42" s="18">
        <v>39</v>
      </c>
      <c r="B42" s="19">
        <v>1</v>
      </c>
      <c r="C42" s="20">
        <v>123.725273</v>
      </c>
      <c r="D42" s="19">
        <v>39</v>
      </c>
      <c r="E42" s="19">
        <v>1</v>
      </c>
      <c r="F42" s="19">
        <v>68</v>
      </c>
      <c r="G42" s="21">
        <v>167</v>
      </c>
      <c r="H42" s="19">
        <v>167</v>
      </c>
      <c r="I42" s="19">
        <v>167</v>
      </c>
      <c r="J42" s="19">
        <v>167</v>
      </c>
      <c r="K42" s="20" t="s">
        <v>85</v>
      </c>
      <c r="L42" s="20" t="s">
        <v>82</v>
      </c>
      <c r="M42" s="20" t="s">
        <v>60</v>
      </c>
      <c r="N42" s="22" t="s">
        <v>62</v>
      </c>
      <c r="O42" s="22">
        <v>6</v>
      </c>
      <c r="P42" s="22" t="s">
        <v>62</v>
      </c>
      <c r="Q42" s="22" t="s">
        <v>62</v>
      </c>
      <c r="R42" s="22" t="s">
        <v>62</v>
      </c>
      <c r="S42" s="21" t="s">
        <v>62</v>
      </c>
      <c r="T42" s="19">
        <v>6</v>
      </c>
      <c r="U42" s="21">
        <v>2</v>
      </c>
      <c r="V42" s="21">
        <v>4</v>
      </c>
      <c r="W42" s="21">
        <v>2</v>
      </c>
      <c r="X42" s="21" t="s">
        <v>62</v>
      </c>
      <c r="Y42" s="19">
        <v>33</v>
      </c>
      <c r="Z42" s="19">
        <v>67</v>
      </c>
      <c r="AA42" s="19">
        <v>33</v>
      </c>
      <c r="AB42" s="19">
        <v>0</v>
      </c>
      <c r="AC42" s="19">
        <v>0</v>
      </c>
      <c r="AD42" s="19">
        <v>3</v>
      </c>
      <c r="AE42" s="19">
        <v>1</v>
      </c>
      <c r="AF42" s="19">
        <v>2</v>
      </c>
      <c r="AG42" s="21" t="s">
        <v>62</v>
      </c>
      <c r="AH42" s="19">
        <v>50</v>
      </c>
      <c r="AI42" s="19">
        <v>17</v>
      </c>
      <c r="AJ42" s="19">
        <v>33</v>
      </c>
      <c r="AK42" s="19">
        <v>0</v>
      </c>
      <c r="AL42" s="19">
        <v>0</v>
      </c>
      <c r="AM42" s="22">
        <v>2</v>
      </c>
      <c r="AN42" s="22">
        <v>5</v>
      </c>
      <c r="AO42" s="22">
        <v>6</v>
      </c>
      <c r="AP42" s="22">
        <v>5</v>
      </c>
      <c r="AQ42" s="22">
        <v>4</v>
      </c>
      <c r="AR42" s="22">
        <v>2</v>
      </c>
      <c r="AS42" s="22">
        <v>1</v>
      </c>
      <c r="AT42" s="22">
        <v>1</v>
      </c>
      <c r="AU42" s="22">
        <v>2</v>
      </c>
      <c r="AV42" s="22">
        <v>6</v>
      </c>
      <c r="AW42" s="22">
        <v>14</v>
      </c>
      <c r="AX42" s="22">
        <v>5</v>
      </c>
      <c r="AY42" s="22">
        <v>0</v>
      </c>
      <c r="AZ42" s="22">
        <v>0</v>
      </c>
      <c r="BA42" s="22">
        <v>0</v>
      </c>
      <c r="BB42" s="22">
        <v>0</v>
      </c>
      <c r="BC42" s="22">
        <v>0</v>
      </c>
      <c r="BD42" s="22">
        <v>0</v>
      </c>
      <c r="BE42" s="22">
        <v>0</v>
      </c>
      <c r="BF42" s="22">
        <v>1</v>
      </c>
      <c r="BG42" s="22">
        <v>20</v>
      </c>
      <c r="BH42" s="22">
        <v>3.3</v>
      </c>
      <c r="BI42" s="22" t="s">
        <v>65</v>
      </c>
      <c r="BJ42" s="22">
        <v>3</v>
      </c>
      <c r="BK42" s="22">
        <v>3</v>
      </c>
      <c r="BL42" s="22">
        <v>2</v>
      </c>
      <c r="BM42" s="22">
        <v>1</v>
      </c>
      <c r="BN42" s="22">
        <v>1</v>
      </c>
      <c r="BO42" s="22">
        <v>1</v>
      </c>
      <c r="BP42" s="22">
        <v>1</v>
      </c>
      <c r="BQ42" s="22">
        <v>1</v>
      </c>
      <c r="BR42" s="22">
        <v>2</v>
      </c>
      <c r="BS42" s="22">
        <v>2</v>
      </c>
      <c r="BT42" s="22">
        <v>3</v>
      </c>
      <c r="BU42" s="22">
        <v>2</v>
      </c>
      <c r="BV42" s="22">
        <v>2</v>
      </c>
      <c r="BW42" s="22">
        <v>1</v>
      </c>
      <c r="BX42" s="22">
        <v>0</v>
      </c>
      <c r="BY42" s="22">
        <v>0</v>
      </c>
      <c r="BZ42" s="22">
        <v>0</v>
      </c>
      <c r="CA42" s="22">
        <v>0</v>
      </c>
      <c r="CB42" s="22">
        <v>0</v>
      </c>
      <c r="CC42" s="22">
        <v>0</v>
      </c>
      <c r="CD42" s="22">
        <v>8</v>
      </c>
      <c r="CE42" s="22">
        <v>1.3</v>
      </c>
      <c r="CF42" s="22" t="s">
        <v>68</v>
      </c>
      <c r="CG42" s="20" t="s">
        <v>66</v>
      </c>
      <c r="CH42" s="20">
        <v>4.0499999999999998E-4</v>
      </c>
      <c r="CI42" s="19">
        <v>0</v>
      </c>
      <c r="CJ42" s="78">
        <v>2</v>
      </c>
      <c r="CK42" s="78" t="s">
        <v>224</v>
      </c>
      <c r="CL42" s="78" t="s">
        <v>224</v>
      </c>
      <c r="CM42" s="78">
        <v>123.725281</v>
      </c>
      <c r="CN42" s="78">
        <v>1</v>
      </c>
      <c r="CO42" s="78">
        <v>0</v>
      </c>
      <c r="CP42" s="78" t="s">
        <v>224</v>
      </c>
      <c r="CQ42" s="78" t="s">
        <v>224</v>
      </c>
      <c r="CR42" s="12" t="str">
        <f>IF(COUNTIF(Incl!A:A,Raw!J42),1, "")</f>
        <v/>
      </c>
    </row>
    <row r="43" spans="1:96" ht="13.5" thickTop="1" thickBot="1" x14ac:dyDescent="0.3">
      <c r="A43" s="18">
        <v>40</v>
      </c>
      <c r="B43" s="19">
        <v>1</v>
      </c>
      <c r="C43" s="20">
        <v>808.98971200000005</v>
      </c>
      <c r="D43" s="19">
        <v>40</v>
      </c>
      <c r="E43" s="19">
        <v>1</v>
      </c>
      <c r="F43" s="19">
        <v>69</v>
      </c>
      <c r="G43" s="21">
        <v>111</v>
      </c>
      <c r="H43" s="19">
        <v>111</v>
      </c>
      <c r="I43" s="19">
        <v>111</v>
      </c>
      <c r="J43" s="19">
        <v>111</v>
      </c>
      <c r="K43" s="20" t="s">
        <v>60</v>
      </c>
      <c r="L43" s="20" t="s">
        <v>85</v>
      </c>
      <c r="M43" s="20" t="s">
        <v>89</v>
      </c>
      <c r="N43" s="22">
        <v>23</v>
      </c>
      <c r="O43" s="22" t="s">
        <v>62</v>
      </c>
      <c r="P43" s="22" t="s">
        <v>62</v>
      </c>
      <c r="Q43" s="22" t="s">
        <v>62</v>
      </c>
      <c r="R43" s="22" t="s">
        <v>62</v>
      </c>
      <c r="S43" s="21" t="s">
        <v>62</v>
      </c>
      <c r="T43" s="19">
        <v>23</v>
      </c>
      <c r="U43" s="21" t="s">
        <v>62</v>
      </c>
      <c r="V43" s="21" t="s">
        <v>62</v>
      </c>
      <c r="W43" s="21">
        <v>1</v>
      </c>
      <c r="X43" s="21" t="s">
        <v>62</v>
      </c>
      <c r="Y43" s="19">
        <v>0</v>
      </c>
      <c r="Z43" s="19">
        <v>0</v>
      </c>
      <c r="AA43" s="19">
        <v>4</v>
      </c>
      <c r="AB43" s="19">
        <v>0</v>
      </c>
      <c r="AC43" s="19">
        <v>0</v>
      </c>
      <c r="AD43" s="19">
        <v>4</v>
      </c>
      <c r="AE43" s="19">
        <v>2</v>
      </c>
      <c r="AF43" s="19">
        <v>0</v>
      </c>
      <c r="AG43" s="21" t="s">
        <v>62</v>
      </c>
      <c r="AH43" s="19">
        <v>18</v>
      </c>
      <c r="AI43" s="19">
        <v>9</v>
      </c>
      <c r="AJ43" s="19">
        <v>0</v>
      </c>
      <c r="AK43" s="19">
        <v>0</v>
      </c>
      <c r="AL43" s="19">
        <v>0</v>
      </c>
      <c r="AM43" s="22">
        <v>0</v>
      </c>
      <c r="AN43" s="22">
        <v>1</v>
      </c>
      <c r="AO43" s="22">
        <v>2</v>
      </c>
      <c r="AP43" s="22">
        <v>1</v>
      </c>
      <c r="AQ43" s="22">
        <v>0</v>
      </c>
      <c r="AR43" s="22">
        <v>0</v>
      </c>
      <c r="AS43" s="22">
        <v>1</v>
      </c>
      <c r="AT43" s="22">
        <v>1</v>
      </c>
      <c r="AU43" s="22">
        <v>1</v>
      </c>
      <c r="AV43" s="22">
        <v>4</v>
      </c>
      <c r="AW43" s="22">
        <v>7</v>
      </c>
      <c r="AX43" s="22">
        <v>2</v>
      </c>
      <c r="AY43" s="22">
        <v>0</v>
      </c>
      <c r="AZ43" s="22">
        <v>0</v>
      </c>
      <c r="BA43" s="22">
        <v>0</v>
      </c>
      <c r="BB43" s="22">
        <v>0</v>
      </c>
      <c r="BC43" s="22">
        <v>0</v>
      </c>
      <c r="BD43" s="22">
        <v>0</v>
      </c>
      <c r="BE43" s="22">
        <v>0</v>
      </c>
      <c r="BF43" s="22">
        <v>0</v>
      </c>
      <c r="BG43" s="22">
        <v>9</v>
      </c>
      <c r="BH43" s="22">
        <v>0.4</v>
      </c>
      <c r="BI43" s="22" t="s">
        <v>77</v>
      </c>
      <c r="BJ43" s="22">
        <v>4</v>
      </c>
      <c r="BK43" s="22">
        <v>4</v>
      </c>
      <c r="BL43" s="22">
        <v>2</v>
      </c>
      <c r="BM43" s="22">
        <v>2</v>
      </c>
      <c r="BN43" s="22">
        <v>2</v>
      </c>
      <c r="BO43" s="22">
        <v>2</v>
      </c>
      <c r="BP43" s="22">
        <v>2</v>
      </c>
      <c r="BQ43" s="22">
        <v>2</v>
      </c>
      <c r="BR43" s="22">
        <v>0</v>
      </c>
      <c r="BS43" s="22">
        <v>1</v>
      </c>
      <c r="BT43" s="22">
        <v>6</v>
      </c>
      <c r="BU43" s="22">
        <v>0</v>
      </c>
      <c r="BV43" s="22">
        <v>0</v>
      </c>
      <c r="BW43" s="22">
        <v>0</v>
      </c>
      <c r="BX43" s="22">
        <v>0</v>
      </c>
      <c r="BY43" s="22">
        <v>0</v>
      </c>
      <c r="BZ43" s="22">
        <v>1</v>
      </c>
      <c r="CA43" s="22">
        <v>1</v>
      </c>
      <c r="CB43" s="22">
        <v>0</v>
      </c>
      <c r="CC43" s="22">
        <v>0</v>
      </c>
      <c r="CD43" s="22">
        <v>8</v>
      </c>
      <c r="CE43" s="22">
        <v>0.4</v>
      </c>
      <c r="CF43" s="22" t="s">
        <v>77</v>
      </c>
      <c r="CG43" s="20" t="s">
        <v>71</v>
      </c>
      <c r="CH43" s="20">
        <v>2.5119999999999999E-3</v>
      </c>
      <c r="CI43" s="19">
        <v>0</v>
      </c>
      <c r="CJ43" s="78">
        <v>1</v>
      </c>
      <c r="CK43" s="78">
        <v>1</v>
      </c>
      <c r="CL43" s="78" t="s">
        <v>224</v>
      </c>
      <c r="CM43" s="78">
        <v>808.98989200000005</v>
      </c>
      <c r="CN43" s="78">
        <v>1</v>
      </c>
      <c r="CO43" s="78">
        <v>1</v>
      </c>
      <c r="CP43" s="78" t="s">
        <v>224</v>
      </c>
      <c r="CQ43" s="78" t="s">
        <v>224</v>
      </c>
      <c r="CR43" s="12" t="str">
        <f>IF(COUNTIF(Incl!A:A,Raw!J43),1, "")</f>
        <v/>
      </c>
    </row>
    <row r="44" spans="1:96" ht="13.5" thickTop="1" thickBot="1" x14ac:dyDescent="0.3">
      <c r="A44" s="13">
        <v>41</v>
      </c>
      <c r="B44" s="14">
        <v>1</v>
      </c>
      <c r="C44" s="15">
        <v>799.76818100000003</v>
      </c>
      <c r="D44" s="14">
        <v>41</v>
      </c>
      <c r="E44" s="14">
        <v>1</v>
      </c>
      <c r="F44" s="14">
        <v>70</v>
      </c>
      <c r="G44" s="16">
        <v>112</v>
      </c>
      <c r="H44" s="14">
        <v>112</v>
      </c>
      <c r="I44" s="14">
        <v>112</v>
      </c>
      <c r="J44" s="14">
        <v>112</v>
      </c>
      <c r="K44" s="15" t="s">
        <v>60</v>
      </c>
      <c r="L44" s="15" t="s">
        <v>89</v>
      </c>
      <c r="M44" s="15" t="s">
        <v>85</v>
      </c>
      <c r="N44" s="17" t="s">
        <v>62</v>
      </c>
      <c r="O44" s="17">
        <v>26</v>
      </c>
      <c r="P44" s="16" t="s">
        <v>62</v>
      </c>
      <c r="Q44" s="17" t="s">
        <v>62</v>
      </c>
      <c r="R44" s="17" t="s">
        <v>62</v>
      </c>
      <c r="S44" s="17" t="s">
        <v>62</v>
      </c>
      <c r="T44" s="14">
        <v>26</v>
      </c>
      <c r="U44" s="16">
        <v>2</v>
      </c>
      <c r="V44" s="16">
        <v>7</v>
      </c>
      <c r="W44" s="16">
        <v>8</v>
      </c>
      <c r="X44" s="16" t="s">
        <v>62</v>
      </c>
      <c r="Y44" s="14">
        <v>8</v>
      </c>
      <c r="Z44" s="14">
        <v>27</v>
      </c>
      <c r="AA44" s="14">
        <v>30</v>
      </c>
      <c r="AB44" s="14">
        <v>0</v>
      </c>
      <c r="AC44" s="14">
        <v>0</v>
      </c>
      <c r="AD44" s="14">
        <v>0</v>
      </c>
      <c r="AE44" s="14">
        <v>1</v>
      </c>
      <c r="AF44" s="14">
        <v>2</v>
      </c>
      <c r="AG44" s="16" t="s">
        <v>62</v>
      </c>
      <c r="AH44" s="14">
        <v>0</v>
      </c>
      <c r="AI44" s="14">
        <v>4</v>
      </c>
      <c r="AJ44" s="14">
        <v>8</v>
      </c>
      <c r="AK44" s="14">
        <v>0</v>
      </c>
      <c r="AL44" s="14">
        <v>0</v>
      </c>
      <c r="AM44" s="17">
        <v>0</v>
      </c>
      <c r="AN44" s="17">
        <v>7</v>
      </c>
      <c r="AO44" s="17">
        <v>8</v>
      </c>
      <c r="AP44" s="17">
        <v>10</v>
      </c>
      <c r="AQ44" s="17">
        <v>7</v>
      </c>
      <c r="AR44" s="17">
        <v>2</v>
      </c>
      <c r="AS44" s="17">
        <v>0</v>
      </c>
      <c r="AT44" s="17">
        <v>0</v>
      </c>
      <c r="AU44" s="17">
        <v>8</v>
      </c>
      <c r="AV44" s="17">
        <v>8</v>
      </c>
      <c r="AW44" s="17">
        <v>13</v>
      </c>
      <c r="AX44" s="17">
        <v>17</v>
      </c>
      <c r="AY44" s="17">
        <v>1</v>
      </c>
      <c r="AZ44" s="17">
        <v>0</v>
      </c>
      <c r="BA44" s="17">
        <v>0</v>
      </c>
      <c r="BB44" s="17">
        <v>0</v>
      </c>
      <c r="BC44" s="17">
        <v>0</v>
      </c>
      <c r="BD44" s="17">
        <v>0</v>
      </c>
      <c r="BE44" s="17">
        <v>0</v>
      </c>
      <c r="BF44" s="17">
        <v>0</v>
      </c>
      <c r="BG44" s="17">
        <v>31</v>
      </c>
      <c r="BH44" s="17">
        <v>1.2</v>
      </c>
      <c r="BI44" s="17" t="s">
        <v>68</v>
      </c>
      <c r="BJ44" s="17">
        <v>0</v>
      </c>
      <c r="BK44" s="17">
        <v>1</v>
      </c>
      <c r="BL44" s="17">
        <v>1</v>
      </c>
      <c r="BM44" s="17">
        <v>1</v>
      </c>
      <c r="BN44" s="17">
        <v>1</v>
      </c>
      <c r="BO44" s="17">
        <v>2</v>
      </c>
      <c r="BP44" s="17">
        <v>3</v>
      </c>
      <c r="BQ44" s="17">
        <v>3</v>
      </c>
      <c r="BR44" s="17">
        <v>2</v>
      </c>
      <c r="BS44" s="17">
        <v>7</v>
      </c>
      <c r="BT44" s="17">
        <v>5</v>
      </c>
      <c r="BU44" s="17">
        <v>2</v>
      </c>
      <c r="BV44" s="17">
        <v>1</v>
      </c>
      <c r="BW44" s="17">
        <v>0</v>
      </c>
      <c r="BX44" s="17">
        <v>0</v>
      </c>
      <c r="BY44" s="17">
        <v>0</v>
      </c>
      <c r="BZ44" s="17">
        <v>0</v>
      </c>
      <c r="CA44" s="17">
        <v>0</v>
      </c>
      <c r="CB44" s="17">
        <v>1</v>
      </c>
      <c r="CC44" s="17">
        <v>0</v>
      </c>
      <c r="CD44" s="17">
        <v>9</v>
      </c>
      <c r="CE44" s="17">
        <v>0.3</v>
      </c>
      <c r="CF44" s="17" t="s">
        <v>77</v>
      </c>
      <c r="CG44" s="15" t="s">
        <v>74</v>
      </c>
      <c r="CH44" s="15">
        <v>2.4759999999999999E-3</v>
      </c>
      <c r="CI44" s="14">
        <v>0</v>
      </c>
      <c r="CJ44" s="79">
        <v>2</v>
      </c>
      <c r="CK44" s="79" t="s">
        <v>224</v>
      </c>
      <c r="CL44" s="79" t="s">
        <v>224</v>
      </c>
      <c r="CM44" s="79">
        <v>800.71314199999995</v>
      </c>
      <c r="CN44" s="79">
        <v>1</v>
      </c>
      <c r="CO44" s="79">
        <v>1</v>
      </c>
      <c r="CP44" s="79" t="s">
        <v>224</v>
      </c>
      <c r="CQ44" s="79" t="s">
        <v>224</v>
      </c>
      <c r="CR44" s="12" t="str">
        <f>IF(COUNTIF(Incl!A:A,Raw!J44),1, "")</f>
        <v/>
      </c>
    </row>
    <row r="45" spans="1:96" ht="13.5" thickTop="1" thickBot="1" x14ac:dyDescent="0.3">
      <c r="A45" s="13">
        <v>42</v>
      </c>
      <c r="B45" s="14">
        <v>1</v>
      </c>
      <c r="C45" s="15">
        <v>176.016257</v>
      </c>
      <c r="D45" s="14">
        <v>42</v>
      </c>
      <c r="E45" s="14">
        <v>1</v>
      </c>
      <c r="F45" s="14">
        <v>71</v>
      </c>
      <c r="G45" s="16">
        <v>168</v>
      </c>
      <c r="H45" s="14">
        <v>168</v>
      </c>
      <c r="I45" s="14">
        <v>168</v>
      </c>
      <c r="J45" s="14">
        <v>168</v>
      </c>
      <c r="K45" s="15" t="s">
        <v>88</v>
      </c>
      <c r="L45" s="15" t="s">
        <v>82</v>
      </c>
      <c r="M45" s="15" t="s">
        <v>69</v>
      </c>
      <c r="N45" s="17" t="s">
        <v>62</v>
      </c>
      <c r="O45" s="17">
        <v>15</v>
      </c>
      <c r="P45" s="16" t="s">
        <v>62</v>
      </c>
      <c r="Q45" s="17" t="s">
        <v>62</v>
      </c>
      <c r="R45" s="17" t="s">
        <v>62</v>
      </c>
      <c r="S45" s="17" t="s">
        <v>62</v>
      </c>
      <c r="T45" s="14">
        <v>15</v>
      </c>
      <c r="U45" s="16">
        <v>1</v>
      </c>
      <c r="V45" s="16">
        <v>2</v>
      </c>
      <c r="W45" s="16">
        <v>7</v>
      </c>
      <c r="X45" s="16">
        <v>1</v>
      </c>
      <c r="Y45" s="14">
        <v>7</v>
      </c>
      <c r="Z45" s="14">
        <v>13</v>
      </c>
      <c r="AA45" s="14">
        <v>47</v>
      </c>
      <c r="AB45" s="14">
        <v>7</v>
      </c>
      <c r="AC45" s="14">
        <v>0</v>
      </c>
      <c r="AD45" s="14">
        <v>7</v>
      </c>
      <c r="AE45" s="14">
        <v>2</v>
      </c>
      <c r="AF45" s="14">
        <v>3</v>
      </c>
      <c r="AG45" s="16">
        <v>2</v>
      </c>
      <c r="AH45" s="14">
        <v>47</v>
      </c>
      <c r="AI45" s="14">
        <v>13</v>
      </c>
      <c r="AJ45" s="14">
        <v>20</v>
      </c>
      <c r="AK45" s="14">
        <v>13</v>
      </c>
      <c r="AL45" s="14">
        <v>0</v>
      </c>
      <c r="AM45" s="17" t="s">
        <v>62</v>
      </c>
      <c r="AN45" s="17" t="s">
        <v>62</v>
      </c>
      <c r="AO45" s="17" t="s">
        <v>62</v>
      </c>
      <c r="AP45" s="17" t="s">
        <v>62</v>
      </c>
      <c r="AQ45" s="17" t="s">
        <v>62</v>
      </c>
      <c r="AR45" s="17" t="s">
        <v>62</v>
      </c>
      <c r="AS45" s="17" t="s">
        <v>62</v>
      </c>
      <c r="AT45" s="17" t="s">
        <v>62</v>
      </c>
      <c r="AU45" s="17" t="s">
        <v>62</v>
      </c>
      <c r="AV45" s="17" t="s">
        <v>62</v>
      </c>
      <c r="AW45" s="17" t="s">
        <v>62</v>
      </c>
      <c r="AX45" s="17" t="s">
        <v>62</v>
      </c>
      <c r="AY45" s="17" t="s">
        <v>62</v>
      </c>
      <c r="AZ45" s="17" t="s">
        <v>62</v>
      </c>
      <c r="BA45" s="17" t="s">
        <v>62</v>
      </c>
      <c r="BB45" s="17" t="s">
        <v>62</v>
      </c>
      <c r="BC45" s="17" t="s">
        <v>62</v>
      </c>
      <c r="BD45" s="17" t="s">
        <v>62</v>
      </c>
      <c r="BE45" s="17" t="s">
        <v>62</v>
      </c>
      <c r="BF45" s="17" t="s">
        <v>62</v>
      </c>
      <c r="BG45" s="17" t="s">
        <v>62</v>
      </c>
      <c r="BH45" s="17" t="s">
        <v>62</v>
      </c>
      <c r="BI45" s="17" t="s">
        <v>62</v>
      </c>
      <c r="BJ45" s="17" t="s">
        <v>62</v>
      </c>
      <c r="BK45" s="17" t="s">
        <v>62</v>
      </c>
      <c r="BL45" s="17" t="s">
        <v>62</v>
      </c>
      <c r="BM45" s="17" t="s">
        <v>62</v>
      </c>
      <c r="BN45" s="17" t="s">
        <v>62</v>
      </c>
      <c r="BO45" s="17" t="s">
        <v>62</v>
      </c>
      <c r="BP45" s="17" t="s">
        <v>62</v>
      </c>
      <c r="BQ45" s="17" t="s">
        <v>62</v>
      </c>
      <c r="BR45" s="17" t="s">
        <v>62</v>
      </c>
      <c r="BS45" s="17" t="s">
        <v>62</v>
      </c>
      <c r="BT45" s="17" t="s">
        <v>62</v>
      </c>
      <c r="BU45" s="17" t="s">
        <v>62</v>
      </c>
      <c r="BV45" s="17" t="s">
        <v>62</v>
      </c>
      <c r="BW45" s="17" t="s">
        <v>62</v>
      </c>
      <c r="BX45" s="17" t="s">
        <v>62</v>
      </c>
      <c r="BY45" s="17" t="s">
        <v>62</v>
      </c>
      <c r="BZ45" s="17" t="s">
        <v>62</v>
      </c>
      <c r="CA45" s="17" t="s">
        <v>62</v>
      </c>
      <c r="CB45" s="17" t="s">
        <v>62</v>
      </c>
      <c r="CC45" s="17" t="s">
        <v>62</v>
      </c>
      <c r="CD45" s="17" t="s">
        <v>62</v>
      </c>
      <c r="CE45" s="17" t="s">
        <v>62</v>
      </c>
      <c r="CF45" s="17" t="s">
        <v>62</v>
      </c>
      <c r="CG45" s="15" t="s">
        <v>64</v>
      </c>
      <c r="CH45" s="15">
        <v>5.6599999999999999E-4</v>
      </c>
      <c r="CI45" s="14">
        <v>0</v>
      </c>
      <c r="CJ45" s="79">
        <v>3</v>
      </c>
      <c r="CK45" s="79" t="s">
        <v>224</v>
      </c>
      <c r="CL45" s="79" t="s">
        <v>224</v>
      </c>
      <c r="CM45" s="79">
        <v>176.01646</v>
      </c>
      <c r="CN45" s="79">
        <v>2</v>
      </c>
      <c r="CO45" s="79" t="s">
        <v>224</v>
      </c>
      <c r="CP45" s="79" t="s">
        <v>224</v>
      </c>
      <c r="CQ45" s="79" t="s">
        <v>224</v>
      </c>
      <c r="CR45" s="12" t="str">
        <f>IF(COUNTIF(Incl!A:A,Raw!J45),1, "")</f>
        <v/>
      </c>
    </row>
    <row r="46" spans="1:96" ht="13.5" thickTop="1" thickBot="1" x14ac:dyDescent="0.3">
      <c r="A46" s="13">
        <v>43</v>
      </c>
      <c r="B46" s="14">
        <v>1</v>
      </c>
      <c r="C46" s="15">
        <v>181.53276199999999</v>
      </c>
      <c r="D46" s="14">
        <v>43</v>
      </c>
      <c r="E46" s="14">
        <v>1</v>
      </c>
      <c r="F46" s="14">
        <v>72</v>
      </c>
      <c r="G46" s="16">
        <v>169</v>
      </c>
      <c r="H46" s="14">
        <v>169</v>
      </c>
      <c r="I46" s="14">
        <v>169</v>
      </c>
      <c r="J46" s="14">
        <v>169</v>
      </c>
      <c r="K46" s="15" t="s">
        <v>88</v>
      </c>
      <c r="L46" s="15" t="s">
        <v>69</v>
      </c>
      <c r="M46" s="15" t="s">
        <v>82</v>
      </c>
      <c r="N46" s="17" t="s">
        <v>62</v>
      </c>
      <c r="O46" s="17">
        <v>12</v>
      </c>
      <c r="P46" s="16" t="s">
        <v>62</v>
      </c>
      <c r="Q46" s="17" t="s">
        <v>62</v>
      </c>
      <c r="R46" s="17" t="s">
        <v>62</v>
      </c>
      <c r="S46" s="17" t="s">
        <v>62</v>
      </c>
      <c r="T46" s="14">
        <v>12</v>
      </c>
      <c r="U46" s="16">
        <v>5</v>
      </c>
      <c r="V46" s="16">
        <v>6</v>
      </c>
      <c r="W46" s="16">
        <v>11</v>
      </c>
      <c r="X46" s="16">
        <v>6</v>
      </c>
      <c r="Y46" s="14">
        <v>42</v>
      </c>
      <c r="Z46" s="14">
        <v>50</v>
      </c>
      <c r="AA46" s="14">
        <v>92</v>
      </c>
      <c r="AB46" s="14">
        <v>50</v>
      </c>
      <c r="AC46" s="14">
        <v>1</v>
      </c>
      <c r="AD46" s="14">
        <v>7</v>
      </c>
      <c r="AE46" s="14">
        <v>3</v>
      </c>
      <c r="AF46" s="14">
        <v>1</v>
      </c>
      <c r="AG46" s="16">
        <v>4</v>
      </c>
      <c r="AH46" s="14">
        <v>58</v>
      </c>
      <c r="AI46" s="14">
        <v>25</v>
      </c>
      <c r="AJ46" s="14">
        <v>8</v>
      </c>
      <c r="AK46" s="14">
        <v>33</v>
      </c>
      <c r="AL46" s="14">
        <v>0</v>
      </c>
      <c r="AM46" s="17" t="s">
        <v>62</v>
      </c>
      <c r="AN46" s="17" t="s">
        <v>62</v>
      </c>
      <c r="AO46" s="17" t="s">
        <v>62</v>
      </c>
      <c r="AP46" s="17" t="s">
        <v>62</v>
      </c>
      <c r="AQ46" s="17" t="s">
        <v>62</v>
      </c>
      <c r="AR46" s="17" t="s">
        <v>62</v>
      </c>
      <c r="AS46" s="17" t="s">
        <v>62</v>
      </c>
      <c r="AT46" s="17" t="s">
        <v>62</v>
      </c>
      <c r="AU46" s="17" t="s">
        <v>62</v>
      </c>
      <c r="AV46" s="17" t="s">
        <v>62</v>
      </c>
      <c r="AW46" s="17" t="s">
        <v>62</v>
      </c>
      <c r="AX46" s="17" t="s">
        <v>62</v>
      </c>
      <c r="AY46" s="17" t="s">
        <v>62</v>
      </c>
      <c r="AZ46" s="17" t="s">
        <v>62</v>
      </c>
      <c r="BA46" s="17" t="s">
        <v>62</v>
      </c>
      <c r="BB46" s="17" t="s">
        <v>62</v>
      </c>
      <c r="BC46" s="17" t="s">
        <v>62</v>
      </c>
      <c r="BD46" s="17" t="s">
        <v>62</v>
      </c>
      <c r="BE46" s="17" t="s">
        <v>62</v>
      </c>
      <c r="BF46" s="17" t="s">
        <v>62</v>
      </c>
      <c r="BG46" s="17" t="s">
        <v>62</v>
      </c>
      <c r="BH46" s="17" t="s">
        <v>62</v>
      </c>
      <c r="BI46" s="17" t="s">
        <v>62</v>
      </c>
      <c r="BJ46" s="17" t="s">
        <v>62</v>
      </c>
      <c r="BK46" s="17" t="s">
        <v>62</v>
      </c>
      <c r="BL46" s="17" t="s">
        <v>62</v>
      </c>
      <c r="BM46" s="17" t="s">
        <v>62</v>
      </c>
      <c r="BN46" s="17" t="s">
        <v>62</v>
      </c>
      <c r="BO46" s="17" t="s">
        <v>62</v>
      </c>
      <c r="BP46" s="17" t="s">
        <v>62</v>
      </c>
      <c r="BQ46" s="17" t="s">
        <v>62</v>
      </c>
      <c r="BR46" s="17" t="s">
        <v>62</v>
      </c>
      <c r="BS46" s="17" t="s">
        <v>62</v>
      </c>
      <c r="BT46" s="17" t="s">
        <v>62</v>
      </c>
      <c r="BU46" s="17" t="s">
        <v>62</v>
      </c>
      <c r="BV46" s="17" t="s">
        <v>62</v>
      </c>
      <c r="BW46" s="17" t="s">
        <v>62</v>
      </c>
      <c r="BX46" s="17" t="s">
        <v>62</v>
      </c>
      <c r="BY46" s="17" t="s">
        <v>62</v>
      </c>
      <c r="BZ46" s="17" t="s">
        <v>62</v>
      </c>
      <c r="CA46" s="17" t="s">
        <v>62</v>
      </c>
      <c r="CB46" s="17" t="s">
        <v>62</v>
      </c>
      <c r="CC46" s="17" t="s">
        <v>62</v>
      </c>
      <c r="CD46" s="17" t="s">
        <v>62</v>
      </c>
      <c r="CE46" s="17" t="s">
        <v>62</v>
      </c>
      <c r="CF46" s="17" t="s">
        <v>62</v>
      </c>
      <c r="CG46" s="15" t="s">
        <v>66</v>
      </c>
      <c r="CH46" s="15">
        <v>5.9199999999999997E-4</v>
      </c>
      <c r="CI46" s="14">
        <v>1</v>
      </c>
      <c r="CJ46" s="79">
        <v>3</v>
      </c>
      <c r="CK46" s="79" t="s">
        <v>224</v>
      </c>
      <c r="CL46" s="79" t="s">
        <v>224</v>
      </c>
      <c r="CM46" s="79">
        <v>181.53274999999999</v>
      </c>
      <c r="CN46" s="79">
        <v>2</v>
      </c>
      <c r="CO46" s="79" t="s">
        <v>224</v>
      </c>
      <c r="CP46" s="79" t="s">
        <v>224</v>
      </c>
      <c r="CQ46" s="79" t="s">
        <v>224</v>
      </c>
      <c r="CR46" s="12" t="str">
        <f>IF(COUNTIF(Incl!A:A,Raw!J46),1, "")</f>
        <v/>
      </c>
    </row>
    <row r="47" spans="1:96" ht="13.5" thickTop="1" thickBot="1" x14ac:dyDescent="0.3">
      <c r="A47" s="13">
        <v>44</v>
      </c>
      <c r="B47" s="14">
        <v>1</v>
      </c>
      <c r="C47" s="15">
        <v>82.034216999999998</v>
      </c>
      <c r="D47" s="14">
        <v>44</v>
      </c>
      <c r="E47" s="14">
        <v>1</v>
      </c>
      <c r="F47" s="14">
        <v>73</v>
      </c>
      <c r="G47" s="16">
        <v>45</v>
      </c>
      <c r="H47" s="14">
        <v>45</v>
      </c>
      <c r="I47" s="14">
        <v>45</v>
      </c>
      <c r="J47" s="14">
        <v>45</v>
      </c>
      <c r="K47" s="15" t="s">
        <v>69</v>
      </c>
      <c r="L47" s="15" t="s">
        <v>90</v>
      </c>
      <c r="M47" s="15" t="s">
        <v>91</v>
      </c>
      <c r="N47" s="17" t="s">
        <v>62</v>
      </c>
      <c r="O47" s="17" t="s">
        <v>62</v>
      </c>
      <c r="P47" s="16">
        <v>3</v>
      </c>
      <c r="Q47" s="17" t="s">
        <v>62</v>
      </c>
      <c r="R47" s="17" t="s">
        <v>62</v>
      </c>
      <c r="S47" s="17" t="s">
        <v>62</v>
      </c>
      <c r="T47" s="14">
        <v>3</v>
      </c>
      <c r="U47" s="16">
        <v>3</v>
      </c>
      <c r="V47" s="16">
        <v>1</v>
      </c>
      <c r="W47" s="16">
        <v>3</v>
      </c>
      <c r="X47" s="16">
        <v>3</v>
      </c>
      <c r="Y47" s="14">
        <v>97</v>
      </c>
      <c r="Z47" s="14">
        <v>32</v>
      </c>
      <c r="AA47" s="14">
        <v>97</v>
      </c>
      <c r="AB47" s="14">
        <v>97</v>
      </c>
      <c r="AC47" s="14">
        <v>3</v>
      </c>
      <c r="AD47" s="14">
        <v>2</v>
      </c>
      <c r="AE47" s="14">
        <v>4</v>
      </c>
      <c r="AF47" s="14">
        <v>3</v>
      </c>
      <c r="AG47" s="16">
        <v>3</v>
      </c>
      <c r="AH47" s="14">
        <v>65</v>
      </c>
      <c r="AI47" s="14">
        <v>129</v>
      </c>
      <c r="AJ47" s="14">
        <v>97</v>
      </c>
      <c r="AK47" s="14">
        <v>97</v>
      </c>
      <c r="AL47" s="14">
        <v>3</v>
      </c>
      <c r="AM47" s="17" t="s">
        <v>62</v>
      </c>
      <c r="AN47" s="17" t="s">
        <v>62</v>
      </c>
      <c r="AO47" s="17" t="s">
        <v>62</v>
      </c>
      <c r="AP47" s="17" t="s">
        <v>62</v>
      </c>
      <c r="AQ47" s="17" t="s">
        <v>62</v>
      </c>
      <c r="AR47" s="17" t="s">
        <v>62</v>
      </c>
      <c r="AS47" s="17" t="s">
        <v>62</v>
      </c>
      <c r="AT47" s="17" t="s">
        <v>62</v>
      </c>
      <c r="AU47" s="17" t="s">
        <v>62</v>
      </c>
      <c r="AV47" s="17" t="s">
        <v>62</v>
      </c>
      <c r="AW47" s="17" t="s">
        <v>62</v>
      </c>
      <c r="AX47" s="17" t="s">
        <v>62</v>
      </c>
      <c r="AY47" s="17" t="s">
        <v>62</v>
      </c>
      <c r="AZ47" s="17" t="s">
        <v>62</v>
      </c>
      <c r="BA47" s="17" t="s">
        <v>62</v>
      </c>
      <c r="BB47" s="17" t="s">
        <v>62</v>
      </c>
      <c r="BC47" s="17" t="s">
        <v>62</v>
      </c>
      <c r="BD47" s="17" t="s">
        <v>62</v>
      </c>
      <c r="BE47" s="17" t="s">
        <v>62</v>
      </c>
      <c r="BF47" s="17" t="s">
        <v>62</v>
      </c>
      <c r="BG47" s="17" t="s">
        <v>62</v>
      </c>
      <c r="BH47" s="17" t="s">
        <v>62</v>
      </c>
      <c r="BI47" s="17" t="s">
        <v>62</v>
      </c>
      <c r="BJ47" s="17" t="s">
        <v>62</v>
      </c>
      <c r="BK47" s="17" t="s">
        <v>62</v>
      </c>
      <c r="BL47" s="17" t="s">
        <v>62</v>
      </c>
      <c r="BM47" s="17" t="s">
        <v>62</v>
      </c>
      <c r="BN47" s="17" t="s">
        <v>62</v>
      </c>
      <c r="BO47" s="17" t="s">
        <v>62</v>
      </c>
      <c r="BP47" s="17" t="s">
        <v>62</v>
      </c>
      <c r="BQ47" s="17" t="s">
        <v>62</v>
      </c>
      <c r="BR47" s="17" t="s">
        <v>62</v>
      </c>
      <c r="BS47" s="17" t="s">
        <v>62</v>
      </c>
      <c r="BT47" s="17" t="s">
        <v>62</v>
      </c>
      <c r="BU47" s="17" t="s">
        <v>62</v>
      </c>
      <c r="BV47" s="17" t="s">
        <v>62</v>
      </c>
      <c r="BW47" s="17" t="s">
        <v>62</v>
      </c>
      <c r="BX47" s="17" t="s">
        <v>62</v>
      </c>
      <c r="BY47" s="17" t="s">
        <v>62</v>
      </c>
      <c r="BZ47" s="17" t="s">
        <v>62</v>
      </c>
      <c r="CA47" s="17" t="s">
        <v>62</v>
      </c>
      <c r="CB47" s="17" t="s">
        <v>62</v>
      </c>
      <c r="CC47" s="17" t="s">
        <v>62</v>
      </c>
      <c r="CD47" s="17" t="s">
        <v>62</v>
      </c>
      <c r="CE47" s="17" t="s">
        <v>62</v>
      </c>
      <c r="CF47" s="17" t="s">
        <v>62</v>
      </c>
      <c r="CG47" s="15" t="s">
        <v>71</v>
      </c>
      <c r="CH47" s="15">
        <v>2.5000000000000001E-4</v>
      </c>
      <c r="CI47" s="14">
        <v>6</v>
      </c>
      <c r="CJ47" s="79">
        <v>3</v>
      </c>
      <c r="CK47" s="79" t="s">
        <v>224</v>
      </c>
      <c r="CL47" s="79" t="s">
        <v>224</v>
      </c>
      <c r="CM47" s="79">
        <v>82.034091000000004</v>
      </c>
      <c r="CN47" s="79">
        <v>2</v>
      </c>
      <c r="CO47" s="79" t="s">
        <v>224</v>
      </c>
      <c r="CP47" s="79" t="s">
        <v>224</v>
      </c>
      <c r="CQ47" s="79" t="s">
        <v>224</v>
      </c>
      <c r="CR47" s="12" t="str">
        <f>IF(COUNTIF(Incl!A:A,Raw!J47),1, "")</f>
        <v/>
      </c>
    </row>
    <row r="48" spans="1:96" ht="13.5" thickTop="1" thickBot="1" x14ac:dyDescent="0.3">
      <c r="A48" s="18">
        <v>45</v>
      </c>
      <c r="B48" s="19">
        <v>1</v>
      </c>
      <c r="C48" s="20">
        <v>468.82294899999999</v>
      </c>
      <c r="D48" s="19">
        <v>45</v>
      </c>
      <c r="E48" s="19">
        <v>1</v>
      </c>
      <c r="F48" s="19">
        <v>74</v>
      </c>
      <c r="G48" s="21">
        <v>47</v>
      </c>
      <c r="H48" s="19">
        <v>47</v>
      </c>
      <c r="I48" s="19">
        <v>47</v>
      </c>
      <c r="J48" s="19">
        <v>47</v>
      </c>
      <c r="K48" s="20" t="s">
        <v>69</v>
      </c>
      <c r="L48" s="20" t="s">
        <v>91</v>
      </c>
      <c r="M48" s="20" t="s">
        <v>92</v>
      </c>
      <c r="N48" s="22" t="s">
        <v>62</v>
      </c>
      <c r="O48" s="22" t="s">
        <v>62</v>
      </c>
      <c r="P48" s="21">
        <v>14</v>
      </c>
      <c r="Q48" s="22" t="s">
        <v>62</v>
      </c>
      <c r="R48" s="22" t="s">
        <v>62</v>
      </c>
      <c r="S48" s="22" t="s">
        <v>62</v>
      </c>
      <c r="T48" s="19">
        <v>14</v>
      </c>
      <c r="U48" s="21">
        <v>12</v>
      </c>
      <c r="V48" s="21">
        <v>8</v>
      </c>
      <c r="W48" s="21">
        <v>12</v>
      </c>
      <c r="X48" s="21">
        <v>12</v>
      </c>
      <c r="Y48" s="19">
        <v>87</v>
      </c>
      <c r="Z48" s="19">
        <v>58</v>
      </c>
      <c r="AA48" s="19">
        <v>87</v>
      </c>
      <c r="AB48" s="19">
        <v>87</v>
      </c>
      <c r="AC48" s="19">
        <v>3</v>
      </c>
      <c r="AD48" s="19">
        <v>10</v>
      </c>
      <c r="AE48" s="19">
        <v>8</v>
      </c>
      <c r="AF48" s="19">
        <v>11</v>
      </c>
      <c r="AG48" s="21">
        <v>13</v>
      </c>
      <c r="AH48" s="19">
        <v>72</v>
      </c>
      <c r="AI48" s="19">
        <v>58</v>
      </c>
      <c r="AJ48" s="19">
        <v>80</v>
      </c>
      <c r="AK48" s="19">
        <v>94</v>
      </c>
      <c r="AL48" s="19">
        <v>2</v>
      </c>
      <c r="AM48" s="22" t="s">
        <v>62</v>
      </c>
      <c r="AN48" s="22" t="s">
        <v>62</v>
      </c>
      <c r="AO48" s="22" t="s">
        <v>62</v>
      </c>
      <c r="AP48" s="22" t="s">
        <v>62</v>
      </c>
      <c r="AQ48" s="22" t="s">
        <v>62</v>
      </c>
      <c r="AR48" s="22" t="s">
        <v>62</v>
      </c>
      <c r="AS48" s="22" t="s">
        <v>62</v>
      </c>
      <c r="AT48" s="22" t="s">
        <v>62</v>
      </c>
      <c r="AU48" s="22" t="s">
        <v>62</v>
      </c>
      <c r="AV48" s="22" t="s">
        <v>62</v>
      </c>
      <c r="AW48" s="22" t="s">
        <v>62</v>
      </c>
      <c r="AX48" s="22" t="s">
        <v>62</v>
      </c>
      <c r="AY48" s="22" t="s">
        <v>62</v>
      </c>
      <c r="AZ48" s="22" t="s">
        <v>62</v>
      </c>
      <c r="BA48" s="22" t="s">
        <v>62</v>
      </c>
      <c r="BB48" s="22" t="s">
        <v>62</v>
      </c>
      <c r="BC48" s="22" t="s">
        <v>62</v>
      </c>
      <c r="BD48" s="22" t="s">
        <v>62</v>
      </c>
      <c r="BE48" s="22" t="s">
        <v>62</v>
      </c>
      <c r="BF48" s="22" t="s">
        <v>62</v>
      </c>
      <c r="BG48" s="22" t="s">
        <v>62</v>
      </c>
      <c r="BH48" s="22" t="s">
        <v>62</v>
      </c>
      <c r="BI48" s="22" t="s">
        <v>62</v>
      </c>
      <c r="BJ48" s="22" t="s">
        <v>62</v>
      </c>
      <c r="BK48" s="22" t="s">
        <v>62</v>
      </c>
      <c r="BL48" s="22" t="s">
        <v>62</v>
      </c>
      <c r="BM48" s="22" t="s">
        <v>62</v>
      </c>
      <c r="BN48" s="22" t="s">
        <v>62</v>
      </c>
      <c r="BO48" s="22" t="s">
        <v>62</v>
      </c>
      <c r="BP48" s="22" t="s">
        <v>62</v>
      </c>
      <c r="BQ48" s="22" t="s">
        <v>62</v>
      </c>
      <c r="BR48" s="22" t="s">
        <v>62</v>
      </c>
      <c r="BS48" s="22" t="s">
        <v>62</v>
      </c>
      <c r="BT48" s="22" t="s">
        <v>62</v>
      </c>
      <c r="BU48" s="22" t="s">
        <v>62</v>
      </c>
      <c r="BV48" s="22" t="s">
        <v>62</v>
      </c>
      <c r="BW48" s="22" t="s">
        <v>62</v>
      </c>
      <c r="BX48" s="22" t="s">
        <v>62</v>
      </c>
      <c r="BY48" s="22" t="s">
        <v>62</v>
      </c>
      <c r="BZ48" s="22" t="s">
        <v>62</v>
      </c>
      <c r="CA48" s="22" t="s">
        <v>62</v>
      </c>
      <c r="CB48" s="22" t="s">
        <v>62</v>
      </c>
      <c r="CC48" s="22" t="s">
        <v>62</v>
      </c>
      <c r="CD48" s="22" t="s">
        <v>62</v>
      </c>
      <c r="CE48" s="22" t="s">
        <v>62</v>
      </c>
      <c r="CF48" s="22" t="s">
        <v>62</v>
      </c>
      <c r="CG48" s="20" t="s">
        <v>71</v>
      </c>
      <c r="CH48" s="20">
        <v>1.4109999999999999E-3</v>
      </c>
      <c r="CI48" s="19">
        <v>5</v>
      </c>
      <c r="CJ48" s="78">
        <v>3</v>
      </c>
      <c r="CK48" s="78" t="s">
        <v>224</v>
      </c>
      <c r="CL48" s="78" t="s">
        <v>224</v>
      </c>
      <c r="CM48" s="78">
        <v>468.82306</v>
      </c>
      <c r="CN48" s="78">
        <v>2</v>
      </c>
      <c r="CO48" s="78" t="s">
        <v>224</v>
      </c>
      <c r="CP48" s="78" t="s">
        <v>224</v>
      </c>
      <c r="CQ48" s="78" t="s">
        <v>224</v>
      </c>
      <c r="CR48" s="12" t="str">
        <f>IF(COUNTIF(Incl!A:A,Raw!J48),1, "")</f>
        <v/>
      </c>
    </row>
    <row r="49" spans="1:96" ht="13.5" thickTop="1" thickBot="1" x14ac:dyDescent="0.3">
      <c r="A49" s="13">
        <v>46</v>
      </c>
      <c r="B49" s="14">
        <v>1</v>
      </c>
      <c r="C49" s="15">
        <v>297.88248700000003</v>
      </c>
      <c r="D49" s="14">
        <v>46</v>
      </c>
      <c r="E49" s="14">
        <v>1</v>
      </c>
      <c r="F49" s="14">
        <v>75</v>
      </c>
      <c r="G49" s="16">
        <v>46</v>
      </c>
      <c r="H49" s="14">
        <v>46</v>
      </c>
      <c r="I49" s="14">
        <v>46</v>
      </c>
      <c r="J49" s="14">
        <v>46</v>
      </c>
      <c r="K49" s="15" t="s">
        <v>69</v>
      </c>
      <c r="L49" s="15" t="s">
        <v>89</v>
      </c>
      <c r="M49" s="15" t="s">
        <v>90</v>
      </c>
      <c r="N49" s="17" t="s">
        <v>62</v>
      </c>
      <c r="O49" s="16" t="s">
        <v>62</v>
      </c>
      <c r="P49" s="16">
        <v>12</v>
      </c>
      <c r="Q49" s="17" t="s">
        <v>62</v>
      </c>
      <c r="R49" s="17" t="s">
        <v>62</v>
      </c>
      <c r="S49" s="17" t="s">
        <v>62</v>
      </c>
      <c r="T49" s="14">
        <v>12</v>
      </c>
      <c r="U49" s="16">
        <v>8</v>
      </c>
      <c r="V49" s="16">
        <v>10</v>
      </c>
      <c r="W49" s="16">
        <v>10</v>
      </c>
      <c r="X49" s="17">
        <v>10</v>
      </c>
      <c r="Y49" s="14">
        <v>65</v>
      </c>
      <c r="Z49" s="14">
        <v>82</v>
      </c>
      <c r="AA49" s="14">
        <v>82</v>
      </c>
      <c r="AB49" s="14">
        <v>82</v>
      </c>
      <c r="AC49" s="14">
        <v>3</v>
      </c>
      <c r="AD49" s="14">
        <v>7</v>
      </c>
      <c r="AE49" s="14">
        <v>5</v>
      </c>
      <c r="AF49" s="14">
        <v>4</v>
      </c>
      <c r="AG49" s="17">
        <v>7</v>
      </c>
      <c r="AH49" s="14">
        <v>57</v>
      </c>
      <c r="AI49" s="14">
        <v>41</v>
      </c>
      <c r="AJ49" s="14">
        <v>33</v>
      </c>
      <c r="AK49" s="14">
        <v>57</v>
      </c>
      <c r="AL49" s="14">
        <v>0</v>
      </c>
      <c r="AM49" s="16" t="s">
        <v>62</v>
      </c>
      <c r="AN49" s="16" t="s">
        <v>62</v>
      </c>
      <c r="AO49" s="16" t="s">
        <v>62</v>
      </c>
      <c r="AP49" s="16" t="s">
        <v>62</v>
      </c>
      <c r="AQ49" s="16" t="s">
        <v>62</v>
      </c>
      <c r="AR49" s="16" t="s">
        <v>62</v>
      </c>
      <c r="AS49" s="16" t="s">
        <v>62</v>
      </c>
      <c r="AT49" s="16" t="s">
        <v>62</v>
      </c>
      <c r="AU49" s="16" t="s">
        <v>62</v>
      </c>
      <c r="AV49" s="16" t="s">
        <v>62</v>
      </c>
      <c r="AW49" s="16" t="s">
        <v>62</v>
      </c>
      <c r="AX49" s="16" t="s">
        <v>62</v>
      </c>
      <c r="AY49" s="16" t="s">
        <v>62</v>
      </c>
      <c r="AZ49" s="16" t="s">
        <v>62</v>
      </c>
      <c r="BA49" s="16" t="s">
        <v>62</v>
      </c>
      <c r="BB49" s="16" t="s">
        <v>62</v>
      </c>
      <c r="BC49" s="16" t="s">
        <v>62</v>
      </c>
      <c r="BD49" s="16" t="s">
        <v>62</v>
      </c>
      <c r="BE49" s="16" t="s">
        <v>62</v>
      </c>
      <c r="BF49" s="16" t="s">
        <v>62</v>
      </c>
      <c r="BG49" s="16" t="s">
        <v>62</v>
      </c>
      <c r="BH49" s="16" t="s">
        <v>62</v>
      </c>
      <c r="BI49" s="15" t="s">
        <v>62</v>
      </c>
      <c r="BJ49" s="16" t="s">
        <v>62</v>
      </c>
      <c r="BK49" s="16" t="s">
        <v>62</v>
      </c>
      <c r="BL49" s="16" t="s">
        <v>62</v>
      </c>
      <c r="BM49" s="16" t="s">
        <v>62</v>
      </c>
      <c r="BN49" s="16" t="s">
        <v>62</v>
      </c>
      <c r="BO49" s="16" t="s">
        <v>62</v>
      </c>
      <c r="BP49" s="16" t="s">
        <v>62</v>
      </c>
      <c r="BQ49" s="16" t="s">
        <v>62</v>
      </c>
      <c r="BR49" s="16" t="s">
        <v>62</v>
      </c>
      <c r="BS49" s="16" t="s">
        <v>62</v>
      </c>
      <c r="BT49" s="16" t="s">
        <v>62</v>
      </c>
      <c r="BU49" s="16" t="s">
        <v>62</v>
      </c>
      <c r="BV49" s="16" t="s">
        <v>62</v>
      </c>
      <c r="BW49" s="16" t="s">
        <v>62</v>
      </c>
      <c r="BX49" s="16" t="s">
        <v>62</v>
      </c>
      <c r="BY49" s="16" t="s">
        <v>62</v>
      </c>
      <c r="BZ49" s="16" t="s">
        <v>62</v>
      </c>
      <c r="CA49" s="16" t="s">
        <v>62</v>
      </c>
      <c r="CB49" s="16" t="s">
        <v>62</v>
      </c>
      <c r="CC49" s="16" t="s">
        <v>62</v>
      </c>
      <c r="CD49" s="16" t="s">
        <v>62</v>
      </c>
      <c r="CE49" s="16" t="s">
        <v>62</v>
      </c>
      <c r="CF49" s="15" t="s">
        <v>62</v>
      </c>
      <c r="CG49" s="15" t="s">
        <v>74</v>
      </c>
      <c r="CH49" s="15">
        <v>8.9599999999999999E-4</v>
      </c>
      <c r="CI49" s="14">
        <v>3</v>
      </c>
      <c r="CJ49" s="79">
        <v>3</v>
      </c>
      <c r="CK49" s="79" t="s">
        <v>224</v>
      </c>
      <c r="CL49" s="79" t="s">
        <v>224</v>
      </c>
      <c r="CM49" s="79">
        <v>297.882496</v>
      </c>
      <c r="CN49" s="79">
        <v>2</v>
      </c>
      <c r="CO49" s="79" t="s">
        <v>224</v>
      </c>
      <c r="CP49" s="79" t="s">
        <v>224</v>
      </c>
      <c r="CQ49" s="79" t="s">
        <v>224</v>
      </c>
      <c r="CR49" s="12" t="str">
        <f>IF(COUNTIF(Incl!A:A,Raw!J49),1, "")</f>
        <v/>
      </c>
    </row>
    <row r="50" spans="1:96" ht="13.5" thickTop="1" thickBot="1" x14ac:dyDescent="0.3">
      <c r="A50" s="13">
        <v>47</v>
      </c>
      <c r="B50" s="14">
        <v>1</v>
      </c>
      <c r="C50" s="15">
        <v>196.04821999999999</v>
      </c>
      <c r="D50" s="14">
        <v>47</v>
      </c>
      <c r="E50" s="14">
        <v>1</v>
      </c>
      <c r="F50" s="14">
        <v>76</v>
      </c>
      <c r="G50" s="16">
        <v>170</v>
      </c>
      <c r="H50" s="14">
        <v>170</v>
      </c>
      <c r="I50" s="14">
        <v>170</v>
      </c>
      <c r="J50" s="14">
        <v>170</v>
      </c>
      <c r="K50" s="15" t="s">
        <v>89</v>
      </c>
      <c r="L50" s="15" t="s">
        <v>82</v>
      </c>
      <c r="M50" s="15" t="s">
        <v>69</v>
      </c>
      <c r="N50" s="17">
        <v>2</v>
      </c>
      <c r="O50" s="17" t="s">
        <v>62</v>
      </c>
      <c r="P50" s="16">
        <v>6</v>
      </c>
      <c r="Q50" s="17" t="s">
        <v>62</v>
      </c>
      <c r="R50" s="17" t="s">
        <v>62</v>
      </c>
      <c r="S50" s="17" t="s">
        <v>62</v>
      </c>
      <c r="T50" s="14">
        <v>8</v>
      </c>
      <c r="U50" s="16">
        <v>6</v>
      </c>
      <c r="V50" s="16">
        <v>5</v>
      </c>
      <c r="W50" s="16">
        <v>3</v>
      </c>
      <c r="X50" s="17">
        <v>5</v>
      </c>
      <c r="Y50" s="14">
        <v>77</v>
      </c>
      <c r="Z50" s="14">
        <v>64</v>
      </c>
      <c r="AA50" s="14">
        <v>38</v>
      </c>
      <c r="AB50" s="14">
        <v>64</v>
      </c>
      <c r="AC50" s="14">
        <v>1</v>
      </c>
      <c r="AD50" s="14">
        <v>6</v>
      </c>
      <c r="AE50" s="14">
        <v>5</v>
      </c>
      <c r="AF50" s="14">
        <v>6</v>
      </c>
      <c r="AG50" s="17">
        <v>8</v>
      </c>
      <c r="AH50" s="14">
        <v>77</v>
      </c>
      <c r="AI50" s="14">
        <v>64</v>
      </c>
      <c r="AJ50" s="14">
        <v>77</v>
      </c>
      <c r="AK50" s="14">
        <v>103</v>
      </c>
      <c r="AL50" s="14">
        <v>3</v>
      </c>
      <c r="AM50" s="16" t="s">
        <v>62</v>
      </c>
      <c r="AN50" s="16" t="s">
        <v>62</v>
      </c>
      <c r="AO50" s="16" t="s">
        <v>62</v>
      </c>
      <c r="AP50" s="16" t="s">
        <v>62</v>
      </c>
      <c r="AQ50" s="16" t="s">
        <v>62</v>
      </c>
      <c r="AR50" s="16" t="s">
        <v>62</v>
      </c>
      <c r="AS50" s="16" t="s">
        <v>62</v>
      </c>
      <c r="AT50" s="16" t="s">
        <v>62</v>
      </c>
      <c r="AU50" s="16" t="s">
        <v>62</v>
      </c>
      <c r="AV50" s="16" t="s">
        <v>62</v>
      </c>
      <c r="AW50" s="16" t="s">
        <v>62</v>
      </c>
      <c r="AX50" s="16" t="s">
        <v>62</v>
      </c>
      <c r="AY50" s="16" t="s">
        <v>62</v>
      </c>
      <c r="AZ50" s="16" t="s">
        <v>62</v>
      </c>
      <c r="BA50" s="16" t="s">
        <v>62</v>
      </c>
      <c r="BB50" s="16" t="s">
        <v>62</v>
      </c>
      <c r="BC50" s="16" t="s">
        <v>62</v>
      </c>
      <c r="BD50" s="16" t="s">
        <v>62</v>
      </c>
      <c r="BE50" s="16" t="s">
        <v>62</v>
      </c>
      <c r="BF50" s="16" t="s">
        <v>62</v>
      </c>
      <c r="BG50" s="16" t="s">
        <v>62</v>
      </c>
      <c r="BH50" s="16" t="s">
        <v>62</v>
      </c>
      <c r="BI50" s="15" t="s">
        <v>62</v>
      </c>
      <c r="BJ50" s="16" t="s">
        <v>62</v>
      </c>
      <c r="BK50" s="16" t="s">
        <v>62</v>
      </c>
      <c r="BL50" s="16" t="s">
        <v>62</v>
      </c>
      <c r="BM50" s="16" t="s">
        <v>62</v>
      </c>
      <c r="BN50" s="16" t="s">
        <v>62</v>
      </c>
      <c r="BO50" s="16" t="s">
        <v>62</v>
      </c>
      <c r="BP50" s="16" t="s">
        <v>62</v>
      </c>
      <c r="BQ50" s="16" t="s">
        <v>62</v>
      </c>
      <c r="BR50" s="16" t="s">
        <v>62</v>
      </c>
      <c r="BS50" s="16" t="s">
        <v>62</v>
      </c>
      <c r="BT50" s="16" t="s">
        <v>62</v>
      </c>
      <c r="BU50" s="16" t="s">
        <v>62</v>
      </c>
      <c r="BV50" s="16" t="s">
        <v>62</v>
      </c>
      <c r="BW50" s="16" t="s">
        <v>62</v>
      </c>
      <c r="BX50" s="16" t="s">
        <v>62</v>
      </c>
      <c r="BY50" s="16" t="s">
        <v>62</v>
      </c>
      <c r="BZ50" s="16" t="s">
        <v>62</v>
      </c>
      <c r="CA50" s="16" t="s">
        <v>62</v>
      </c>
      <c r="CB50" s="16" t="s">
        <v>62</v>
      </c>
      <c r="CC50" s="16" t="s">
        <v>62</v>
      </c>
      <c r="CD50" s="16" t="s">
        <v>62</v>
      </c>
      <c r="CE50" s="16" t="s">
        <v>62</v>
      </c>
      <c r="CF50" s="15" t="s">
        <v>62</v>
      </c>
      <c r="CG50" s="15" t="s">
        <v>64</v>
      </c>
      <c r="CH50" s="15">
        <v>6.3500000000000004E-4</v>
      </c>
      <c r="CI50" s="14">
        <v>4</v>
      </c>
      <c r="CJ50" s="79">
        <v>3</v>
      </c>
      <c r="CK50" s="79" t="s">
        <v>224</v>
      </c>
      <c r="CL50" s="79" t="s">
        <v>224</v>
      </c>
      <c r="CM50" s="79">
        <v>196.04801499999999</v>
      </c>
      <c r="CN50" s="79">
        <v>2</v>
      </c>
      <c r="CO50" s="79" t="s">
        <v>224</v>
      </c>
      <c r="CP50" s="79" t="s">
        <v>224</v>
      </c>
      <c r="CQ50" s="79" t="s">
        <v>224</v>
      </c>
      <c r="CR50" s="12" t="str">
        <f>IF(COUNTIF(Incl!A:A,Raw!J50),1, "")</f>
        <v/>
      </c>
    </row>
    <row r="51" spans="1:96" ht="13.5" thickTop="1" thickBot="1" x14ac:dyDescent="0.3">
      <c r="A51" s="18">
        <v>48</v>
      </c>
      <c r="B51" s="19">
        <v>1</v>
      </c>
      <c r="C51" s="20">
        <v>242.84886399999999</v>
      </c>
      <c r="D51" s="19">
        <v>48</v>
      </c>
      <c r="E51" s="19">
        <v>1</v>
      </c>
      <c r="F51" s="19">
        <v>77</v>
      </c>
      <c r="G51" s="21">
        <v>79</v>
      </c>
      <c r="H51" s="19">
        <v>79</v>
      </c>
      <c r="I51" s="19">
        <v>79</v>
      </c>
      <c r="J51" s="19">
        <v>79</v>
      </c>
      <c r="K51" s="20" t="s">
        <v>82</v>
      </c>
      <c r="L51" s="20" t="s">
        <v>88</v>
      </c>
      <c r="M51" s="20" t="s">
        <v>89</v>
      </c>
      <c r="N51" s="22">
        <v>2</v>
      </c>
      <c r="O51" s="21">
        <v>14</v>
      </c>
      <c r="P51" s="22">
        <v>1</v>
      </c>
      <c r="Q51" s="22" t="s">
        <v>62</v>
      </c>
      <c r="R51" s="22">
        <v>1</v>
      </c>
      <c r="S51" s="22" t="s">
        <v>62</v>
      </c>
      <c r="T51" s="19">
        <v>18</v>
      </c>
      <c r="U51" s="22">
        <v>6</v>
      </c>
      <c r="V51" s="22">
        <v>4</v>
      </c>
      <c r="W51" s="22">
        <v>6</v>
      </c>
      <c r="X51" s="22" t="s">
        <v>62</v>
      </c>
      <c r="Y51" s="19">
        <v>33</v>
      </c>
      <c r="Z51" s="19">
        <v>22</v>
      </c>
      <c r="AA51" s="19">
        <v>33</v>
      </c>
      <c r="AB51" s="19">
        <v>0</v>
      </c>
      <c r="AC51" s="19">
        <v>0</v>
      </c>
      <c r="AD51" s="19">
        <v>0</v>
      </c>
      <c r="AE51" s="19">
        <v>5</v>
      </c>
      <c r="AF51" s="19">
        <v>9</v>
      </c>
      <c r="AG51" s="22" t="s">
        <v>62</v>
      </c>
      <c r="AH51" s="19">
        <v>0</v>
      </c>
      <c r="AI51" s="19">
        <v>28</v>
      </c>
      <c r="AJ51" s="19">
        <v>50</v>
      </c>
      <c r="AK51" s="19">
        <v>0</v>
      </c>
      <c r="AL51" s="19">
        <v>0</v>
      </c>
      <c r="AM51" s="21">
        <v>6</v>
      </c>
      <c r="AN51" s="21">
        <v>4</v>
      </c>
      <c r="AO51" s="21">
        <v>5</v>
      </c>
      <c r="AP51" s="21">
        <v>4</v>
      </c>
      <c r="AQ51" s="21">
        <v>4</v>
      </c>
      <c r="AR51" s="21">
        <v>5</v>
      </c>
      <c r="AS51" s="21">
        <v>5</v>
      </c>
      <c r="AT51" s="21">
        <v>9</v>
      </c>
      <c r="AU51" s="21">
        <v>6</v>
      </c>
      <c r="AV51" s="21">
        <v>6</v>
      </c>
      <c r="AW51" s="21">
        <v>22</v>
      </c>
      <c r="AX51" s="21">
        <v>5</v>
      </c>
      <c r="AY51" s="21">
        <v>2</v>
      </c>
      <c r="AZ51" s="21">
        <v>1</v>
      </c>
      <c r="BA51" s="21">
        <v>1</v>
      </c>
      <c r="BB51" s="21">
        <v>0</v>
      </c>
      <c r="BC51" s="21">
        <v>1</v>
      </c>
      <c r="BD51" s="21">
        <v>0</v>
      </c>
      <c r="BE51" s="21">
        <v>0</v>
      </c>
      <c r="BF51" s="21">
        <v>0</v>
      </c>
      <c r="BG51" s="21">
        <v>32</v>
      </c>
      <c r="BH51" s="21">
        <v>1.8</v>
      </c>
      <c r="BI51" s="20" t="s">
        <v>68</v>
      </c>
      <c r="BJ51" s="21">
        <v>0</v>
      </c>
      <c r="BK51" s="21">
        <v>6</v>
      </c>
      <c r="BL51" s="21">
        <v>4</v>
      </c>
      <c r="BM51" s="21">
        <v>5</v>
      </c>
      <c r="BN51" s="21">
        <v>5</v>
      </c>
      <c r="BO51" s="21">
        <v>10</v>
      </c>
      <c r="BP51" s="21">
        <v>6</v>
      </c>
      <c r="BQ51" s="21">
        <v>13</v>
      </c>
      <c r="BR51" s="21">
        <v>9</v>
      </c>
      <c r="BS51" s="21">
        <v>6</v>
      </c>
      <c r="BT51" s="21">
        <v>13</v>
      </c>
      <c r="BU51" s="21">
        <v>6</v>
      </c>
      <c r="BV51" s="21">
        <v>3</v>
      </c>
      <c r="BW51" s="21">
        <v>1</v>
      </c>
      <c r="BX51" s="21">
        <v>2</v>
      </c>
      <c r="BY51" s="21">
        <v>0</v>
      </c>
      <c r="BZ51" s="21">
        <v>1</v>
      </c>
      <c r="CA51" s="21">
        <v>1</v>
      </c>
      <c r="CB51" s="21">
        <v>0</v>
      </c>
      <c r="CC51" s="21">
        <v>0</v>
      </c>
      <c r="CD51" s="21">
        <v>27</v>
      </c>
      <c r="CE51" s="21">
        <v>1.5</v>
      </c>
      <c r="CF51" s="20" t="s">
        <v>68</v>
      </c>
      <c r="CG51" s="20" t="s">
        <v>71</v>
      </c>
      <c r="CH51" s="20">
        <v>7.5299999999999998E-4</v>
      </c>
      <c r="CI51" s="19">
        <v>0</v>
      </c>
      <c r="CJ51" s="78">
        <v>2</v>
      </c>
      <c r="CK51" s="78" t="s">
        <v>224</v>
      </c>
      <c r="CL51" s="78" t="s">
        <v>224</v>
      </c>
      <c r="CM51" s="78">
        <v>242.84887699999999</v>
      </c>
      <c r="CN51" s="78">
        <v>1</v>
      </c>
      <c r="CO51" s="78" t="s">
        <v>224</v>
      </c>
      <c r="CP51" s="78" t="s">
        <v>224</v>
      </c>
      <c r="CQ51" s="78" t="s">
        <v>224</v>
      </c>
      <c r="CR51" s="12" t="str">
        <f>IF(COUNTIF(Incl!A:A,Raw!J51),1, "")</f>
        <v/>
      </c>
    </row>
    <row r="52" spans="1:96" ht="13.5" thickTop="1" thickBot="1" x14ac:dyDescent="0.3">
      <c r="A52" s="13">
        <v>49</v>
      </c>
      <c r="B52" s="14">
        <v>1</v>
      </c>
      <c r="C52" s="15">
        <v>152.88797400000001</v>
      </c>
      <c r="D52" s="14">
        <v>49</v>
      </c>
      <c r="E52" s="14">
        <v>1</v>
      </c>
      <c r="F52" s="14">
        <v>78</v>
      </c>
      <c r="G52" s="16">
        <v>172</v>
      </c>
      <c r="H52" s="14">
        <v>172</v>
      </c>
      <c r="I52" s="14">
        <v>172</v>
      </c>
      <c r="J52" s="14">
        <v>172</v>
      </c>
      <c r="K52" s="15" t="s">
        <v>89</v>
      </c>
      <c r="L52" s="15" t="s">
        <v>60</v>
      </c>
      <c r="M52" s="15" t="s">
        <v>82</v>
      </c>
      <c r="N52" s="16">
        <v>3</v>
      </c>
      <c r="O52" s="17" t="s">
        <v>62</v>
      </c>
      <c r="P52" s="17" t="s">
        <v>62</v>
      </c>
      <c r="Q52" s="17" t="s">
        <v>62</v>
      </c>
      <c r="R52" s="17" t="s">
        <v>62</v>
      </c>
      <c r="S52" s="17" t="s">
        <v>62</v>
      </c>
      <c r="T52" s="14">
        <v>3</v>
      </c>
      <c r="U52" s="16">
        <v>3</v>
      </c>
      <c r="V52" s="17" t="s">
        <v>62</v>
      </c>
      <c r="W52" s="17">
        <v>1</v>
      </c>
      <c r="X52" s="17" t="s">
        <v>62</v>
      </c>
      <c r="Y52" s="14">
        <v>88</v>
      </c>
      <c r="Z52" s="14">
        <v>0</v>
      </c>
      <c r="AA52" s="14">
        <v>29</v>
      </c>
      <c r="AB52" s="14">
        <v>0</v>
      </c>
      <c r="AC52" s="14">
        <v>1</v>
      </c>
      <c r="AD52" s="14">
        <v>3</v>
      </c>
      <c r="AE52" s="14">
        <v>2</v>
      </c>
      <c r="AF52" s="14">
        <v>2</v>
      </c>
      <c r="AG52" s="17" t="s">
        <v>62</v>
      </c>
      <c r="AH52" s="14">
        <v>88</v>
      </c>
      <c r="AI52" s="14">
        <v>59</v>
      </c>
      <c r="AJ52" s="14">
        <v>59</v>
      </c>
      <c r="AK52" s="14">
        <v>0</v>
      </c>
      <c r="AL52" s="14">
        <v>1</v>
      </c>
      <c r="AM52" s="16">
        <v>3</v>
      </c>
      <c r="AN52" s="16">
        <v>1</v>
      </c>
      <c r="AO52" s="16">
        <v>2</v>
      </c>
      <c r="AP52" s="16">
        <v>3</v>
      </c>
      <c r="AQ52" s="16">
        <v>0</v>
      </c>
      <c r="AR52" s="16">
        <v>0</v>
      </c>
      <c r="AS52" s="16">
        <v>1</v>
      </c>
      <c r="AT52" s="16">
        <v>1</v>
      </c>
      <c r="AU52" s="16">
        <v>1</v>
      </c>
      <c r="AV52" s="16">
        <v>1</v>
      </c>
      <c r="AW52" s="16">
        <v>7</v>
      </c>
      <c r="AX52" s="16">
        <v>1</v>
      </c>
      <c r="AY52" s="16">
        <v>0</v>
      </c>
      <c r="AZ52" s="16">
        <v>1</v>
      </c>
      <c r="BA52" s="16">
        <v>0</v>
      </c>
      <c r="BB52" s="16">
        <v>0</v>
      </c>
      <c r="BC52" s="16">
        <v>0</v>
      </c>
      <c r="BD52" s="16">
        <v>0</v>
      </c>
      <c r="BE52" s="16">
        <v>0</v>
      </c>
      <c r="BF52" s="16">
        <v>0</v>
      </c>
      <c r="BG52" s="16">
        <v>9</v>
      </c>
      <c r="BH52" s="16">
        <v>2.6</v>
      </c>
      <c r="BI52" s="15" t="s">
        <v>63</v>
      </c>
      <c r="BJ52" s="16">
        <v>3</v>
      </c>
      <c r="BK52" s="16">
        <v>1</v>
      </c>
      <c r="BL52" s="16">
        <v>1</v>
      </c>
      <c r="BM52" s="16">
        <v>1</v>
      </c>
      <c r="BN52" s="16">
        <v>2</v>
      </c>
      <c r="BO52" s="16">
        <v>1</v>
      </c>
      <c r="BP52" s="16">
        <v>2</v>
      </c>
      <c r="BQ52" s="16">
        <v>3</v>
      </c>
      <c r="BR52" s="16">
        <v>2</v>
      </c>
      <c r="BS52" s="16">
        <v>1</v>
      </c>
      <c r="BT52" s="16">
        <v>5</v>
      </c>
      <c r="BU52" s="16">
        <v>1</v>
      </c>
      <c r="BV52" s="16">
        <v>0</v>
      </c>
      <c r="BW52" s="16">
        <v>1</v>
      </c>
      <c r="BX52" s="16">
        <v>0</v>
      </c>
      <c r="BY52" s="16">
        <v>1</v>
      </c>
      <c r="BZ52" s="16">
        <v>0</v>
      </c>
      <c r="CA52" s="16">
        <v>0</v>
      </c>
      <c r="CB52" s="16">
        <v>0</v>
      </c>
      <c r="CC52" s="16">
        <v>0</v>
      </c>
      <c r="CD52" s="16">
        <v>8</v>
      </c>
      <c r="CE52" s="16">
        <v>2.4</v>
      </c>
      <c r="CF52" s="15" t="s">
        <v>63</v>
      </c>
      <c r="CG52" s="15" t="s">
        <v>64</v>
      </c>
      <c r="CH52" s="15">
        <v>4.7600000000000002E-4</v>
      </c>
      <c r="CI52" s="14">
        <v>2</v>
      </c>
      <c r="CJ52" s="79">
        <v>2</v>
      </c>
      <c r="CK52" s="79" t="s">
        <v>224</v>
      </c>
      <c r="CL52" s="79" t="s">
        <v>224</v>
      </c>
      <c r="CM52" s="79">
        <v>152.888071</v>
      </c>
      <c r="CN52" s="79">
        <v>1</v>
      </c>
      <c r="CO52" s="79">
        <v>1</v>
      </c>
      <c r="CP52" s="79" t="s">
        <v>224</v>
      </c>
      <c r="CQ52" s="79" t="s">
        <v>224</v>
      </c>
      <c r="CR52" s="12" t="str">
        <f>IF(COUNTIF(Incl!A:A,Raw!J52),1, "")</f>
        <v/>
      </c>
    </row>
    <row r="53" spans="1:96" ht="13.5" thickTop="1" thickBot="1" x14ac:dyDescent="0.3">
      <c r="A53" s="13">
        <v>50</v>
      </c>
      <c r="B53" s="14">
        <v>1</v>
      </c>
      <c r="C53" s="15">
        <v>192.114149</v>
      </c>
      <c r="D53" s="14">
        <v>50</v>
      </c>
      <c r="E53" s="14">
        <v>1</v>
      </c>
      <c r="F53" s="14">
        <v>79</v>
      </c>
      <c r="G53" s="16">
        <v>49</v>
      </c>
      <c r="H53" s="14">
        <v>49</v>
      </c>
      <c r="I53" s="14">
        <v>49</v>
      </c>
      <c r="J53" s="14">
        <v>49</v>
      </c>
      <c r="K53" s="15" t="s">
        <v>69</v>
      </c>
      <c r="L53" s="15" t="s">
        <v>92</v>
      </c>
      <c r="M53" s="15" t="s">
        <v>93</v>
      </c>
      <c r="N53" s="17" t="s">
        <v>62</v>
      </c>
      <c r="O53" s="16" t="s">
        <v>62</v>
      </c>
      <c r="P53" s="17">
        <v>2</v>
      </c>
      <c r="Q53" s="17" t="s">
        <v>62</v>
      </c>
      <c r="R53" s="17" t="s">
        <v>62</v>
      </c>
      <c r="S53" s="17" t="s">
        <v>62</v>
      </c>
      <c r="T53" s="14">
        <v>2</v>
      </c>
      <c r="U53" s="16">
        <v>1</v>
      </c>
      <c r="V53" s="16">
        <v>1</v>
      </c>
      <c r="W53" s="16">
        <v>1</v>
      </c>
      <c r="X53" s="17" t="s">
        <v>62</v>
      </c>
      <c r="Y53" s="14">
        <v>67</v>
      </c>
      <c r="Z53" s="14">
        <v>67</v>
      </c>
      <c r="AA53" s="14">
        <v>67</v>
      </c>
      <c r="AB53" s="14">
        <v>0</v>
      </c>
      <c r="AC53" s="14">
        <v>0</v>
      </c>
      <c r="AD53" s="14">
        <v>1</v>
      </c>
      <c r="AE53" s="14">
        <v>1</v>
      </c>
      <c r="AF53" s="14">
        <v>1</v>
      </c>
      <c r="AG53" s="17" t="s">
        <v>62</v>
      </c>
      <c r="AH53" s="14">
        <v>67</v>
      </c>
      <c r="AI53" s="14">
        <v>67</v>
      </c>
      <c r="AJ53" s="14">
        <v>67</v>
      </c>
      <c r="AK53" s="14">
        <v>0</v>
      </c>
      <c r="AL53" s="14">
        <v>0</v>
      </c>
      <c r="AM53" s="16">
        <v>1</v>
      </c>
      <c r="AN53" s="16">
        <v>1</v>
      </c>
      <c r="AO53" s="16">
        <v>2</v>
      </c>
      <c r="AP53" s="16">
        <v>1</v>
      </c>
      <c r="AQ53" s="16">
        <v>1</v>
      </c>
      <c r="AR53" s="16">
        <v>1</v>
      </c>
      <c r="AS53" s="16">
        <v>1</v>
      </c>
      <c r="AT53" s="16">
        <v>1</v>
      </c>
      <c r="AU53" s="16">
        <v>1</v>
      </c>
      <c r="AV53" s="16">
        <v>2</v>
      </c>
      <c r="AW53" s="16">
        <v>2</v>
      </c>
      <c r="AX53" s="16">
        <v>0</v>
      </c>
      <c r="AY53" s="16">
        <v>0</v>
      </c>
      <c r="AZ53" s="16">
        <v>0</v>
      </c>
      <c r="BA53" s="16">
        <v>0</v>
      </c>
      <c r="BB53" s="16">
        <v>0</v>
      </c>
      <c r="BC53" s="16">
        <v>0</v>
      </c>
      <c r="BD53" s="16">
        <v>0</v>
      </c>
      <c r="BE53" s="16">
        <v>0</v>
      </c>
      <c r="BF53" s="16">
        <v>1</v>
      </c>
      <c r="BG53" s="16">
        <v>3</v>
      </c>
      <c r="BH53" s="16">
        <v>2</v>
      </c>
      <c r="BI53" s="15" t="s">
        <v>68</v>
      </c>
      <c r="BJ53" s="16">
        <v>1</v>
      </c>
      <c r="BK53" s="16">
        <v>2</v>
      </c>
      <c r="BL53" s="16">
        <v>2</v>
      </c>
      <c r="BM53" s="16">
        <v>1</v>
      </c>
      <c r="BN53" s="16">
        <v>1</v>
      </c>
      <c r="BO53" s="16">
        <v>1</v>
      </c>
      <c r="BP53" s="16">
        <v>1</v>
      </c>
      <c r="BQ53" s="16">
        <v>1</v>
      </c>
      <c r="BR53" s="16">
        <v>1</v>
      </c>
      <c r="BS53" s="16">
        <v>1</v>
      </c>
      <c r="BT53" s="16">
        <v>0</v>
      </c>
      <c r="BU53" s="16">
        <v>1</v>
      </c>
      <c r="BV53" s="16">
        <v>0</v>
      </c>
      <c r="BW53" s="16">
        <v>1</v>
      </c>
      <c r="BX53" s="16">
        <v>0</v>
      </c>
      <c r="BY53" s="16">
        <v>1</v>
      </c>
      <c r="BZ53" s="16">
        <v>0</v>
      </c>
      <c r="CA53" s="16">
        <v>0</v>
      </c>
      <c r="CB53" s="16">
        <v>0</v>
      </c>
      <c r="CC53" s="16">
        <v>0</v>
      </c>
      <c r="CD53" s="16">
        <v>3</v>
      </c>
      <c r="CE53" s="16">
        <v>2</v>
      </c>
      <c r="CF53" s="15" t="s">
        <v>63</v>
      </c>
      <c r="CG53" s="15" t="s">
        <v>71</v>
      </c>
      <c r="CH53" s="15">
        <v>6.0300000000000002E-4</v>
      </c>
      <c r="CI53" s="14">
        <v>0</v>
      </c>
      <c r="CJ53" s="79">
        <v>3</v>
      </c>
      <c r="CK53" s="79" t="s">
        <v>224</v>
      </c>
      <c r="CL53" s="79" t="s">
        <v>224</v>
      </c>
      <c r="CM53" s="79">
        <v>192.114113</v>
      </c>
      <c r="CN53" s="79">
        <v>1</v>
      </c>
      <c r="CO53" s="79" t="s">
        <v>224</v>
      </c>
      <c r="CP53" s="79" t="s">
        <v>224</v>
      </c>
      <c r="CQ53" s="79" t="s">
        <v>224</v>
      </c>
      <c r="CR53" s="12" t="str">
        <f>IF(COUNTIF(Incl!A:A,Raw!J53),1, "")</f>
        <v/>
      </c>
    </row>
    <row r="54" spans="1:96" ht="13.5" thickTop="1" thickBot="1" x14ac:dyDescent="0.3">
      <c r="A54" s="18">
        <v>51</v>
      </c>
      <c r="B54" s="19">
        <v>1</v>
      </c>
      <c r="C54" s="20">
        <v>250.804847</v>
      </c>
      <c r="D54" s="19">
        <v>51</v>
      </c>
      <c r="E54" s="19">
        <v>1</v>
      </c>
      <c r="F54" s="19">
        <v>80</v>
      </c>
      <c r="G54" s="21">
        <v>171</v>
      </c>
      <c r="H54" s="19">
        <v>171</v>
      </c>
      <c r="I54" s="19">
        <v>171</v>
      </c>
      <c r="J54" s="19">
        <v>171</v>
      </c>
      <c r="K54" s="20" t="s">
        <v>89</v>
      </c>
      <c r="L54" s="20" t="s">
        <v>69</v>
      </c>
      <c r="M54" s="20" t="s">
        <v>82</v>
      </c>
      <c r="N54" s="22" t="s">
        <v>62</v>
      </c>
      <c r="O54" s="21">
        <v>10</v>
      </c>
      <c r="P54" s="22" t="s">
        <v>62</v>
      </c>
      <c r="Q54" s="22" t="s">
        <v>62</v>
      </c>
      <c r="R54" s="22" t="s">
        <v>62</v>
      </c>
      <c r="S54" s="22" t="s">
        <v>62</v>
      </c>
      <c r="T54" s="19">
        <v>10</v>
      </c>
      <c r="U54" s="21">
        <v>5</v>
      </c>
      <c r="V54" s="21">
        <v>4</v>
      </c>
      <c r="W54" s="21">
        <v>5</v>
      </c>
      <c r="X54" s="21">
        <v>4</v>
      </c>
      <c r="Y54" s="19">
        <v>53</v>
      </c>
      <c r="Z54" s="19">
        <v>42</v>
      </c>
      <c r="AA54" s="19">
        <v>53</v>
      </c>
      <c r="AB54" s="19">
        <v>42</v>
      </c>
      <c r="AC54" s="19">
        <v>0</v>
      </c>
      <c r="AD54" s="19">
        <v>6</v>
      </c>
      <c r="AE54" s="19">
        <v>6</v>
      </c>
      <c r="AF54" s="19">
        <v>8</v>
      </c>
      <c r="AG54" s="21">
        <v>8</v>
      </c>
      <c r="AH54" s="19">
        <v>63</v>
      </c>
      <c r="AI54" s="19">
        <v>63</v>
      </c>
      <c r="AJ54" s="19">
        <v>84</v>
      </c>
      <c r="AK54" s="19">
        <v>84</v>
      </c>
      <c r="AL54" s="19">
        <v>2</v>
      </c>
      <c r="AM54" s="22" t="s">
        <v>62</v>
      </c>
      <c r="AN54" s="22" t="s">
        <v>62</v>
      </c>
      <c r="AO54" s="22" t="s">
        <v>62</v>
      </c>
      <c r="AP54" s="22" t="s">
        <v>62</v>
      </c>
      <c r="AQ54" s="22" t="s">
        <v>62</v>
      </c>
      <c r="AR54" s="22" t="s">
        <v>62</v>
      </c>
      <c r="AS54" s="22" t="s">
        <v>62</v>
      </c>
      <c r="AT54" s="22" t="s">
        <v>62</v>
      </c>
      <c r="AU54" s="22" t="s">
        <v>62</v>
      </c>
      <c r="AV54" s="22" t="s">
        <v>62</v>
      </c>
      <c r="AW54" s="22" t="s">
        <v>62</v>
      </c>
      <c r="AX54" s="22" t="s">
        <v>62</v>
      </c>
      <c r="AY54" s="22" t="s">
        <v>62</v>
      </c>
      <c r="AZ54" s="22" t="s">
        <v>62</v>
      </c>
      <c r="BA54" s="22" t="s">
        <v>62</v>
      </c>
      <c r="BB54" s="22" t="s">
        <v>62</v>
      </c>
      <c r="BC54" s="22" t="s">
        <v>62</v>
      </c>
      <c r="BD54" s="22" t="s">
        <v>62</v>
      </c>
      <c r="BE54" s="22" t="s">
        <v>62</v>
      </c>
      <c r="BF54" s="22" t="s">
        <v>62</v>
      </c>
      <c r="BG54" s="22" t="s">
        <v>62</v>
      </c>
      <c r="BH54" s="22" t="s">
        <v>62</v>
      </c>
      <c r="BI54" s="22" t="s">
        <v>62</v>
      </c>
      <c r="BJ54" s="22" t="s">
        <v>62</v>
      </c>
      <c r="BK54" s="22" t="s">
        <v>62</v>
      </c>
      <c r="BL54" s="22" t="s">
        <v>62</v>
      </c>
      <c r="BM54" s="22" t="s">
        <v>62</v>
      </c>
      <c r="BN54" s="22" t="s">
        <v>62</v>
      </c>
      <c r="BO54" s="22" t="s">
        <v>62</v>
      </c>
      <c r="BP54" s="22" t="s">
        <v>62</v>
      </c>
      <c r="BQ54" s="22" t="s">
        <v>62</v>
      </c>
      <c r="BR54" s="22" t="s">
        <v>62</v>
      </c>
      <c r="BS54" s="22" t="s">
        <v>62</v>
      </c>
      <c r="BT54" s="22" t="s">
        <v>62</v>
      </c>
      <c r="BU54" s="22" t="s">
        <v>62</v>
      </c>
      <c r="BV54" s="22" t="s">
        <v>62</v>
      </c>
      <c r="BW54" s="22" t="s">
        <v>62</v>
      </c>
      <c r="BX54" s="22" t="s">
        <v>62</v>
      </c>
      <c r="BY54" s="22" t="s">
        <v>62</v>
      </c>
      <c r="BZ54" s="22" t="s">
        <v>62</v>
      </c>
      <c r="CA54" s="22" t="s">
        <v>62</v>
      </c>
      <c r="CB54" s="22" t="s">
        <v>62</v>
      </c>
      <c r="CC54" s="22" t="s">
        <v>62</v>
      </c>
      <c r="CD54" s="22" t="s">
        <v>62</v>
      </c>
      <c r="CE54" s="22" t="s">
        <v>62</v>
      </c>
      <c r="CF54" s="22" t="s">
        <v>62</v>
      </c>
      <c r="CG54" s="20" t="s">
        <v>66</v>
      </c>
      <c r="CH54" s="20">
        <v>8.0500000000000005E-4</v>
      </c>
      <c r="CI54" s="19">
        <v>2</v>
      </c>
      <c r="CJ54" s="78">
        <v>3</v>
      </c>
      <c r="CK54" s="78" t="s">
        <v>224</v>
      </c>
      <c r="CL54" s="78" t="s">
        <v>224</v>
      </c>
      <c r="CM54" s="78">
        <v>250.80485100000001</v>
      </c>
      <c r="CN54" s="78">
        <v>2</v>
      </c>
      <c r="CO54" s="78" t="s">
        <v>224</v>
      </c>
      <c r="CP54" s="78" t="s">
        <v>224</v>
      </c>
      <c r="CQ54" s="78" t="s">
        <v>224</v>
      </c>
      <c r="CR54" s="12" t="str">
        <f>IF(COUNTIF(Incl!A:A,Raw!J54),1, "")</f>
        <v/>
      </c>
    </row>
    <row r="55" spans="1:96" ht="13.5" thickTop="1" thickBot="1" x14ac:dyDescent="0.3">
      <c r="A55" s="13">
        <v>52</v>
      </c>
      <c r="B55" s="14">
        <v>1</v>
      </c>
      <c r="C55" s="15">
        <v>711.00838899999997</v>
      </c>
      <c r="D55" s="14">
        <v>52</v>
      </c>
      <c r="E55" s="14">
        <v>1</v>
      </c>
      <c r="F55" s="14">
        <v>81</v>
      </c>
      <c r="G55" s="16">
        <v>48</v>
      </c>
      <c r="H55" s="14">
        <v>48</v>
      </c>
      <c r="I55" s="14">
        <v>48</v>
      </c>
      <c r="J55" s="14">
        <v>48</v>
      </c>
      <c r="K55" s="15" t="s">
        <v>69</v>
      </c>
      <c r="L55" s="15" t="s">
        <v>94</v>
      </c>
      <c r="M55" s="15" t="s">
        <v>89</v>
      </c>
      <c r="N55" s="17" t="s">
        <v>62</v>
      </c>
      <c r="O55" s="16">
        <v>10</v>
      </c>
      <c r="P55" s="17">
        <v>17</v>
      </c>
      <c r="Q55" s="17" t="s">
        <v>62</v>
      </c>
      <c r="R55" s="17" t="s">
        <v>62</v>
      </c>
      <c r="S55" s="17" t="s">
        <v>62</v>
      </c>
      <c r="T55" s="14">
        <v>27</v>
      </c>
      <c r="U55" s="16">
        <v>13</v>
      </c>
      <c r="V55" s="16">
        <v>12</v>
      </c>
      <c r="W55" s="16">
        <v>15</v>
      </c>
      <c r="X55" s="16" t="s">
        <v>62</v>
      </c>
      <c r="Y55" s="14">
        <v>49</v>
      </c>
      <c r="Z55" s="14">
        <v>45</v>
      </c>
      <c r="AA55" s="14">
        <v>56</v>
      </c>
      <c r="AB55" s="14">
        <v>0</v>
      </c>
      <c r="AC55" s="14">
        <v>0</v>
      </c>
      <c r="AD55" s="14">
        <v>4</v>
      </c>
      <c r="AE55" s="14">
        <v>7</v>
      </c>
      <c r="AF55" s="14">
        <v>10</v>
      </c>
      <c r="AG55" s="16" t="s">
        <v>62</v>
      </c>
      <c r="AH55" s="14">
        <v>15</v>
      </c>
      <c r="AI55" s="14">
        <v>26</v>
      </c>
      <c r="AJ55" s="14">
        <v>38</v>
      </c>
      <c r="AK55" s="14">
        <v>0</v>
      </c>
      <c r="AL55" s="14">
        <v>0</v>
      </c>
      <c r="AM55" s="17">
        <v>13</v>
      </c>
      <c r="AN55" s="17">
        <v>13</v>
      </c>
      <c r="AO55" s="17">
        <v>14</v>
      </c>
      <c r="AP55" s="17">
        <v>14</v>
      </c>
      <c r="AQ55" s="17">
        <v>12</v>
      </c>
      <c r="AR55" s="17">
        <v>13</v>
      </c>
      <c r="AS55" s="17">
        <v>13</v>
      </c>
      <c r="AT55" s="17">
        <v>14</v>
      </c>
      <c r="AU55" s="17">
        <v>15</v>
      </c>
      <c r="AV55" s="17">
        <v>16</v>
      </c>
      <c r="AW55" s="17">
        <v>5</v>
      </c>
      <c r="AX55" s="17">
        <v>3</v>
      </c>
      <c r="AY55" s="17">
        <v>1</v>
      </c>
      <c r="AZ55" s="17">
        <v>1</v>
      </c>
      <c r="BA55" s="17">
        <v>3</v>
      </c>
      <c r="BB55" s="17">
        <v>0</v>
      </c>
      <c r="BC55" s="17">
        <v>1</v>
      </c>
      <c r="BD55" s="17">
        <v>1</v>
      </c>
      <c r="BE55" s="17">
        <v>1</v>
      </c>
      <c r="BF55" s="17">
        <v>8</v>
      </c>
      <c r="BG55" s="17">
        <v>24</v>
      </c>
      <c r="BH55" s="17">
        <v>0.9</v>
      </c>
      <c r="BI55" s="17" t="s">
        <v>77</v>
      </c>
      <c r="BJ55" s="17">
        <v>4</v>
      </c>
      <c r="BK55" s="17">
        <v>10</v>
      </c>
      <c r="BL55" s="17">
        <v>10</v>
      </c>
      <c r="BM55" s="17">
        <v>7</v>
      </c>
      <c r="BN55" s="17">
        <v>7</v>
      </c>
      <c r="BO55" s="17">
        <v>7</v>
      </c>
      <c r="BP55" s="17">
        <v>6</v>
      </c>
      <c r="BQ55" s="17">
        <v>4</v>
      </c>
      <c r="BR55" s="17">
        <v>10</v>
      </c>
      <c r="BS55" s="17">
        <v>10</v>
      </c>
      <c r="BT55" s="17">
        <v>16</v>
      </c>
      <c r="BU55" s="17">
        <v>8</v>
      </c>
      <c r="BV55" s="17">
        <v>7</v>
      </c>
      <c r="BW55" s="17">
        <v>3</v>
      </c>
      <c r="BX55" s="17">
        <v>2</v>
      </c>
      <c r="BY55" s="17">
        <v>0</v>
      </c>
      <c r="BZ55" s="17">
        <v>0</v>
      </c>
      <c r="CA55" s="17">
        <v>0</v>
      </c>
      <c r="CB55" s="17">
        <v>0</v>
      </c>
      <c r="CC55" s="17">
        <v>0</v>
      </c>
      <c r="CD55" s="17">
        <v>36</v>
      </c>
      <c r="CE55" s="17">
        <v>1.4</v>
      </c>
      <c r="CF55" s="17" t="s">
        <v>68</v>
      </c>
      <c r="CG55" s="15" t="s">
        <v>74</v>
      </c>
      <c r="CH55" s="15">
        <v>2.2230000000000001E-3</v>
      </c>
      <c r="CI55" s="14">
        <v>0</v>
      </c>
      <c r="CJ55" s="79">
        <v>3</v>
      </c>
      <c r="CK55" s="79" t="s">
        <v>224</v>
      </c>
      <c r="CL55" s="79" t="s">
        <v>224</v>
      </c>
      <c r="CM55" s="79">
        <v>711.00849300000004</v>
      </c>
      <c r="CN55" s="79">
        <v>1</v>
      </c>
      <c r="CO55" s="79" t="s">
        <v>224</v>
      </c>
      <c r="CP55" s="79" t="s">
        <v>224</v>
      </c>
      <c r="CQ55" s="79" t="s">
        <v>224</v>
      </c>
      <c r="CR55" s="12" t="str">
        <f>IF(COUNTIF(Incl!A:A,Raw!J55),1, "")</f>
        <v/>
      </c>
    </row>
    <row r="56" spans="1:96" ht="13.5" thickTop="1" thickBot="1" x14ac:dyDescent="0.3">
      <c r="A56" s="18">
        <v>53</v>
      </c>
      <c r="B56" s="19">
        <v>1</v>
      </c>
      <c r="C56" s="20">
        <v>228.66928300000001</v>
      </c>
      <c r="D56" s="19">
        <v>53</v>
      </c>
      <c r="E56" s="19">
        <v>1</v>
      </c>
      <c r="F56" s="19">
        <v>82</v>
      </c>
      <c r="G56" s="21">
        <v>50</v>
      </c>
      <c r="H56" s="19">
        <v>50</v>
      </c>
      <c r="I56" s="19">
        <v>50</v>
      </c>
      <c r="J56" s="19">
        <v>50</v>
      </c>
      <c r="K56" s="20" t="s">
        <v>69</v>
      </c>
      <c r="L56" s="20" t="s">
        <v>93</v>
      </c>
      <c r="M56" s="20" t="s">
        <v>94</v>
      </c>
      <c r="N56" s="22" t="s">
        <v>62</v>
      </c>
      <c r="O56" s="21">
        <v>6</v>
      </c>
      <c r="P56" s="22" t="s">
        <v>62</v>
      </c>
      <c r="Q56" s="22" t="s">
        <v>62</v>
      </c>
      <c r="R56" s="22" t="s">
        <v>62</v>
      </c>
      <c r="S56" s="22" t="s">
        <v>62</v>
      </c>
      <c r="T56" s="19">
        <v>6</v>
      </c>
      <c r="U56" s="21" t="s">
        <v>62</v>
      </c>
      <c r="V56" s="21" t="s">
        <v>62</v>
      </c>
      <c r="W56" s="21" t="s">
        <v>62</v>
      </c>
      <c r="X56" s="21" t="s">
        <v>62</v>
      </c>
      <c r="Y56" s="19">
        <v>0</v>
      </c>
      <c r="Z56" s="19">
        <v>0</v>
      </c>
      <c r="AA56" s="19">
        <v>0</v>
      </c>
      <c r="AB56" s="19">
        <v>0</v>
      </c>
      <c r="AC56" s="19">
        <v>0</v>
      </c>
      <c r="AD56" s="19">
        <v>2</v>
      </c>
      <c r="AE56" s="19">
        <v>2</v>
      </c>
      <c r="AF56" s="19">
        <v>0</v>
      </c>
      <c r="AG56" s="21" t="s">
        <v>62</v>
      </c>
      <c r="AH56" s="19">
        <v>33</v>
      </c>
      <c r="AI56" s="19">
        <v>33</v>
      </c>
      <c r="AJ56" s="19">
        <v>0</v>
      </c>
      <c r="AK56" s="19">
        <v>0</v>
      </c>
      <c r="AL56" s="19">
        <v>0</v>
      </c>
      <c r="AM56" s="22">
        <v>0</v>
      </c>
      <c r="AN56" s="22">
        <v>0</v>
      </c>
      <c r="AO56" s="22">
        <v>0</v>
      </c>
      <c r="AP56" s="22">
        <v>0</v>
      </c>
      <c r="AQ56" s="22">
        <v>0</v>
      </c>
      <c r="AR56" s="22">
        <v>0</v>
      </c>
      <c r="AS56" s="22">
        <v>0</v>
      </c>
      <c r="AT56" s="22">
        <v>0</v>
      </c>
      <c r="AU56" s="22">
        <v>0</v>
      </c>
      <c r="AV56" s="22">
        <v>0</v>
      </c>
      <c r="AW56" s="22">
        <v>0</v>
      </c>
      <c r="AX56" s="22">
        <v>0</v>
      </c>
      <c r="AY56" s="22">
        <v>0</v>
      </c>
      <c r="AZ56" s="22">
        <v>0</v>
      </c>
      <c r="BA56" s="22">
        <v>0</v>
      </c>
      <c r="BB56" s="22">
        <v>0</v>
      </c>
      <c r="BC56" s="22">
        <v>0</v>
      </c>
      <c r="BD56" s="22">
        <v>0</v>
      </c>
      <c r="BE56" s="22">
        <v>0</v>
      </c>
      <c r="BF56" s="22">
        <v>0</v>
      </c>
      <c r="BG56" s="22">
        <v>0</v>
      </c>
      <c r="BH56" s="22">
        <v>0</v>
      </c>
      <c r="BI56" s="22" t="s">
        <v>77</v>
      </c>
      <c r="BJ56" s="22">
        <v>2</v>
      </c>
      <c r="BK56" s="22">
        <v>2</v>
      </c>
      <c r="BL56" s="22">
        <v>2</v>
      </c>
      <c r="BM56" s="22">
        <v>2</v>
      </c>
      <c r="BN56" s="22">
        <v>2</v>
      </c>
      <c r="BO56" s="22">
        <v>2</v>
      </c>
      <c r="BP56" s="22">
        <v>6</v>
      </c>
      <c r="BQ56" s="22">
        <v>0</v>
      </c>
      <c r="BR56" s="22">
        <v>0</v>
      </c>
      <c r="BS56" s="22">
        <v>0</v>
      </c>
      <c r="BT56" s="22">
        <v>4</v>
      </c>
      <c r="BU56" s="22">
        <v>0</v>
      </c>
      <c r="BV56" s="22">
        <v>0</v>
      </c>
      <c r="BW56" s="22">
        <v>0</v>
      </c>
      <c r="BX56" s="22">
        <v>0</v>
      </c>
      <c r="BY56" s="22">
        <v>0</v>
      </c>
      <c r="BZ56" s="22">
        <v>2</v>
      </c>
      <c r="CA56" s="22">
        <v>0</v>
      </c>
      <c r="CB56" s="22">
        <v>0</v>
      </c>
      <c r="CC56" s="22">
        <v>0</v>
      </c>
      <c r="CD56" s="22">
        <v>6</v>
      </c>
      <c r="CE56" s="22">
        <v>1</v>
      </c>
      <c r="CF56" s="22" t="s">
        <v>77</v>
      </c>
      <c r="CG56" s="20" t="s">
        <v>71</v>
      </c>
      <c r="CH56" s="20">
        <v>7.36E-4</v>
      </c>
      <c r="CI56" s="19">
        <v>0</v>
      </c>
      <c r="CJ56" s="78">
        <v>3</v>
      </c>
      <c r="CK56" s="78" t="s">
        <v>224</v>
      </c>
      <c r="CL56" s="78" t="s">
        <v>224</v>
      </c>
      <c r="CM56" s="78">
        <v>228.66944000000001</v>
      </c>
      <c r="CN56" s="78">
        <v>1</v>
      </c>
      <c r="CO56" s="78" t="s">
        <v>224</v>
      </c>
      <c r="CP56" s="78" t="s">
        <v>224</v>
      </c>
      <c r="CQ56" s="78" t="s">
        <v>224</v>
      </c>
      <c r="CR56" s="12" t="str">
        <f>IF(COUNTIF(Incl!A:A,Raw!J56),1, "")</f>
        <v/>
      </c>
    </row>
    <row r="57" spans="1:96" ht="13.5" thickTop="1" thickBot="1" x14ac:dyDescent="0.3">
      <c r="A57" s="13">
        <v>54</v>
      </c>
      <c r="B57" s="14">
        <v>1</v>
      </c>
      <c r="C57" s="15">
        <v>423.46260000000001</v>
      </c>
      <c r="D57" s="14">
        <v>54</v>
      </c>
      <c r="E57" s="14">
        <v>1</v>
      </c>
      <c r="F57" s="14">
        <v>83</v>
      </c>
      <c r="G57" s="16">
        <v>177</v>
      </c>
      <c r="H57" s="14">
        <v>177</v>
      </c>
      <c r="I57" s="14">
        <v>177</v>
      </c>
      <c r="J57" s="14">
        <v>177</v>
      </c>
      <c r="K57" s="15" t="s">
        <v>93</v>
      </c>
      <c r="L57" s="15" t="s">
        <v>95</v>
      </c>
      <c r="M57" s="15" t="s">
        <v>69</v>
      </c>
      <c r="N57" s="17" t="s">
        <v>62</v>
      </c>
      <c r="O57" s="16">
        <v>18</v>
      </c>
      <c r="P57" s="17" t="s">
        <v>62</v>
      </c>
      <c r="Q57" s="17" t="s">
        <v>62</v>
      </c>
      <c r="R57" s="17" t="s">
        <v>62</v>
      </c>
      <c r="S57" s="17" t="s">
        <v>62</v>
      </c>
      <c r="T57" s="14">
        <v>18</v>
      </c>
      <c r="U57" s="16">
        <v>2</v>
      </c>
      <c r="V57" s="16">
        <v>5</v>
      </c>
      <c r="W57" s="16">
        <v>3</v>
      </c>
      <c r="X57" s="16">
        <v>3</v>
      </c>
      <c r="Y57" s="14">
        <v>11</v>
      </c>
      <c r="Z57" s="14">
        <v>29</v>
      </c>
      <c r="AA57" s="14">
        <v>17</v>
      </c>
      <c r="AB57" s="14">
        <v>17</v>
      </c>
      <c r="AC57" s="14">
        <v>0</v>
      </c>
      <c r="AD57" s="14">
        <v>2</v>
      </c>
      <c r="AE57" s="14">
        <v>2</v>
      </c>
      <c r="AF57" s="14">
        <v>3</v>
      </c>
      <c r="AG57" s="16">
        <v>6</v>
      </c>
      <c r="AH57" s="14">
        <v>11</v>
      </c>
      <c r="AI57" s="14">
        <v>11</v>
      </c>
      <c r="AJ57" s="14">
        <v>17</v>
      </c>
      <c r="AK57" s="14">
        <v>34</v>
      </c>
      <c r="AL57" s="14">
        <v>0</v>
      </c>
      <c r="AM57" s="17" t="s">
        <v>62</v>
      </c>
      <c r="AN57" s="17" t="s">
        <v>62</v>
      </c>
      <c r="AO57" s="17" t="s">
        <v>62</v>
      </c>
      <c r="AP57" s="17" t="s">
        <v>62</v>
      </c>
      <c r="AQ57" s="17" t="s">
        <v>62</v>
      </c>
      <c r="AR57" s="17" t="s">
        <v>62</v>
      </c>
      <c r="AS57" s="17" t="s">
        <v>62</v>
      </c>
      <c r="AT57" s="17" t="s">
        <v>62</v>
      </c>
      <c r="AU57" s="17" t="s">
        <v>62</v>
      </c>
      <c r="AV57" s="17" t="s">
        <v>62</v>
      </c>
      <c r="AW57" s="17" t="s">
        <v>62</v>
      </c>
      <c r="AX57" s="17" t="s">
        <v>62</v>
      </c>
      <c r="AY57" s="17" t="s">
        <v>62</v>
      </c>
      <c r="AZ57" s="17" t="s">
        <v>62</v>
      </c>
      <c r="BA57" s="17" t="s">
        <v>62</v>
      </c>
      <c r="BB57" s="17" t="s">
        <v>62</v>
      </c>
      <c r="BC57" s="17" t="s">
        <v>62</v>
      </c>
      <c r="BD57" s="17" t="s">
        <v>62</v>
      </c>
      <c r="BE57" s="17" t="s">
        <v>62</v>
      </c>
      <c r="BF57" s="17" t="s">
        <v>62</v>
      </c>
      <c r="BG57" s="17" t="s">
        <v>62</v>
      </c>
      <c r="BH57" s="17" t="s">
        <v>62</v>
      </c>
      <c r="BI57" s="17" t="s">
        <v>62</v>
      </c>
      <c r="BJ57" s="17" t="s">
        <v>62</v>
      </c>
      <c r="BK57" s="17" t="s">
        <v>62</v>
      </c>
      <c r="BL57" s="17" t="s">
        <v>62</v>
      </c>
      <c r="BM57" s="17" t="s">
        <v>62</v>
      </c>
      <c r="BN57" s="17" t="s">
        <v>62</v>
      </c>
      <c r="BO57" s="17" t="s">
        <v>62</v>
      </c>
      <c r="BP57" s="17" t="s">
        <v>62</v>
      </c>
      <c r="BQ57" s="17" t="s">
        <v>62</v>
      </c>
      <c r="BR57" s="17" t="s">
        <v>62</v>
      </c>
      <c r="BS57" s="17" t="s">
        <v>62</v>
      </c>
      <c r="BT57" s="17" t="s">
        <v>62</v>
      </c>
      <c r="BU57" s="17" t="s">
        <v>62</v>
      </c>
      <c r="BV57" s="17" t="s">
        <v>62</v>
      </c>
      <c r="BW57" s="17" t="s">
        <v>62</v>
      </c>
      <c r="BX57" s="17" t="s">
        <v>62</v>
      </c>
      <c r="BY57" s="17" t="s">
        <v>62</v>
      </c>
      <c r="BZ57" s="17" t="s">
        <v>62</v>
      </c>
      <c r="CA57" s="17" t="s">
        <v>62</v>
      </c>
      <c r="CB57" s="17" t="s">
        <v>62</v>
      </c>
      <c r="CC57" s="17" t="s">
        <v>62</v>
      </c>
      <c r="CD57" s="17" t="s">
        <v>62</v>
      </c>
      <c r="CE57" s="17" t="s">
        <v>62</v>
      </c>
      <c r="CF57" s="17" t="s">
        <v>62</v>
      </c>
      <c r="CG57" s="15" t="s">
        <v>66</v>
      </c>
      <c r="CH57" s="15">
        <v>1.364E-3</v>
      </c>
      <c r="CI57" s="14">
        <v>0</v>
      </c>
      <c r="CJ57" s="79">
        <v>3</v>
      </c>
      <c r="CK57" s="79" t="s">
        <v>224</v>
      </c>
      <c r="CL57" s="79" t="s">
        <v>224</v>
      </c>
      <c r="CM57" s="79">
        <v>423.46249999999998</v>
      </c>
      <c r="CN57" s="79">
        <v>2</v>
      </c>
      <c r="CO57" s="79" t="s">
        <v>224</v>
      </c>
      <c r="CP57" s="79" t="s">
        <v>224</v>
      </c>
      <c r="CQ57" s="79" t="s">
        <v>224</v>
      </c>
      <c r="CR57" s="12" t="str">
        <f>IF(COUNTIF(Incl!A:A,Raw!J57),1, "")</f>
        <v/>
      </c>
    </row>
    <row r="58" spans="1:96" ht="13.5" thickTop="1" thickBot="1" x14ac:dyDescent="0.3">
      <c r="A58" s="18">
        <v>55</v>
      </c>
      <c r="B58" s="19">
        <v>1</v>
      </c>
      <c r="C58" s="20">
        <v>413.64042899999998</v>
      </c>
      <c r="D58" s="19">
        <v>55</v>
      </c>
      <c r="E58" s="19">
        <v>1</v>
      </c>
      <c r="F58" s="19">
        <v>84</v>
      </c>
      <c r="G58" s="21">
        <v>176</v>
      </c>
      <c r="H58" s="19">
        <v>176</v>
      </c>
      <c r="I58" s="19">
        <v>176</v>
      </c>
      <c r="J58" s="19">
        <v>176</v>
      </c>
      <c r="K58" s="20" t="s">
        <v>93</v>
      </c>
      <c r="L58" s="20" t="s">
        <v>69</v>
      </c>
      <c r="M58" s="20" t="s">
        <v>95</v>
      </c>
      <c r="N58" s="22" t="s">
        <v>62</v>
      </c>
      <c r="O58" s="21">
        <v>15</v>
      </c>
      <c r="P58" s="22" t="s">
        <v>62</v>
      </c>
      <c r="Q58" s="22" t="s">
        <v>62</v>
      </c>
      <c r="R58" s="22" t="s">
        <v>62</v>
      </c>
      <c r="S58" s="22" t="s">
        <v>62</v>
      </c>
      <c r="T58" s="19">
        <v>15</v>
      </c>
      <c r="U58" s="21">
        <v>7</v>
      </c>
      <c r="V58" s="21">
        <v>7</v>
      </c>
      <c r="W58" s="21">
        <v>7</v>
      </c>
      <c r="X58" s="21">
        <v>7</v>
      </c>
      <c r="Y58" s="19">
        <v>45</v>
      </c>
      <c r="Z58" s="19">
        <v>45</v>
      </c>
      <c r="AA58" s="19">
        <v>45</v>
      </c>
      <c r="AB58" s="19">
        <v>45</v>
      </c>
      <c r="AC58" s="19">
        <v>0</v>
      </c>
      <c r="AD58" s="19">
        <v>3</v>
      </c>
      <c r="AE58" s="19">
        <v>5</v>
      </c>
      <c r="AF58" s="19">
        <v>4</v>
      </c>
      <c r="AG58" s="21">
        <v>3</v>
      </c>
      <c r="AH58" s="19">
        <v>19</v>
      </c>
      <c r="AI58" s="19">
        <v>32</v>
      </c>
      <c r="AJ58" s="19">
        <v>26</v>
      </c>
      <c r="AK58" s="19">
        <v>19</v>
      </c>
      <c r="AL58" s="19">
        <v>0</v>
      </c>
      <c r="AM58" s="22" t="s">
        <v>62</v>
      </c>
      <c r="AN58" s="22" t="s">
        <v>62</v>
      </c>
      <c r="AO58" s="22" t="s">
        <v>62</v>
      </c>
      <c r="AP58" s="22" t="s">
        <v>62</v>
      </c>
      <c r="AQ58" s="22" t="s">
        <v>62</v>
      </c>
      <c r="AR58" s="22" t="s">
        <v>62</v>
      </c>
      <c r="AS58" s="22" t="s">
        <v>62</v>
      </c>
      <c r="AT58" s="22" t="s">
        <v>62</v>
      </c>
      <c r="AU58" s="22" t="s">
        <v>62</v>
      </c>
      <c r="AV58" s="22" t="s">
        <v>62</v>
      </c>
      <c r="AW58" s="22" t="s">
        <v>62</v>
      </c>
      <c r="AX58" s="22" t="s">
        <v>62</v>
      </c>
      <c r="AY58" s="22" t="s">
        <v>62</v>
      </c>
      <c r="AZ58" s="22" t="s">
        <v>62</v>
      </c>
      <c r="BA58" s="22" t="s">
        <v>62</v>
      </c>
      <c r="BB58" s="22" t="s">
        <v>62</v>
      </c>
      <c r="BC58" s="22" t="s">
        <v>62</v>
      </c>
      <c r="BD58" s="22" t="s">
        <v>62</v>
      </c>
      <c r="BE58" s="22" t="s">
        <v>62</v>
      </c>
      <c r="BF58" s="22" t="s">
        <v>62</v>
      </c>
      <c r="BG58" s="22" t="s">
        <v>62</v>
      </c>
      <c r="BH58" s="22" t="s">
        <v>62</v>
      </c>
      <c r="BI58" s="22" t="s">
        <v>62</v>
      </c>
      <c r="BJ58" s="22" t="s">
        <v>62</v>
      </c>
      <c r="BK58" s="22" t="s">
        <v>62</v>
      </c>
      <c r="BL58" s="22" t="s">
        <v>62</v>
      </c>
      <c r="BM58" s="22" t="s">
        <v>62</v>
      </c>
      <c r="BN58" s="22" t="s">
        <v>62</v>
      </c>
      <c r="BO58" s="22" t="s">
        <v>62</v>
      </c>
      <c r="BP58" s="22" t="s">
        <v>62</v>
      </c>
      <c r="BQ58" s="22" t="s">
        <v>62</v>
      </c>
      <c r="BR58" s="22" t="s">
        <v>62</v>
      </c>
      <c r="BS58" s="22" t="s">
        <v>62</v>
      </c>
      <c r="BT58" s="22" t="s">
        <v>62</v>
      </c>
      <c r="BU58" s="22" t="s">
        <v>62</v>
      </c>
      <c r="BV58" s="22" t="s">
        <v>62</v>
      </c>
      <c r="BW58" s="22" t="s">
        <v>62</v>
      </c>
      <c r="BX58" s="22" t="s">
        <v>62</v>
      </c>
      <c r="BY58" s="22" t="s">
        <v>62</v>
      </c>
      <c r="BZ58" s="22" t="s">
        <v>62</v>
      </c>
      <c r="CA58" s="22" t="s">
        <v>62</v>
      </c>
      <c r="CB58" s="22" t="s">
        <v>62</v>
      </c>
      <c r="CC58" s="22" t="s">
        <v>62</v>
      </c>
      <c r="CD58" s="22" t="s">
        <v>62</v>
      </c>
      <c r="CE58" s="22" t="s">
        <v>62</v>
      </c>
      <c r="CF58" s="22" t="s">
        <v>62</v>
      </c>
      <c r="CG58" s="20" t="s">
        <v>64</v>
      </c>
      <c r="CH58" s="20">
        <v>1.335E-3</v>
      </c>
      <c r="CI58" s="19">
        <v>0</v>
      </c>
      <c r="CJ58" s="78">
        <v>3</v>
      </c>
      <c r="CK58" s="78" t="s">
        <v>224</v>
      </c>
      <c r="CL58" s="78" t="s">
        <v>224</v>
      </c>
      <c r="CM58" s="78">
        <v>413.64052800000002</v>
      </c>
      <c r="CN58" s="78">
        <v>2</v>
      </c>
      <c r="CO58" s="78" t="s">
        <v>224</v>
      </c>
      <c r="CP58" s="78" t="s">
        <v>224</v>
      </c>
      <c r="CQ58" s="78" t="s">
        <v>224</v>
      </c>
      <c r="CR58" s="12" t="str">
        <f>IF(COUNTIF(Incl!A:A,Raw!J58),1, "")</f>
        <v/>
      </c>
    </row>
    <row r="59" spans="1:96" ht="13.5" thickTop="1" thickBot="1" x14ac:dyDescent="0.3">
      <c r="A59" s="13">
        <v>56</v>
      </c>
      <c r="B59" s="14">
        <v>1</v>
      </c>
      <c r="C59" s="15">
        <v>508.49769300000003</v>
      </c>
      <c r="D59" s="14">
        <v>56</v>
      </c>
      <c r="E59" s="14">
        <v>1</v>
      </c>
      <c r="F59" s="14">
        <v>85</v>
      </c>
      <c r="G59" s="16">
        <v>22</v>
      </c>
      <c r="H59" s="14">
        <v>22</v>
      </c>
      <c r="I59" s="14">
        <v>22</v>
      </c>
      <c r="J59" s="14">
        <v>22</v>
      </c>
      <c r="K59" s="15" t="s">
        <v>95</v>
      </c>
      <c r="L59" s="15" t="s">
        <v>93</v>
      </c>
      <c r="M59" s="15" t="s">
        <v>96</v>
      </c>
      <c r="N59" s="17" t="s">
        <v>62</v>
      </c>
      <c r="O59" s="16" t="s">
        <v>62</v>
      </c>
      <c r="P59" s="17">
        <v>18</v>
      </c>
      <c r="Q59" s="17" t="s">
        <v>62</v>
      </c>
      <c r="R59" s="17" t="s">
        <v>62</v>
      </c>
      <c r="S59" s="17" t="s">
        <v>62</v>
      </c>
      <c r="T59" s="14">
        <v>18</v>
      </c>
      <c r="U59" s="16">
        <v>14</v>
      </c>
      <c r="V59" s="16">
        <v>12</v>
      </c>
      <c r="W59" s="16">
        <v>12</v>
      </c>
      <c r="X59" s="16">
        <v>15</v>
      </c>
      <c r="Y59" s="14">
        <v>78</v>
      </c>
      <c r="Z59" s="14">
        <v>67</v>
      </c>
      <c r="AA59" s="14">
        <v>67</v>
      </c>
      <c r="AB59" s="14">
        <v>83</v>
      </c>
      <c r="AC59" s="14">
        <v>2</v>
      </c>
      <c r="AD59" s="14">
        <v>9</v>
      </c>
      <c r="AE59" s="14">
        <v>10</v>
      </c>
      <c r="AF59" s="14">
        <v>15</v>
      </c>
      <c r="AG59" s="16">
        <v>14</v>
      </c>
      <c r="AH59" s="14">
        <v>50</v>
      </c>
      <c r="AI59" s="14">
        <v>56</v>
      </c>
      <c r="AJ59" s="14">
        <v>83</v>
      </c>
      <c r="AK59" s="14">
        <v>78</v>
      </c>
      <c r="AL59" s="14">
        <v>2</v>
      </c>
      <c r="AM59" s="17" t="s">
        <v>62</v>
      </c>
      <c r="AN59" s="17" t="s">
        <v>62</v>
      </c>
      <c r="AO59" s="17" t="s">
        <v>62</v>
      </c>
      <c r="AP59" s="17" t="s">
        <v>62</v>
      </c>
      <c r="AQ59" s="17" t="s">
        <v>62</v>
      </c>
      <c r="AR59" s="17" t="s">
        <v>62</v>
      </c>
      <c r="AS59" s="17" t="s">
        <v>62</v>
      </c>
      <c r="AT59" s="17" t="s">
        <v>62</v>
      </c>
      <c r="AU59" s="17" t="s">
        <v>62</v>
      </c>
      <c r="AV59" s="17" t="s">
        <v>62</v>
      </c>
      <c r="AW59" s="17" t="s">
        <v>62</v>
      </c>
      <c r="AX59" s="17" t="s">
        <v>62</v>
      </c>
      <c r="AY59" s="17" t="s">
        <v>62</v>
      </c>
      <c r="AZ59" s="17" t="s">
        <v>62</v>
      </c>
      <c r="BA59" s="17" t="s">
        <v>62</v>
      </c>
      <c r="BB59" s="17" t="s">
        <v>62</v>
      </c>
      <c r="BC59" s="17" t="s">
        <v>62</v>
      </c>
      <c r="BD59" s="17" t="s">
        <v>62</v>
      </c>
      <c r="BE59" s="17" t="s">
        <v>62</v>
      </c>
      <c r="BF59" s="17" t="s">
        <v>62</v>
      </c>
      <c r="BG59" s="17" t="s">
        <v>62</v>
      </c>
      <c r="BH59" s="17" t="s">
        <v>62</v>
      </c>
      <c r="BI59" s="17" t="s">
        <v>62</v>
      </c>
      <c r="BJ59" s="17" t="s">
        <v>62</v>
      </c>
      <c r="BK59" s="17" t="s">
        <v>62</v>
      </c>
      <c r="BL59" s="17" t="s">
        <v>62</v>
      </c>
      <c r="BM59" s="17" t="s">
        <v>62</v>
      </c>
      <c r="BN59" s="17" t="s">
        <v>62</v>
      </c>
      <c r="BO59" s="17" t="s">
        <v>62</v>
      </c>
      <c r="BP59" s="17" t="s">
        <v>62</v>
      </c>
      <c r="BQ59" s="17" t="s">
        <v>62</v>
      </c>
      <c r="BR59" s="17" t="s">
        <v>62</v>
      </c>
      <c r="BS59" s="17" t="s">
        <v>62</v>
      </c>
      <c r="BT59" s="17" t="s">
        <v>62</v>
      </c>
      <c r="BU59" s="17" t="s">
        <v>62</v>
      </c>
      <c r="BV59" s="17" t="s">
        <v>62</v>
      </c>
      <c r="BW59" s="17" t="s">
        <v>62</v>
      </c>
      <c r="BX59" s="17" t="s">
        <v>62</v>
      </c>
      <c r="BY59" s="17" t="s">
        <v>62</v>
      </c>
      <c r="BZ59" s="17" t="s">
        <v>62</v>
      </c>
      <c r="CA59" s="17" t="s">
        <v>62</v>
      </c>
      <c r="CB59" s="17" t="s">
        <v>62</v>
      </c>
      <c r="CC59" s="17" t="s">
        <v>62</v>
      </c>
      <c r="CD59" s="17" t="s">
        <v>62</v>
      </c>
      <c r="CE59" s="17" t="s">
        <v>62</v>
      </c>
      <c r="CF59" s="17" t="s">
        <v>62</v>
      </c>
      <c r="CG59" s="15" t="s">
        <v>71</v>
      </c>
      <c r="CH59" s="15">
        <v>1.593E-3</v>
      </c>
      <c r="CI59" s="14">
        <v>4</v>
      </c>
      <c r="CJ59" s="79">
        <v>3</v>
      </c>
      <c r="CK59" s="79" t="s">
        <v>224</v>
      </c>
      <c r="CL59" s="79" t="s">
        <v>224</v>
      </c>
      <c r="CM59" s="79">
        <v>508.49759699999998</v>
      </c>
      <c r="CN59" s="79">
        <v>2</v>
      </c>
      <c r="CO59" s="79" t="s">
        <v>224</v>
      </c>
      <c r="CP59" s="79" t="s">
        <v>224</v>
      </c>
      <c r="CQ59" s="79" t="s">
        <v>224</v>
      </c>
      <c r="CR59" s="12" t="str">
        <f>IF(COUNTIF(Incl!A:A,Raw!J59),1, "")</f>
        <v/>
      </c>
    </row>
    <row r="60" spans="1:96" ht="13.5" thickTop="1" thickBot="1" x14ac:dyDescent="0.3">
      <c r="A60" s="18">
        <v>57</v>
      </c>
      <c r="B60" s="19">
        <v>1</v>
      </c>
      <c r="C60" s="20">
        <v>204.828926</v>
      </c>
      <c r="D60" s="19">
        <v>57</v>
      </c>
      <c r="E60" s="19">
        <v>1</v>
      </c>
      <c r="F60" s="19">
        <v>86</v>
      </c>
      <c r="G60" s="21">
        <v>23</v>
      </c>
      <c r="H60" s="19">
        <v>23</v>
      </c>
      <c r="I60" s="19">
        <v>23</v>
      </c>
      <c r="J60" s="19">
        <v>23</v>
      </c>
      <c r="K60" s="20" t="s">
        <v>95</v>
      </c>
      <c r="L60" s="20" t="s">
        <v>94</v>
      </c>
      <c r="M60" s="20" t="s">
        <v>93</v>
      </c>
      <c r="N60" s="22" t="s">
        <v>62</v>
      </c>
      <c r="O60" s="21" t="s">
        <v>62</v>
      </c>
      <c r="P60" s="22">
        <v>10</v>
      </c>
      <c r="Q60" s="22" t="s">
        <v>62</v>
      </c>
      <c r="R60" s="22" t="s">
        <v>62</v>
      </c>
      <c r="S60" s="22" t="s">
        <v>62</v>
      </c>
      <c r="T60" s="19">
        <v>10</v>
      </c>
      <c r="U60" s="21">
        <v>9</v>
      </c>
      <c r="V60" s="21">
        <v>5</v>
      </c>
      <c r="W60" s="21">
        <v>10</v>
      </c>
      <c r="X60" s="21">
        <v>10</v>
      </c>
      <c r="Y60" s="19">
        <v>87</v>
      </c>
      <c r="Z60" s="19">
        <v>48</v>
      </c>
      <c r="AA60" s="19">
        <v>96</v>
      </c>
      <c r="AB60" s="19">
        <v>96</v>
      </c>
      <c r="AC60" s="19">
        <v>3</v>
      </c>
      <c r="AD60" s="19">
        <v>7</v>
      </c>
      <c r="AE60" s="19">
        <v>3</v>
      </c>
      <c r="AF60" s="19">
        <v>7</v>
      </c>
      <c r="AG60" s="21">
        <v>7</v>
      </c>
      <c r="AH60" s="19">
        <v>67</v>
      </c>
      <c r="AI60" s="19">
        <v>29</v>
      </c>
      <c r="AJ60" s="19">
        <v>67</v>
      </c>
      <c r="AK60" s="19">
        <v>67</v>
      </c>
      <c r="AL60" s="19">
        <v>0</v>
      </c>
      <c r="AM60" s="22" t="s">
        <v>62</v>
      </c>
      <c r="AN60" s="22" t="s">
        <v>62</v>
      </c>
      <c r="AO60" s="22" t="s">
        <v>62</v>
      </c>
      <c r="AP60" s="22" t="s">
        <v>62</v>
      </c>
      <c r="AQ60" s="22" t="s">
        <v>62</v>
      </c>
      <c r="AR60" s="22" t="s">
        <v>62</v>
      </c>
      <c r="AS60" s="22" t="s">
        <v>62</v>
      </c>
      <c r="AT60" s="22" t="s">
        <v>62</v>
      </c>
      <c r="AU60" s="22" t="s">
        <v>62</v>
      </c>
      <c r="AV60" s="22" t="s">
        <v>62</v>
      </c>
      <c r="AW60" s="22" t="s">
        <v>62</v>
      </c>
      <c r="AX60" s="22" t="s">
        <v>62</v>
      </c>
      <c r="AY60" s="22" t="s">
        <v>62</v>
      </c>
      <c r="AZ60" s="22" t="s">
        <v>62</v>
      </c>
      <c r="BA60" s="22" t="s">
        <v>62</v>
      </c>
      <c r="BB60" s="22" t="s">
        <v>62</v>
      </c>
      <c r="BC60" s="22" t="s">
        <v>62</v>
      </c>
      <c r="BD60" s="22" t="s">
        <v>62</v>
      </c>
      <c r="BE60" s="22" t="s">
        <v>62</v>
      </c>
      <c r="BF60" s="22" t="s">
        <v>62</v>
      </c>
      <c r="BG60" s="22" t="s">
        <v>62</v>
      </c>
      <c r="BH60" s="22" t="s">
        <v>62</v>
      </c>
      <c r="BI60" s="22" t="s">
        <v>62</v>
      </c>
      <c r="BJ60" s="22" t="s">
        <v>62</v>
      </c>
      <c r="BK60" s="22" t="s">
        <v>62</v>
      </c>
      <c r="BL60" s="22" t="s">
        <v>62</v>
      </c>
      <c r="BM60" s="22" t="s">
        <v>62</v>
      </c>
      <c r="BN60" s="22" t="s">
        <v>62</v>
      </c>
      <c r="BO60" s="22" t="s">
        <v>62</v>
      </c>
      <c r="BP60" s="22" t="s">
        <v>62</v>
      </c>
      <c r="BQ60" s="22" t="s">
        <v>62</v>
      </c>
      <c r="BR60" s="22" t="s">
        <v>62</v>
      </c>
      <c r="BS60" s="22" t="s">
        <v>62</v>
      </c>
      <c r="BT60" s="22" t="s">
        <v>62</v>
      </c>
      <c r="BU60" s="22" t="s">
        <v>62</v>
      </c>
      <c r="BV60" s="22" t="s">
        <v>62</v>
      </c>
      <c r="BW60" s="22" t="s">
        <v>62</v>
      </c>
      <c r="BX60" s="22" t="s">
        <v>62</v>
      </c>
      <c r="BY60" s="22" t="s">
        <v>62</v>
      </c>
      <c r="BZ60" s="22" t="s">
        <v>62</v>
      </c>
      <c r="CA60" s="22" t="s">
        <v>62</v>
      </c>
      <c r="CB60" s="22" t="s">
        <v>62</v>
      </c>
      <c r="CC60" s="22" t="s">
        <v>62</v>
      </c>
      <c r="CD60" s="22" t="s">
        <v>62</v>
      </c>
      <c r="CE60" s="22" t="s">
        <v>62</v>
      </c>
      <c r="CF60" s="22" t="s">
        <v>62</v>
      </c>
      <c r="CG60" s="20" t="s">
        <v>74</v>
      </c>
      <c r="CH60" s="20">
        <v>6.4300000000000002E-4</v>
      </c>
      <c r="CI60" s="19">
        <v>3</v>
      </c>
      <c r="CJ60" s="78">
        <v>3</v>
      </c>
      <c r="CK60" s="78" t="s">
        <v>224</v>
      </c>
      <c r="CL60" s="78" t="s">
        <v>224</v>
      </c>
      <c r="CM60" s="78">
        <v>204.829004</v>
      </c>
      <c r="CN60" s="78">
        <v>2</v>
      </c>
      <c r="CO60" s="78" t="s">
        <v>224</v>
      </c>
      <c r="CP60" s="78" t="s">
        <v>224</v>
      </c>
      <c r="CQ60" s="78" t="s">
        <v>224</v>
      </c>
      <c r="CR60" s="12" t="str">
        <f>IF(COUNTIF(Incl!A:A,Raw!J60),1, "")</f>
        <v/>
      </c>
    </row>
    <row r="61" spans="1:96" ht="13.5" thickTop="1" thickBot="1" x14ac:dyDescent="0.3">
      <c r="A61" s="13">
        <v>58</v>
      </c>
      <c r="B61" s="14">
        <v>1</v>
      </c>
      <c r="C61" s="15">
        <v>426.82463000000001</v>
      </c>
      <c r="D61" s="14">
        <v>58</v>
      </c>
      <c r="E61" s="14">
        <v>1</v>
      </c>
      <c r="F61" s="14">
        <v>87</v>
      </c>
      <c r="G61" s="16">
        <v>178</v>
      </c>
      <c r="H61" s="14">
        <v>178</v>
      </c>
      <c r="I61" s="14">
        <v>178</v>
      </c>
      <c r="J61" s="14">
        <v>178</v>
      </c>
      <c r="K61" s="15" t="s">
        <v>94</v>
      </c>
      <c r="L61" s="15" t="s">
        <v>69</v>
      </c>
      <c r="M61" s="15" t="s">
        <v>95</v>
      </c>
      <c r="N61" s="17" t="s">
        <v>62</v>
      </c>
      <c r="O61" s="16" t="s">
        <v>62</v>
      </c>
      <c r="P61" s="17" t="s">
        <v>62</v>
      </c>
      <c r="Q61" s="17" t="s">
        <v>62</v>
      </c>
      <c r="R61" s="17" t="s">
        <v>62</v>
      </c>
      <c r="S61" s="17" t="s">
        <v>62</v>
      </c>
      <c r="T61" s="14">
        <v>0</v>
      </c>
      <c r="U61" s="16" t="s">
        <v>62</v>
      </c>
      <c r="V61" s="16" t="s">
        <v>62</v>
      </c>
      <c r="W61" s="16" t="s">
        <v>62</v>
      </c>
      <c r="X61" s="16" t="s">
        <v>62</v>
      </c>
      <c r="Y61" s="14">
        <v>0</v>
      </c>
      <c r="Z61" s="14">
        <v>0</v>
      </c>
      <c r="AA61" s="14">
        <v>0</v>
      </c>
      <c r="AB61" s="14">
        <v>0</v>
      </c>
      <c r="AC61" s="14">
        <v>0</v>
      </c>
      <c r="AD61" s="14">
        <v>0</v>
      </c>
      <c r="AE61" s="14">
        <v>0</v>
      </c>
      <c r="AF61" s="14">
        <v>0</v>
      </c>
      <c r="AG61" s="16" t="s">
        <v>62</v>
      </c>
      <c r="AH61" s="14">
        <v>0</v>
      </c>
      <c r="AI61" s="14">
        <v>0</v>
      </c>
      <c r="AJ61" s="14">
        <v>0</v>
      </c>
      <c r="AK61" s="14">
        <v>0</v>
      </c>
      <c r="AL61" s="14">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t="s">
        <v>77</v>
      </c>
      <c r="BJ61" s="17">
        <v>0</v>
      </c>
      <c r="BK61" s="17">
        <v>0</v>
      </c>
      <c r="BL61" s="17">
        <v>0</v>
      </c>
      <c r="BM61" s="17">
        <v>0</v>
      </c>
      <c r="BN61" s="17">
        <v>0</v>
      </c>
      <c r="BO61" s="17">
        <v>0</v>
      </c>
      <c r="BP61" s="17">
        <v>0</v>
      </c>
      <c r="BQ61" s="17">
        <v>0</v>
      </c>
      <c r="BR61" s="17">
        <v>0</v>
      </c>
      <c r="BS61" s="17">
        <v>0</v>
      </c>
      <c r="BT61" s="17">
        <v>0</v>
      </c>
      <c r="BU61" s="17">
        <v>0</v>
      </c>
      <c r="BV61" s="17">
        <v>0</v>
      </c>
      <c r="BW61" s="17">
        <v>0</v>
      </c>
      <c r="BX61" s="17">
        <v>0</v>
      </c>
      <c r="BY61" s="17">
        <v>0</v>
      </c>
      <c r="BZ61" s="17">
        <v>0</v>
      </c>
      <c r="CA61" s="17">
        <v>0</v>
      </c>
      <c r="CB61" s="17">
        <v>1</v>
      </c>
      <c r="CC61" s="17">
        <v>0</v>
      </c>
      <c r="CD61" s="17">
        <v>1</v>
      </c>
      <c r="CE61" s="17">
        <v>0</v>
      </c>
      <c r="CF61" s="17" t="s">
        <v>77</v>
      </c>
      <c r="CG61" s="15" t="s">
        <v>64</v>
      </c>
      <c r="CH61" s="15">
        <v>1.3730000000000001E-3</v>
      </c>
      <c r="CI61" s="14">
        <v>0</v>
      </c>
      <c r="CJ61" s="79">
        <v>3</v>
      </c>
      <c r="CK61" s="79" t="s">
        <v>224</v>
      </c>
      <c r="CL61" s="79" t="s">
        <v>224</v>
      </c>
      <c r="CM61" s="79">
        <v>426.82483500000001</v>
      </c>
      <c r="CN61" s="79">
        <v>1</v>
      </c>
      <c r="CO61" s="79" t="s">
        <v>224</v>
      </c>
      <c r="CP61" s="79" t="s">
        <v>224</v>
      </c>
      <c r="CQ61" s="79" t="s">
        <v>224</v>
      </c>
      <c r="CR61" s="12" t="str">
        <f>IF(COUNTIF(Incl!A:A,Raw!J61),1, "")</f>
        <v/>
      </c>
    </row>
    <row r="62" spans="1:96" ht="13.5" thickTop="1" thickBot="1" x14ac:dyDescent="0.3">
      <c r="A62" s="18">
        <v>59</v>
      </c>
      <c r="B62" s="19">
        <v>1</v>
      </c>
      <c r="C62" s="20">
        <v>470.85810099999998</v>
      </c>
      <c r="D62" s="19">
        <v>59</v>
      </c>
      <c r="E62" s="19">
        <v>1</v>
      </c>
      <c r="F62" s="19">
        <v>88</v>
      </c>
      <c r="G62" s="21">
        <v>179</v>
      </c>
      <c r="H62" s="19">
        <v>179</v>
      </c>
      <c r="I62" s="19">
        <v>179</v>
      </c>
      <c r="J62" s="19">
        <v>179</v>
      </c>
      <c r="K62" s="20" t="s">
        <v>94</v>
      </c>
      <c r="L62" s="20" t="s">
        <v>95</v>
      </c>
      <c r="M62" s="20" t="s">
        <v>69</v>
      </c>
      <c r="N62" s="22" t="s">
        <v>62</v>
      </c>
      <c r="O62" s="21">
        <v>16</v>
      </c>
      <c r="P62" s="22" t="s">
        <v>62</v>
      </c>
      <c r="Q62" s="22" t="s">
        <v>62</v>
      </c>
      <c r="R62" s="22" t="s">
        <v>62</v>
      </c>
      <c r="S62" s="22" t="s">
        <v>62</v>
      </c>
      <c r="T62" s="19">
        <v>16</v>
      </c>
      <c r="U62" s="21">
        <v>1</v>
      </c>
      <c r="V62" s="21">
        <v>12</v>
      </c>
      <c r="W62" s="21">
        <v>9</v>
      </c>
      <c r="X62" s="21" t="s">
        <v>62</v>
      </c>
      <c r="Y62" s="19">
        <v>6</v>
      </c>
      <c r="Z62" s="19">
        <v>74</v>
      </c>
      <c r="AA62" s="19">
        <v>56</v>
      </c>
      <c r="AB62" s="19">
        <v>0</v>
      </c>
      <c r="AC62" s="19">
        <v>0</v>
      </c>
      <c r="AD62" s="19">
        <v>11</v>
      </c>
      <c r="AE62" s="19">
        <v>10</v>
      </c>
      <c r="AF62" s="19">
        <v>4</v>
      </c>
      <c r="AG62" s="21" t="s">
        <v>62</v>
      </c>
      <c r="AH62" s="19">
        <v>68</v>
      </c>
      <c r="AI62" s="19">
        <v>62</v>
      </c>
      <c r="AJ62" s="19">
        <v>25</v>
      </c>
      <c r="AK62" s="19">
        <v>0</v>
      </c>
      <c r="AL62" s="19">
        <v>0</v>
      </c>
      <c r="AM62" s="22">
        <v>1</v>
      </c>
      <c r="AN62" s="22">
        <v>1</v>
      </c>
      <c r="AO62" s="22">
        <v>4</v>
      </c>
      <c r="AP62" s="22">
        <v>5</v>
      </c>
      <c r="AQ62" s="22">
        <v>12</v>
      </c>
      <c r="AR62" s="22">
        <v>10</v>
      </c>
      <c r="AS62" s="22">
        <v>10</v>
      </c>
      <c r="AT62" s="22">
        <v>9</v>
      </c>
      <c r="AU62" s="22">
        <v>9</v>
      </c>
      <c r="AV62" s="22">
        <v>9</v>
      </c>
      <c r="AW62" s="22">
        <v>1</v>
      </c>
      <c r="AX62" s="22">
        <v>1</v>
      </c>
      <c r="AY62" s="22">
        <v>0</v>
      </c>
      <c r="AZ62" s="22">
        <v>0</v>
      </c>
      <c r="BA62" s="22">
        <v>0</v>
      </c>
      <c r="BB62" s="22">
        <v>6</v>
      </c>
      <c r="BC62" s="22">
        <v>1</v>
      </c>
      <c r="BD62" s="22">
        <v>3</v>
      </c>
      <c r="BE62" s="22">
        <v>0</v>
      </c>
      <c r="BF62" s="22">
        <v>0</v>
      </c>
      <c r="BG62" s="22">
        <v>12</v>
      </c>
      <c r="BH62" s="22">
        <v>0.7</v>
      </c>
      <c r="BI62" s="22" t="s">
        <v>77</v>
      </c>
      <c r="BJ62" s="22">
        <v>11</v>
      </c>
      <c r="BK62" s="22">
        <v>11</v>
      </c>
      <c r="BL62" s="22">
        <v>11</v>
      </c>
      <c r="BM62" s="22">
        <v>11</v>
      </c>
      <c r="BN62" s="22">
        <v>10</v>
      </c>
      <c r="BO62" s="22">
        <v>10</v>
      </c>
      <c r="BP62" s="22">
        <v>10</v>
      </c>
      <c r="BQ62" s="22">
        <v>6</v>
      </c>
      <c r="BR62" s="22">
        <v>4</v>
      </c>
      <c r="BS62" s="22">
        <v>0</v>
      </c>
      <c r="BT62" s="22">
        <v>2</v>
      </c>
      <c r="BU62" s="22">
        <v>0</v>
      </c>
      <c r="BV62" s="22">
        <v>1</v>
      </c>
      <c r="BW62" s="22">
        <v>1</v>
      </c>
      <c r="BX62" s="22">
        <v>0</v>
      </c>
      <c r="BY62" s="22">
        <v>2</v>
      </c>
      <c r="BZ62" s="22">
        <v>4</v>
      </c>
      <c r="CA62" s="22">
        <v>1</v>
      </c>
      <c r="CB62" s="22">
        <v>3</v>
      </c>
      <c r="CC62" s="22">
        <v>0</v>
      </c>
      <c r="CD62" s="22">
        <v>14</v>
      </c>
      <c r="CE62" s="22">
        <v>0.9</v>
      </c>
      <c r="CF62" s="22" t="s">
        <v>77</v>
      </c>
      <c r="CG62" s="20" t="s">
        <v>66</v>
      </c>
      <c r="CH62" s="20">
        <v>1.519E-3</v>
      </c>
      <c r="CI62" s="19">
        <v>0</v>
      </c>
      <c r="CJ62" s="78">
        <v>3</v>
      </c>
      <c r="CK62" s="78" t="s">
        <v>224</v>
      </c>
      <c r="CL62" s="78" t="s">
        <v>224</v>
      </c>
      <c r="CM62" s="78">
        <v>470.85836799999998</v>
      </c>
      <c r="CN62" s="78">
        <v>1</v>
      </c>
      <c r="CO62" s="78" t="s">
        <v>224</v>
      </c>
      <c r="CP62" s="78" t="s">
        <v>224</v>
      </c>
      <c r="CQ62" s="78" t="s">
        <v>224</v>
      </c>
      <c r="CR62" s="12" t="str">
        <f>IF(COUNTIF(Incl!A:A,Raw!J62),1, "")</f>
        <v/>
      </c>
    </row>
    <row r="63" spans="1:96" ht="13.5" thickTop="1" thickBot="1" x14ac:dyDescent="0.3">
      <c r="A63" s="18">
        <v>60</v>
      </c>
      <c r="B63" s="19">
        <v>1</v>
      </c>
      <c r="C63" s="20">
        <v>576.089428</v>
      </c>
      <c r="D63" s="19">
        <v>60</v>
      </c>
      <c r="E63" s="19">
        <v>1</v>
      </c>
      <c r="F63" s="19">
        <v>89</v>
      </c>
      <c r="G63" s="21">
        <v>52</v>
      </c>
      <c r="H63" s="19">
        <v>52</v>
      </c>
      <c r="I63" s="19">
        <v>52</v>
      </c>
      <c r="J63" s="19">
        <v>52</v>
      </c>
      <c r="K63" s="20" t="s">
        <v>69</v>
      </c>
      <c r="L63" s="20" t="s">
        <v>97</v>
      </c>
      <c r="M63" s="20" t="s">
        <v>94</v>
      </c>
      <c r="N63" s="22" t="s">
        <v>62</v>
      </c>
      <c r="O63" s="21">
        <v>15</v>
      </c>
      <c r="P63" s="22" t="s">
        <v>62</v>
      </c>
      <c r="Q63" s="21" t="s">
        <v>62</v>
      </c>
      <c r="R63" s="22" t="s">
        <v>62</v>
      </c>
      <c r="S63" s="22" t="s">
        <v>62</v>
      </c>
      <c r="T63" s="19">
        <v>15</v>
      </c>
      <c r="U63" s="21">
        <v>13</v>
      </c>
      <c r="V63" s="21">
        <v>9</v>
      </c>
      <c r="W63" s="21">
        <v>1</v>
      </c>
      <c r="X63" s="21" t="s">
        <v>62</v>
      </c>
      <c r="Y63" s="19">
        <v>87</v>
      </c>
      <c r="Z63" s="19">
        <v>60</v>
      </c>
      <c r="AA63" s="19">
        <v>7</v>
      </c>
      <c r="AB63" s="19">
        <v>0</v>
      </c>
      <c r="AC63" s="19">
        <v>1</v>
      </c>
      <c r="AD63" s="19">
        <v>4</v>
      </c>
      <c r="AE63" s="19">
        <v>9</v>
      </c>
      <c r="AF63" s="19">
        <v>4</v>
      </c>
      <c r="AG63" s="21" t="s">
        <v>62</v>
      </c>
      <c r="AH63" s="19">
        <v>27</v>
      </c>
      <c r="AI63" s="19">
        <v>60</v>
      </c>
      <c r="AJ63" s="19">
        <v>27</v>
      </c>
      <c r="AK63" s="19">
        <v>0</v>
      </c>
      <c r="AL63" s="19">
        <v>0</v>
      </c>
      <c r="AM63" s="22">
        <v>13</v>
      </c>
      <c r="AN63" s="22">
        <v>12</v>
      </c>
      <c r="AO63" s="22">
        <v>12</v>
      </c>
      <c r="AP63" s="22">
        <v>11</v>
      </c>
      <c r="AQ63" s="22">
        <v>9</v>
      </c>
      <c r="AR63" s="22">
        <v>7</v>
      </c>
      <c r="AS63" s="22">
        <v>8</v>
      </c>
      <c r="AT63" s="22">
        <v>1</v>
      </c>
      <c r="AU63" s="22">
        <v>1</v>
      </c>
      <c r="AV63" s="22">
        <v>2</v>
      </c>
      <c r="AW63" s="22">
        <v>37</v>
      </c>
      <c r="AX63" s="22">
        <v>8</v>
      </c>
      <c r="AY63" s="22">
        <v>3</v>
      </c>
      <c r="AZ63" s="22">
        <v>1</v>
      </c>
      <c r="BA63" s="22">
        <v>0</v>
      </c>
      <c r="BB63" s="22">
        <v>0</v>
      </c>
      <c r="BC63" s="22">
        <v>0</v>
      </c>
      <c r="BD63" s="22">
        <v>0</v>
      </c>
      <c r="BE63" s="22">
        <v>0</v>
      </c>
      <c r="BF63" s="22">
        <v>1</v>
      </c>
      <c r="BG63" s="22">
        <v>50</v>
      </c>
      <c r="BH63" s="22">
        <v>3.3</v>
      </c>
      <c r="BI63" s="22" t="s">
        <v>65</v>
      </c>
      <c r="BJ63" s="22">
        <v>4</v>
      </c>
      <c r="BK63" s="22">
        <v>6</v>
      </c>
      <c r="BL63" s="22">
        <v>2</v>
      </c>
      <c r="BM63" s="22">
        <v>9</v>
      </c>
      <c r="BN63" s="22">
        <v>9</v>
      </c>
      <c r="BO63" s="22">
        <v>9</v>
      </c>
      <c r="BP63" s="22">
        <v>9</v>
      </c>
      <c r="BQ63" s="22">
        <v>8</v>
      </c>
      <c r="BR63" s="22">
        <v>4</v>
      </c>
      <c r="BS63" s="22">
        <v>3</v>
      </c>
      <c r="BT63" s="22">
        <v>20</v>
      </c>
      <c r="BU63" s="22">
        <v>3</v>
      </c>
      <c r="BV63" s="22">
        <v>8</v>
      </c>
      <c r="BW63" s="22">
        <v>1</v>
      </c>
      <c r="BX63" s="22">
        <v>0</v>
      </c>
      <c r="BY63" s="22">
        <v>0</v>
      </c>
      <c r="BZ63" s="22">
        <v>0</v>
      </c>
      <c r="CA63" s="22">
        <v>0</v>
      </c>
      <c r="CB63" s="22">
        <v>1</v>
      </c>
      <c r="CC63" s="22">
        <v>0</v>
      </c>
      <c r="CD63" s="22">
        <v>33</v>
      </c>
      <c r="CE63" s="22">
        <v>2.2000000000000002</v>
      </c>
      <c r="CF63" s="22" t="s">
        <v>63</v>
      </c>
      <c r="CG63" s="20" t="s">
        <v>74</v>
      </c>
      <c r="CH63" s="20">
        <v>1.854E-3</v>
      </c>
      <c r="CI63" s="19">
        <v>1</v>
      </c>
      <c r="CJ63" s="78">
        <v>3</v>
      </c>
      <c r="CK63" s="78" t="s">
        <v>224</v>
      </c>
      <c r="CL63" s="78" t="s">
        <v>224</v>
      </c>
      <c r="CM63" s="78">
        <v>576.08948599999997</v>
      </c>
      <c r="CN63" s="78">
        <v>1</v>
      </c>
      <c r="CO63" s="78">
        <v>0</v>
      </c>
      <c r="CP63" s="78" t="s">
        <v>224</v>
      </c>
      <c r="CQ63" s="78" t="s">
        <v>224</v>
      </c>
      <c r="CR63" s="12" t="str">
        <f>IF(COUNTIF(Incl!A:A,Raw!J63),1, "")</f>
        <v/>
      </c>
    </row>
    <row r="64" spans="1:96" ht="13.5" thickTop="1" thickBot="1" x14ac:dyDescent="0.3">
      <c r="A64" s="18">
        <v>61</v>
      </c>
      <c r="B64" s="19">
        <v>1</v>
      </c>
      <c r="C64" s="20">
        <v>443.92052200000001</v>
      </c>
      <c r="D64" s="19">
        <v>61</v>
      </c>
      <c r="E64" s="19">
        <v>1</v>
      </c>
      <c r="F64" s="19">
        <v>90</v>
      </c>
      <c r="G64" s="21">
        <v>174</v>
      </c>
      <c r="H64" s="19">
        <v>174</v>
      </c>
      <c r="I64" s="19">
        <v>174</v>
      </c>
      <c r="J64" s="19">
        <v>174</v>
      </c>
      <c r="K64" s="20" t="s">
        <v>93</v>
      </c>
      <c r="L64" s="20" t="s">
        <v>95</v>
      </c>
      <c r="M64" s="20" t="s">
        <v>98</v>
      </c>
      <c r="N64" s="22" t="s">
        <v>62</v>
      </c>
      <c r="O64" s="21" t="s">
        <v>62</v>
      </c>
      <c r="P64" s="22">
        <v>10</v>
      </c>
      <c r="Q64" s="22" t="s">
        <v>62</v>
      </c>
      <c r="R64" s="22" t="s">
        <v>62</v>
      </c>
      <c r="S64" s="22" t="s">
        <v>62</v>
      </c>
      <c r="T64" s="19">
        <v>10</v>
      </c>
      <c r="U64" s="21">
        <v>9</v>
      </c>
      <c r="V64" s="21">
        <v>8</v>
      </c>
      <c r="W64" s="21">
        <v>10</v>
      </c>
      <c r="X64" s="21">
        <v>10</v>
      </c>
      <c r="Y64" s="19">
        <v>90</v>
      </c>
      <c r="Z64" s="19">
        <v>80</v>
      </c>
      <c r="AA64" s="19">
        <v>100</v>
      </c>
      <c r="AB64" s="19">
        <v>100</v>
      </c>
      <c r="AC64" s="19">
        <v>4</v>
      </c>
      <c r="AD64" s="19">
        <v>8</v>
      </c>
      <c r="AE64" s="19">
        <v>10</v>
      </c>
      <c r="AF64" s="19">
        <v>10</v>
      </c>
      <c r="AG64" s="21">
        <v>7</v>
      </c>
      <c r="AH64" s="19">
        <v>80</v>
      </c>
      <c r="AI64" s="19">
        <v>100</v>
      </c>
      <c r="AJ64" s="19">
        <v>100</v>
      </c>
      <c r="AK64" s="19">
        <v>70</v>
      </c>
      <c r="AL64" s="19">
        <v>3</v>
      </c>
      <c r="AM64" s="22" t="s">
        <v>62</v>
      </c>
      <c r="AN64" s="22" t="s">
        <v>62</v>
      </c>
      <c r="AO64" s="22" t="s">
        <v>62</v>
      </c>
      <c r="AP64" s="22" t="s">
        <v>62</v>
      </c>
      <c r="AQ64" s="22" t="s">
        <v>62</v>
      </c>
      <c r="AR64" s="22" t="s">
        <v>62</v>
      </c>
      <c r="AS64" s="22" t="s">
        <v>62</v>
      </c>
      <c r="AT64" s="22" t="s">
        <v>62</v>
      </c>
      <c r="AU64" s="22" t="s">
        <v>62</v>
      </c>
      <c r="AV64" s="22" t="s">
        <v>62</v>
      </c>
      <c r="AW64" s="22" t="s">
        <v>62</v>
      </c>
      <c r="AX64" s="22" t="s">
        <v>62</v>
      </c>
      <c r="AY64" s="22" t="s">
        <v>62</v>
      </c>
      <c r="AZ64" s="22" t="s">
        <v>62</v>
      </c>
      <c r="BA64" s="22" t="s">
        <v>62</v>
      </c>
      <c r="BB64" s="22" t="s">
        <v>62</v>
      </c>
      <c r="BC64" s="22" t="s">
        <v>62</v>
      </c>
      <c r="BD64" s="22" t="s">
        <v>62</v>
      </c>
      <c r="BE64" s="22" t="s">
        <v>62</v>
      </c>
      <c r="BF64" s="22" t="s">
        <v>62</v>
      </c>
      <c r="BG64" s="22" t="s">
        <v>62</v>
      </c>
      <c r="BH64" s="22" t="s">
        <v>62</v>
      </c>
      <c r="BI64" s="22" t="s">
        <v>62</v>
      </c>
      <c r="BJ64" s="22" t="s">
        <v>62</v>
      </c>
      <c r="BK64" s="22" t="s">
        <v>62</v>
      </c>
      <c r="BL64" s="22" t="s">
        <v>62</v>
      </c>
      <c r="BM64" s="22" t="s">
        <v>62</v>
      </c>
      <c r="BN64" s="22" t="s">
        <v>62</v>
      </c>
      <c r="BO64" s="22" t="s">
        <v>62</v>
      </c>
      <c r="BP64" s="22" t="s">
        <v>62</v>
      </c>
      <c r="BQ64" s="22" t="s">
        <v>62</v>
      </c>
      <c r="BR64" s="22" t="s">
        <v>62</v>
      </c>
      <c r="BS64" s="22" t="s">
        <v>62</v>
      </c>
      <c r="BT64" s="22" t="s">
        <v>62</v>
      </c>
      <c r="BU64" s="22" t="s">
        <v>62</v>
      </c>
      <c r="BV64" s="22" t="s">
        <v>62</v>
      </c>
      <c r="BW64" s="22" t="s">
        <v>62</v>
      </c>
      <c r="BX64" s="22" t="s">
        <v>62</v>
      </c>
      <c r="BY64" s="22" t="s">
        <v>62</v>
      </c>
      <c r="BZ64" s="22" t="s">
        <v>62</v>
      </c>
      <c r="CA64" s="22" t="s">
        <v>62</v>
      </c>
      <c r="CB64" s="22" t="s">
        <v>62</v>
      </c>
      <c r="CC64" s="22" t="s">
        <v>62</v>
      </c>
      <c r="CD64" s="22" t="s">
        <v>62</v>
      </c>
      <c r="CE64" s="22" t="s">
        <v>62</v>
      </c>
      <c r="CF64" s="22" t="s">
        <v>62</v>
      </c>
      <c r="CG64" s="20" t="s">
        <v>64</v>
      </c>
      <c r="CH64" s="20">
        <v>1.1800000000000001E-3</v>
      </c>
      <c r="CI64" s="19">
        <v>7</v>
      </c>
      <c r="CJ64" s="78">
        <v>3</v>
      </c>
      <c r="CK64" s="78" t="s">
        <v>224</v>
      </c>
      <c r="CL64" s="78" t="s">
        <v>224</v>
      </c>
      <c r="CM64" s="78">
        <v>365.327539</v>
      </c>
      <c r="CN64" s="78">
        <v>2</v>
      </c>
      <c r="CO64" s="78" t="s">
        <v>224</v>
      </c>
      <c r="CP64" s="78" t="s">
        <v>224</v>
      </c>
      <c r="CQ64" s="78" t="s">
        <v>224</v>
      </c>
      <c r="CR64" s="12" t="str">
        <f>IF(COUNTIF(Incl!A:A,Raw!J64),1, "")</f>
        <v/>
      </c>
    </row>
    <row r="65" spans="1:96" ht="13.5" thickTop="1" thickBot="1" x14ac:dyDescent="0.3">
      <c r="A65" s="18">
        <v>62</v>
      </c>
      <c r="B65" s="19">
        <v>1</v>
      </c>
      <c r="C65" s="20">
        <v>368.59075000000001</v>
      </c>
      <c r="D65" s="19">
        <v>62</v>
      </c>
      <c r="E65" s="19">
        <v>1</v>
      </c>
      <c r="F65" s="19">
        <v>91</v>
      </c>
      <c r="G65" s="21">
        <v>175</v>
      </c>
      <c r="H65" s="19">
        <v>175</v>
      </c>
      <c r="I65" s="19">
        <v>175</v>
      </c>
      <c r="J65" s="19">
        <v>175</v>
      </c>
      <c r="K65" s="20" t="s">
        <v>93</v>
      </c>
      <c r="L65" s="20" t="s">
        <v>98</v>
      </c>
      <c r="M65" s="20" t="s">
        <v>95</v>
      </c>
      <c r="N65" s="22" t="s">
        <v>62</v>
      </c>
      <c r="O65" s="21" t="s">
        <v>62</v>
      </c>
      <c r="P65" s="21">
        <v>21</v>
      </c>
      <c r="Q65" s="22" t="s">
        <v>62</v>
      </c>
      <c r="R65" s="22" t="s">
        <v>62</v>
      </c>
      <c r="S65" s="22" t="s">
        <v>62</v>
      </c>
      <c r="T65" s="19">
        <v>21</v>
      </c>
      <c r="U65" s="21">
        <v>20</v>
      </c>
      <c r="V65" s="21">
        <v>18</v>
      </c>
      <c r="W65" s="21">
        <v>19</v>
      </c>
      <c r="X65" s="21">
        <v>20</v>
      </c>
      <c r="Y65" s="19">
        <v>93</v>
      </c>
      <c r="Z65" s="19">
        <v>84</v>
      </c>
      <c r="AA65" s="19">
        <v>89</v>
      </c>
      <c r="AB65" s="19">
        <v>93</v>
      </c>
      <c r="AC65" s="19">
        <v>4</v>
      </c>
      <c r="AD65" s="19">
        <v>10</v>
      </c>
      <c r="AE65" s="19">
        <v>12</v>
      </c>
      <c r="AF65" s="19">
        <v>17</v>
      </c>
      <c r="AG65" s="21">
        <v>20</v>
      </c>
      <c r="AH65" s="19">
        <v>47</v>
      </c>
      <c r="AI65" s="19">
        <v>56</v>
      </c>
      <c r="AJ65" s="19">
        <v>79</v>
      </c>
      <c r="AK65" s="19">
        <v>93</v>
      </c>
      <c r="AL65" s="19">
        <v>2</v>
      </c>
      <c r="AM65" s="22" t="s">
        <v>62</v>
      </c>
      <c r="AN65" s="22" t="s">
        <v>62</v>
      </c>
      <c r="AO65" s="22" t="s">
        <v>62</v>
      </c>
      <c r="AP65" s="22" t="s">
        <v>62</v>
      </c>
      <c r="AQ65" s="22" t="s">
        <v>62</v>
      </c>
      <c r="AR65" s="22" t="s">
        <v>62</v>
      </c>
      <c r="AS65" s="22" t="s">
        <v>62</v>
      </c>
      <c r="AT65" s="22" t="s">
        <v>62</v>
      </c>
      <c r="AU65" s="22" t="s">
        <v>62</v>
      </c>
      <c r="AV65" s="22" t="s">
        <v>62</v>
      </c>
      <c r="AW65" s="22" t="s">
        <v>62</v>
      </c>
      <c r="AX65" s="22" t="s">
        <v>62</v>
      </c>
      <c r="AY65" s="22" t="s">
        <v>62</v>
      </c>
      <c r="AZ65" s="22" t="s">
        <v>62</v>
      </c>
      <c r="BA65" s="22" t="s">
        <v>62</v>
      </c>
      <c r="BB65" s="22" t="s">
        <v>62</v>
      </c>
      <c r="BC65" s="22" t="s">
        <v>62</v>
      </c>
      <c r="BD65" s="22" t="s">
        <v>62</v>
      </c>
      <c r="BE65" s="22" t="s">
        <v>62</v>
      </c>
      <c r="BF65" s="22" t="s">
        <v>62</v>
      </c>
      <c r="BG65" s="22" t="s">
        <v>62</v>
      </c>
      <c r="BH65" s="22" t="s">
        <v>62</v>
      </c>
      <c r="BI65" s="22" t="s">
        <v>62</v>
      </c>
      <c r="BJ65" s="22" t="s">
        <v>62</v>
      </c>
      <c r="BK65" s="22" t="s">
        <v>62</v>
      </c>
      <c r="BL65" s="22" t="s">
        <v>62</v>
      </c>
      <c r="BM65" s="22" t="s">
        <v>62</v>
      </c>
      <c r="BN65" s="22" t="s">
        <v>62</v>
      </c>
      <c r="BO65" s="22" t="s">
        <v>62</v>
      </c>
      <c r="BP65" s="22" t="s">
        <v>62</v>
      </c>
      <c r="BQ65" s="22" t="s">
        <v>62</v>
      </c>
      <c r="BR65" s="22" t="s">
        <v>62</v>
      </c>
      <c r="BS65" s="22" t="s">
        <v>62</v>
      </c>
      <c r="BT65" s="22" t="s">
        <v>62</v>
      </c>
      <c r="BU65" s="22" t="s">
        <v>62</v>
      </c>
      <c r="BV65" s="22" t="s">
        <v>62</v>
      </c>
      <c r="BW65" s="22" t="s">
        <v>62</v>
      </c>
      <c r="BX65" s="22" t="s">
        <v>62</v>
      </c>
      <c r="BY65" s="22" t="s">
        <v>62</v>
      </c>
      <c r="BZ65" s="22" t="s">
        <v>62</v>
      </c>
      <c r="CA65" s="22" t="s">
        <v>62</v>
      </c>
      <c r="CB65" s="22" t="s">
        <v>62</v>
      </c>
      <c r="CC65" s="22" t="s">
        <v>62</v>
      </c>
      <c r="CD65" s="22" t="s">
        <v>62</v>
      </c>
      <c r="CE65" s="22" t="s">
        <v>62</v>
      </c>
      <c r="CF65" s="22" t="s">
        <v>62</v>
      </c>
      <c r="CG65" s="20" t="s">
        <v>66</v>
      </c>
      <c r="CH65" s="20">
        <v>1.1850000000000001E-3</v>
      </c>
      <c r="CI65" s="19">
        <v>6</v>
      </c>
      <c r="CJ65" s="78">
        <v>3</v>
      </c>
      <c r="CK65" s="78" t="s">
        <v>224</v>
      </c>
      <c r="CL65" s="78" t="s">
        <v>224</v>
      </c>
      <c r="CM65" s="78">
        <v>368.59082599999999</v>
      </c>
      <c r="CN65" s="78">
        <v>2</v>
      </c>
      <c r="CO65" s="78" t="s">
        <v>224</v>
      </c>
      <c r="CP65" s="78" t="s">
        <v>224</v>
      </c>
      <c r="CQ65" s="78" t="s">
        <v>224</v>
      </c>
      <c r="CR65" s="12" t="str">
        <f>IF(COUNTIF(Incl!A:A,Raw!J65),1, "")</f>
        <v/>
      </c>
    </row>
    <row r="66" spans="1:96" ht="13.5" thickTop="1" thickBot="1" x14ac:dyDescent="0.3">
      <c r="A66" s="13">
        <v>63</v>
      </c>
      <c r="B66" s="14">
        <v>1</v>
      </c>
      <c r="C66" s="15">
        <v>443.934482</v>
      </c>
      <c r="D66" s="14">
        <v>63</v>
      </c>
      <c r="E66" s="14">
        <v>1</v>
      </c>
      <c r="F66" s="14">
        <v>92</v>
      </c>
      <c r="G66" s="16">
        <v>2</v>
      </c>
      <c r="H66" s="14">
        <v>2</v>
      </c>
      <c r="I66" s="14">
        <v>2</v>
      </c>
      <c r="J66" s="14">
        <v>2</v>
      </c>
      <c r="K66" s="15" t="s">
        <v>98</v>
      </c>
      <c r="L66" s="15" t="s">
        <v>96</v>
      </c>
      <c r="M66" s="15" t="s">
        <v>93</v>
      </c>
      <c r="N66" s="17" t="s">
        <v>62</v>
      </c>
      <c r="O66" s="17" t="s">
        <v>62</v>
      </c>
      <c r="P66" s="16">
        <v>17</v>
      </c>
      <c r="Q66" s="17" t="s">
        <v>62</v>
      </c>
      <c r="R66" s="17" t="s">
        <v>62</v>
      </c>
      <c r="S66" s="17" t="s">
        <v>62</v>
      </c>
      <c r="T66" s="14">
        <v>17</v>
      </c>
      <c r="U66" s="16">
        <v>12</v>
      </c>
      <c r="V66" s="16">
        <v>10</v>
      </c>
      <c r="W66" s="16">
        <v>15</v>
      </c>
      <c r="X66" s="16">
        <v>13</v>
      </c>
      <c r="Y66" s="14">
        <v>71</v>
      </c>
      <c r="Z66" s="14">
        <v>59</v>
      </c>
      <c r="AA66" s="14">
        <v>89</v>
      </c>
      <c r="AB66" s="14">
        <v>77</v>
      </c>
      <c r="AC66" s="14">
        <v>2</v>
      </c>
      <c r="AD66" s="14">
        <v>9</v>
      </c>
      <c r="AE66" s="14">
        <v>8</v>
      </c>
      <c r="AF66" s="14">
        <v>12</v>
      </c>
      <c r="AG66" s="16">
        <v>15</v>
      </c>
      <c r="AH66" s="14">
        <v>53</v>
      </c>
      <c r="AI66" s="14">
        <v>47</v>
      </c>
      <c r="AJ66" s="14">
        <v>71</v>
      </c>
      <c r="AK66" s="14">
        <v>89</v>
      </c>
      <c r="AL66" s="14">
        <v>1</v>
      </c>
      <c r="AM66" s="17" t="s">
        <v>62</v>
      </c>
      <c r="AN66" s="17" t="s">
        <v>62</v>
      </c>
      <c r="AO66" s="17" t="s">
        <v>62</v>
      </c>
      <c r="AP66" s="17" t="s">
        <v>62</v>
      </c>
      <c r="AQ66" s="17" t="s">
        <v>62</v>
      </c>
      <c r="AR66" s="17" t="s">
        <v>62</v>
      </c>
      <c r="AS66" s="17" t="s">
        <v>62</v>
      </c>
      <c r="AT66" s="17" t="s">
        <v>62</v>
      </c>
      <c r="AU66" s="17" t="s">
        <v>62</v>
      </c>
      <c r="AV66" s="17" t="s">
        <v>62</v>
      </c>
      <c r="AW66" s="17" t="s">
        <v>62</v>
      </c>
      <c r="AX66" s="17" t="s">
        <v>62</v>
      </c>
      <c r="AY66" s="17" t="s">
        <v>62</v>
      </c>
      <c r="AZ66" s="17" t="s">
        <v>62</v>
      </c>
      <c r="BA66" s="17" t="s">
        <v>62</v>
      </c>
      <c r="BB66" s="17" t="s">
        <v>62</v>
      </c>
      <c r="BC66" s="17" t="s">
        <v>62</v>
      </c>
      <c r="BD66" s="17" t="s">
        <v>62</v>
      </c>
      <c r="BE66" s="17" t="s">
        <v>62</v>
      </c>
      <c r="BF66" s="17" t="s">
        <v>62</v>
      </c>
      <c r="BG66" s="17" t="s">
        <v>62</v>
      </c>
      <c r="BH66" s="17" t="s">
        <v>62</v>
      </c>
      <c r="BI66" s="17" t="s">
        <v>62</v>
      </c>
      <c r="BJ66" s="17" t="s">
        <v>62</v>
      </c>
      <c r="BK66" s="17" t="s">
        <v>62</v>
      </c>
      <c r="BL66" s="17" t="s">
        <v>62</v>
      </c>
      <c r="BM66" s="17" t="s">
        <v>62</v>
      </c>
      <c r="BN66" s="17" t="s">
        <v>62</v>
      </c>
      <c r="BO66" s="17" t="s">
        <v>62</v>
      </c>
      <c r="BP66" s="17" t="s">
        <v>62</v>
      </c>
      <c r="BQ66" s="17" t="s">
        <v>62</v>
      </c>
      <c r="BR66" s="17" t="s">
        <v>62</v>
      </c>
      <c r="BS66" s="17" t="s">
        <v>62</v>
      </c>
      <c r="BT66" s="17" t="s">
        <v>62</v>
      </c>
      <c r="BU66" s="17" t="s">
        <v>62</v>
      </c>
      <c r="BV66" s="17" t="s">
        <v>62</v>
      </c>
      <c r="BW66" s="17" t="s">
        <v>62</v>
      </c>
      <c r="BX66" s="17" t="s">
        <v>62</v>
      </c>
      <c r="BY66" s="17" t="s">
        <v>62</v>
      </c>
      <c r="BZ66" s="17" t="s">
        <v>62</v>
      </c>
      <c r="CA66" s="17" t="s">
        <v>62</v>
      </c>
      <c r="CB66" s="17" t="s">
        <v>62</v>
      </c>
      <c r="CC66" s="17" t="s">
        <v>62</v>
      </c>
      <c r="CD66" s="17" t="s">
        <v>62</v>
      </c>
      <c r="CE66" s="17" t="s">
        <v>62</v>
      </c>
      <c r="CF66" s="17" t="s">
        <v>62</v>
      </c>
      <c r="CG66" s="15" t="s">
        <v>74</v>
      </c>
      <c r="CH66" s="15">
        <v>1.3389999999999999E-3</v>
      </c>
      <c r="CI66" s="14">
        <v>3</v>
      </c>
      <c r="CJ66" s="79">
        <v>3</v>
      </c>
      <c r="CK66" s="79" t="s">
        <v>224</v>
      </c>
      <c r="CL66" s="79" t="s">
        <v>224</v>
      </c>
      <c r="CM66" s="79">
        <v>443.93444</v>
      </c>
      <c r="CN66" s="79">
        <v>2</v>
      </c>
      <c r="CO66" s="79" t="s">
        <v>224</v>
      </c>
      <c r="CP66" s="79" t="s">
        <v>224</v>
      </c>
      <c r="CQ66" s="79" t="s">
        <v>224</v>
      </c>
      <c r="CR66" s="12" t="str">
        <f>IF(COUNTIF(Incl!A:A,Raw!J66),1, "")</f>
        <v/>
      </c>
    </row>
    <row r="67" spans="1:96" ht="13.5" thickTop="1" thickBot="1" x14ac:dyDescent="0.3">
      <c r="A67" s="13">
        <v>64</v>
      </c>
      <c r="B67" s="14">
        <v>1</v>
      </c>
      <c r="C67" s="15">
        <v>377.82184100000001</v>
      </c>
      <c r="D67" s="14">
        <v>64</v>
      </c>
      <c r="E67" s="14">
        <v>1</v>
      </c>
      <c r="F67" s="14">
        <v>93</v>
      </c>
      <c r="G67" s="16">
        <v>180</v>
      </c>
      <c r="H67" s="14">
        <v>180</v>
      </c>
      <c r="I67" s="14">
        <v>180</v>
      </c>
      <c r="J67" s="14">
        <v>180</v>
      </c>
      <c r="K67" s="15" t="s">
        <v>96</v>
      </c>
      <c r="L67" s="15" t="s">
        <v>98</v>
      </c>
      <c r="M67" s="15" t="s">
        <v>95</v>
      </c>
      <c r="N67" s="17" t="s">
        <v>62</v>
      </c>
      <c r="O67" s="17" t="s">
        <v>62</v>
      </c>
      <c r="P67" s="16">
        <v>23</v>
      </c>
      <c r="Q67" s="17" t="s">
        <v>62</v>
      </c>
      <c r="R67" s="17" t="s">
        <v>62</v>
      </c>
      <c r="S67" s="17" t="s">
        <v>62</v>
      </c>
      <c r="T67" s="14">
        <v>23</v>
      </c>
      <c r="U67" s="16">
        <v>24</v>
      </c>
      <c r="V67" s="16">
        <v>10</v>
      </c>
      <c r="W67" s="16">
        <v>19</v>
      </c>
      <c r="X67" s="16">
        <v>19</v>
      </c>
      <c r="Y67" s="14">
        <v>105</v>
      </c>
      <c r="Z67" s="14">
        <v>44</v>
      </c>
      <c r="AA67" s="14">
        <v>83</v>
      </c>
      <c r="AB67" s="14">
        <v>83</v>
      </c>
      <c r="AC67" s="14">
        <v>3</v>
      </c>
      <c r="AD67" s="14">
        <v>8</v>
      </c>
      <c r="AE67" s="14">
        <v>6</v>
      </c>
      <c r="AF67" s="14">
        <v>12</v>
      </c>
      <c r="AG67" s="16">
        <v>15</v>
      </c>
      <c r="AH67" s="14">
        <v>35</v>
      </c>
      <c r="AI67" s="14">
        <v>26</v>
      </c>
      <c r="AJ67" s="14">
        <v>53</v>
      </c>
      <c r="AK67" s="14">
        <v>66</v>
      </c>
      <c r="AL67" s="14">
        <v>0</v>
      </c>
      <c r="AM67" s="17" t="s">
        <v>62</v>
      </c>
      <c r="AN67" s="17" t="s">
        <v>62</v>
      </c>
      <c r="AO67" s="17" t="s">
        <v>62</v>
      </c>
      <c r="AP67" s="17" t="s">
        <v>62</v>
      </c>
      <c r="AQ67" s="17" t="s">
        <v>62</v>
      </c>
      <c r="AR67" s="17" t="s">
        <v>62</v>
      </c>
      <c r="AS67" s="17" t="s">
        <v>62</v>
      </c>
      <c r="AT67" s="17" t="s">
        <v>62</v>
      </c>
      <c r="AU67" s="17" t="s">
        <v>62</v>
      </c>
      <c r="AV67" s="17" t="s">
        <v>62</v>
      </c>
      <c r="AW67" s="17" t="s">
        <v>62</v>
      </c>
      <c r="AX67" s="17" t="s">
        <v>62</v>
      </c>
      <c r="AY67" s="17" t="s">
        <v>62</v>
      </c>
      <c r="AZ67" s="17" t="s">
        <v>62</v>
      </c>
      <c r="BA67" s="17" t="s">
        <v>62</v>
      </c>
      <c r="BB67" s="17" t="s">
        <v>62</v>
      </c>
      <c r="BC67" s="17" t="s">
        <v>62</v>
      </c>
      <c r="BD67" s="17" t="s">
        <v>62</v>
      </c>
      <c r="BE67" s="17" t="s">
        <v>62</v>
      </c>
      <c r="BF67" s="17" t="s">
        <v>62</v>
      </c>
      <c r="BG67" s="17" t="s">
        <v>62</v>
      </c>
      <c r="BH67" s="17" t="s">
        <v>62</v>
      </c>
      <c r="BI67" s="17" t="s">
        <v>62</v>
      </c>
      <c r="BJ67" s="17" t="s">
        <v>62</v>
      </c>
      <c r="BK67" s="17" t="s">
        <v>62</v>
      </c>
      <c r="BL67" s="17" t="s">
        <v>62</v>
      </c>
      <c r="BM67" s="17" t="s">
        <v>62</v>
      </c>
      <c r="BN67" s="17" t="s">
        <v>62</v>
      </c>
      <c r="BO67" s="17" t="s">
        <v>62</v>
      </c>
      <c r="BP67" s="17" t="s">
        <v>62</v>
      </c>
      <c r="BQ67" s="17" t="s">
        <v>62</v>
      </c>
      <c r="BR67" s="17" t="s">
        <v>62</v>
      </c>
      <c r="BS67" s="17" t="s">
        <v>62</v>
      </c>
      <c r="BT67" s="17" t="s">
        <v>62</v>
      </c>
      <c r="BU67" s="17" t="s">
        <v>62</v>
      </c>
      <c r="BV67" s="17" t="s">
        <v>62</v>
      </c>
      <c r="BW67" s="17" t="s">
        <v>62</v>
      </c>
      <c r="BX67" s="17" t="s">
        <v>62</v>
      </c>
      <c r="BY67" s="17" t="s">
        <v>62</v>
      </c>
      <c r="BZ67" s="17" t="s">
        <v>62</v>
      </c>
      <c r="CA67" s="17" t="s">
        <v>62</v>
      </c>
      <c r="CB67" s="17" t="s">
        <v>62</v>
      </c>
      <c r="CC67" s="17" t="s">
        <v>62</v>
      </c>
      <c r="CD67" s="17" t="s">
        <v>62</v>
      </c>
      <c r="CE67" s="17" t="s">
        <v>62</v>
      </c>
      <c r="CF67" s="17" t="s">
        <v>62</v>
      </c>
      <c r="CG67" s="15" t="s">
        <v>64</v>
      </c>
      <c r="CH67" s="15">
        <v>1.2160000000000001E-3</v>
      </c>
      <c r="CI67" s="14">
        <v>3</v>
      </c>
      <c r="CJ67" s="79">
        <v>3</v>
      </c>
      <c r="CK67" s="79" t="s">
        <v>224</v>
      </c>
      <c r="CL67" s="79" t="s">
        <v>224</v>
      </c>
      <c r="CM67" s="79">
        <v>377.82170100000002</v>
      </c>
      <c r="CN67" s="79">
        <v>2</v>
      </c>
      <c r="CO67" s="79" t="s">
        <v>224</v>
      </c>
      <c r="CP67" s="79" t="s">
        <v>224</v>
      </c>
      <c r="CQ67" s="79" t="s">
        <v>224</v>
      </c>
      <c r="CR67" s="12" t="str">
        <f>IF(COUNTIF(Incl!A:A,Raw!J67),1, "")</f>
        <v/>
      </c>
    </row>
    <row r="68" spans="1:96" ht="13.5" thickTop="1" thickBot="1" x14ac:dyDescent="0.3">
      <c r="A68" s="13">
        <v>65</v>
      </c>
      <c r="B68" s="14">
        <v>1</v>
      </c>
      <c r="C68" s="15">
        <v>609.62674600000003</v>
      </c>
      <c r="D68" s="14">
        <v>65</v>
      </c>
      <c r="E68" s="14">
        <v>1</v>
      </c>
      <c r="F68" s="14">
        <v>94</v>
      </c>
      <c r="G68" s="16">
        <v>24</v>
      </c>
      <c r="H68" s="14">
        <v>24</v>
      </c>
      <c r="I68" s="14">
        <v>24</v>
      </c>
      <c r="J68" s="14">
        <v>24</v>
      </c>
      <c r="K68" s="15" t="s">
        <v>95</v>
      </c>
      <c r="L68" s="15" t="s">
        <v>97</v>
      </c>
      <c r="M68" s="15" t="s">
        <v>94</v>
      </c>
      <c r="N68" s="17" t="s">
        <v>62</v>
      </c>
      <c r="O68" s="17">
        <v>20</v>
      </c>
      <c r="P68" s="16" t="s">
        <v>62</v>
      </c>
      <c r="Q68" s="17" t="s">
        <v>62</v>
      </c>
      <c r="R68" s="17" t="s">
        <v>62</v>
      </c>
      <c r="S68" s="17" t="s">
        <v>62</v>
      </c>
      <c r="T68" s="14">
        <v>20</v>
      </c>
      <c r="U68" s="16">
        <v>8</v>
      </c>
      <c r="V68" s="16">
        <v>2</v>
      </c>
      <c r="W68" s="16">
        <v>3</v>
      </c>
      <c r="X68" s="16">
        <v>5</v>
      </c>
      <c r="Y68" s="14">
        <v>39</v>
      </c>
      <c r="Z68" s="14">
        <v>10</v>
      </c>
      <c r="AA68" s="14">
        <v>15</v>
      </c>
      <c r="AB68" s="14">
        <v>25</v>
      </c>
      <c r="AC68" s="14">
        <v>0</v>
      </c>
      <c r="AD68" s="14">
        <v>3</v>
      </c>
      <c r="AE68" s="14">
        <v>9</v>
      </c>
      <c r="AF68" s="14">
        <v>5</v>
      </c>
      <c r="AG68" s="16">
        <v>6</v>
      </c>
      <c r="AH68" s="14">
        <v>15</v>
      </c>
      <c r="AI68" s="14">
        <v>44</v>
      </c>
      <c r="AJ68" s="14">
        <v>25</v>
      </c>
      <c r="AK68" s="14">
        <v>29</v>
      </c>
      <c r="AL68" s="14">
        <v>0</v>
      </c>
      <c r="AM68" s="17" t="s">
        <v>62</v>
      </c>
      <c r="AN68" s="17" t="s">
        <v>62</v>
      </c>
      <c r="AO68" s="17" t="s">
        <v>62</v>
      </c>
      <c r="AP68" s="17" t="s">
        <v>62</v>
      </c>
      <c r="AQ68" s="17" t="s">
        <v>62</v>
      </c>
      <c r="AR68" s="17" t="s">
        <v>62</v>
      </c>
      <c r="AS68" s="17" t="s">
        <v>62</v>
      </c>
      <c r="AT68" s="17" t="s">
        <v>62</v>
      </c>
      <c r="AU68" s="17" t="s">
        <v>62</v>
      </c>
      <c r="AV68" s="17" t="s">
        <v>62</v>
      </c>
      <c r="AW68" s="17" t="s">
        <v>62</v>
      </c>
      <c r="AX68" s="17" t="s">
        <v>62</v>
      </c>
      <c r="AY68" s="17" t="s">
        <v>62</v>
      </c>
      <c r="AZ68" s="17" t="s">
        <v>62</v>
      </c>
      <c r="BA68" s="17" t="s">
        <v>62</v>
      </c>
      <c r="BB68" s="17" t="s">
        <v>62</v>
      </c>
      <c r="BC68" s="17" t="s">
        <v>62</v>
      </c>
      <c r="BD68" s="17" t="s">
        <v>62</v>
      </c>
      <c r="BE68" s="17" t="s">
        <v>62</v>
      </c>
      <c r="BF68" s="17" t="s">
        <v>62</v>
      </c>
      <c r="BG68" s="17" t="s">
        <v>62</v>
      </c>
      <c r="BH68" s="17" t="s">
        <v>62</v>
      </c>
      <c r="BI68" s="17" t="s">
        <v>62</v>
      </c>
      <c r="BJ68" s="17" t="s">
        <v>62</v>
      </c>
      <c r="BK68" s="17" t="s">
        <v>62</v>
      </c>
      <c r="BL68" s="17" t="s">
        <v>62</v>
      </c>
      <c r="BM68" s="17" t="s">
        <v>62</v>
      </c>
      <c r="BN68" s="17" t="s">
        <v>62</v>
      </c>
      <c r="BO68" s="17" t="s">
        <v>62</v>
      </c>
      <c r="BP68" s="17" t="s">
        <v>62</v>
      </c>
      <c r="BQ68" s="17" t="s">
        <v>62</v>
      </c>
      <c r="BR68" s="17" t="s">
        <v>62</v>
      </c>
      <c r="BS68" s="17" t="s">
        <v>62</v>
      </c>
      <c r="BT68" s="17" t="s">
        <v>62</v>
      </c>
      <c r="BU68" s="17" t="s">
        <v>62</v>
      </c>
      <c r="BV68" s="17" t="s">
        <v>62</v>
      </c>
      <c r="BW68" s="17" t="s">
        <v>62</v>
      </c>
      <c r="BX68" s="17" t="s">
        <v>62</v>
      </c>
      <c r="BY68" s="17" t="s">
        <v>62</v>
      </c>
      <c r="BZ68" s="17" t="s">
        <v>62</v>
      </c>
      <c r="CA68" s="17" t="s">
        <v>62</v>
      </c>
      <c r="CB68" s="17" t="s">
        <v>62</v>
      </c>
      <c r="CC68" s="17" t="s">
        <v>62</v>
      </c>
      <c r="CD68" s="17" t="s">
        <v>62</v>
      </c>
      <c r="CE68" s="17" t="s">
        <v>62</v>
      </c>
      <c r="CF68" s="17" t="s">
        <v>62</v>
      </c>
      <c r="CG68" s="15" t="s">
        <v>74</v>
      </c>
      <c r="CH68" s="15">
        <v>1.877E-3</v>
      </c>
      <c r="CI68" s="14">
        <v>0</v>
      </c>
      <c r="CJ68" s="79">
        <v>3</v>
      </c>
      <c r="CK68" s="79" t="s">
        <v>224</v>
      </c>
      <c r="CL68" s="79" t="s">
        <v>224</v>
      </c>
      <c r="CM68" s="79">
        <v>608.89853800000003</v>
      </c>
      <c r="CN68" s="79">
        <v>2</v>
      </c>
      <c r="CO68" s="79" t="s">
        <v>224</v>
      </c>
      <c r="CP68" s="79" t="s">
        <v>224</v>
      </c>
      <c r="CQ68" s="79" t="s">
        <v>224</v>
      </c>
      <c r="CR68" s="12" t="str">
        <f>IF(COUNTIF(Incl!A:A,Raw!J68),1, "")</f>
        <v/>
      </c>
    </row>
    <row r="69" spans="1:96" ht="13.5" thickTop="1" thickBot="1" x14ac:dyDescent="0.3">
      <c r="A69" s="18">
        <v>66</v>
      </c>
      <c r="B69" s="19">
        <v>1</v>
      </c>
      <c r="C69" s="20">
        <v>530.14438500000006</v>
      </c>
      <c r="D69" s="19">
        <v>66</v>
      </c>
      <c r="E69" s="19">
        <v>2</v>
      </c>
      <c r="F69" s="19">
        <v>95</v>
      </c>
      <c r="G69" s="21">
        <v>51</v>
      </c>
      <c r="H69" s="19">
        <v>51</v>
      </c>
      <c r="I69" s="19">
        <v>51</v>
      </c>
      <c r="J69" s="19">
        <v>51</v>
      </c>
      <c r="K69" s="20" t="s">
        <v>69</v>
      </c>
      <c r="L69" s="20" t="s">
        <v>94</v>
      </c>
      <c r="M69" s="20" t="s">
        <v>97</v>
      </c>
      <c r="N69" s="22">
        <v>10</v>
      </c>
      <c r="O69" s="22" t="s">
        <v>62</v>
      </c>
      <c r="P69" s="22" t="s">
        <v>62</v>
      </c>
      <c r="Q69" s="22" t="s">
        <v>62</v>
      </c>
      <c r="R69" s="22" t="s">
        <v>62</v>
      </c>
      <c r="S69" s="22" t="s">
        <v>62</v>
      </c>
      <c r="T69" s="19">
        <v>10</v>
      </c>
      <c r="U69" s="21">
        <v>1</v>
      </c>
      <c r="V69" s="21" t="s">
        <v>62</v>
      </c>
      <c r="W69" s="21" t="s">
        <v>62</v>
      </c>
      <c r="X69" s="21" t="s">
        <v>62</v>
      </c>
      <c r="Y69" s="19">
        <v>10</v>
      </c>
      <c r="Z69" s="19">
        <v>0</v>
      </c>
      <c r="AA69" s="19">
        <v>0</v>
      </c>
      <c r="AB69" s="19">
        <v>0</v>
      </c>
      <c r="AC69" s="19">
        <v>0</v>
      </c>
      <c r="AD69" s="19">
        <v>1</v>
      </c>
      <c r="AE69" s="19">
        <v>1</v>
      </c>
      <c r="AF69" s="19">
        <v>0</v>
      </c>
      <c r="AG69" s="21" t="s">
        <v>62</v>
      </c>
      <c r="AH69" s="19">
        <v>10</v>
      </c>
      <c r="AI69" s="19">
        <v>10</v>
      </c>
      <c r="AJ69" s="19">
        <v>0</v>
      </c>
      <c r="AK69" s="19">
        <v>0</v>
      </c>
      <c r="AL69" s="19">
        <v>0</v>
      </c>
      <c r="AM69" s="22">
        <v>1</v>
      </c>
      <c r="AN69" s="22">
        <v>1</v>
      </c>
      <c r="AO69" s="22">
        <v>1</v>
      </c>
      <c r="AP69" s="22">
        <v>1</v>
      </c>
      <c r="AQ69" s="22">
        <v>0</v>
      </c>
      <c r="AR69" s="22">
        <v>0</v>
      </c>
      <c r="AS69" s="22">
        <v>0</v>
      </c>
      <c r="AT69" s="22">
        <v>0</v>
      </c>
      <c r="AU69" s="22">
        <v>0</v>
      </c>
      <c r="AV69" s="22">
        <v>0</v>
      </c>
      <c r="AW69" s="22">
        <v>1</v>
      </c>
      <c r="AX69" s="22">
        <v>0</v>
      </c>
      <c r="AY69" s="22">
        <v>1</v>
      </c>
      <c r="AZ69" s="22">
        <v>0</v>
      </c>
      <c r="BA69" s="22">
        <v>0</v>
      </c>
      <c r="BB69" s="22">
        <v>0</v>
      </c>
      <c r="BC69" s="22">
        <v>0</v>
      </c>
      <c r="BD69" s="22">
        <v>0</v>
      </c>
      <c r="BE69" s="22">
        <v>0</v>
      </c>
      <c r="BF69" s="22">
        <v>0</v>
      </c>
      <c r="BG69" s="22">
        <v>2</v>
      </c>
      <c r="BH69" s="22">
        <v>0.2</v>
      </c>
      <c r="BI69" s="22" t="s">
        <v>77</v>
      </c>
      <c r="BJ69" s="22">
        <v>1</v>
      </c>
      <c r="BK69" s="22">
        <v>2</v>
      </c>
      <c r="BL69" s="22">
        <v>1</v>
      </c>
      <c r="BM69" s="22">
        <v>1</v>
      </c>
      <c r="BN69" s="22">
        <v>1</v>
      </c>
      <c r="BO69" s="22">
        <v>1</v>
      </c>
      <c r="BP69" s="22">
        <v>1</v>
      </c>
      <c r="BQ69" s="22">
        <v>0</v>
      </c>
      <c r="BR69" s="22">
        <v>0</v>
      </c>
      <c r="BS69" s="22">
        <v>0</v>
      </c>
      <c r="BT69" s="22">
        <v>2</v>
      </c>
      <c r="BU69" s="22">
        <v>0</v>
      </c>
      <c r="BV69" s="22">
        <v>0</v>
      </c>
      <c r="BW69" s="22">
        <v>0</v>
      </c>
      <c r="BX69" s="22">
        <v>0</v>
      </c>
      <c r="BY69" s="22">
        <v>1</v>
      </c>
      <c r="BZ69" s="22">
        <v>0</v>
      </c>
      <c r="CA69" s="22">
        <v>0</v>
      </c>
      <c r="CB69" s="22">
        <v>0</v>
      </c>
      <c r="CC69" s="22">
        <v>0</v>
      </c>
      <c r="CD69" s="22">
        <v>3</v>
      </c>
      <c r="CE69" s="22">
        <v>0.3</v>
      </c>
      <c r="CF69" s="22" t="s">
        <v>77</v>
      </c>
      <c r="CG69" s="20" t="s">
        <v>71</v>
      </c>
      <c r="CH69" s="20">
        <v>1.6969999999999999E-3</v>
      </c>
      <c r="CI69" s="19">
        <v>0</v>
      </c>
      <c r="CJ69" s="78">
        <v>3</v>
      </c>
      <c r="CK69" s="78" t="s">
        <v>224</v>
      </c>
      <c r="CL69" s="78" t="s">
        <v>224</v>
      </c>
      <c r="CM69" s="78">
        <v>530.14432199999999</v>
      </c>
      <c r="CN69" s="78">
        <v>1</v>
      </c>
      <c r="CO69" s="78" t="s">
        <v>224</v>
      </c>
      <c r="CP69" s="78" t="s">
        <v>224</v>
      </c>
      <c r="CQ69" s="78" t="s">
        <v>224</v>
      </c>
      <c r="CR69" s="12" t="str">
        <f>IF(COUNTIF(Incl!A:A,Raw!J69),1, "")</f>
        <v/>
      </c>
    </row>
    <row r="70" spans="1:96" ht="13.5" thickTop="1" thickBot="1" x14ac:dyDescent="0.3">
      <c r="A70" s="13">
        <v>67</v>
      </c>
      <c r="B70" s="14">
        <v>1</v>
      </c>
      <c r="C70" s="15">
        <v>518.41085799999996</v>
      </c>
      <c r="D70" s="14">
        <v>67</v>
      </c>
      <c r="E70" s="14">
        <v>1</v>
      </c>
      <c r="F70" s="14">
        <v>96</v>
      </c>
      <c r="G70" s="16">
        <v>192</v>
      </c>
      <c r="H70" s="14">
        <v>192</v>
      </c>
      <c r="I70" s="14">
        <v>192</v>
      </c>
      <c r="J70" s="14">
        <v>192</v>
      </c>
      <c r="K70" s="15" t="s">
        <v>97</v>
      </c>
      <c r="L70" s="15" t="s">
        <v>69</v>
      </c>
      <c r="M70" s="15" t="s">
        <v>95</v>
      </c>
      <c r="N70" s="17" t="s">
        <v>62</v>
      </c>
      <c r="O70" s="17" t="s">
        <v>62</v>
      </c>
      <c r="P70" s="16" t="s">
        <v>62</v>
      </c>
      <c r="Q70" s="17" t="s">
        <v>62</v>
      </c>
      <c r="R70" s="17" t="s">
        <v>62</v>
      </c>
      <c r="S70" s="17">
        <v>20</v>
      </c>
      <c r="T70" s="14">
        <v>20</v>
      </c>
      <c r="U70" s="16">
        <v>10</v>
      </c>
      <c r="V70" s="16">
        <v>11</v>
      </c>
      <c r="W70" s="16">
        <v>8</v>
      </c>
      <c r="X70" s="16">
        <v>8</v>
      </c>
      <c r="Y70" s="14">
        <v>51</v>
      </c>
      <c r="Z70" s="14">
        <v>56</v>
      </c>
      <c r="AA70" s="14">
        <v>41</v>
      </c>
      <c r="AB70" s="14">
        <v>41</v>
      </c>
      <c r="AC70" s="14">
        <v>0</v>
      </c>
      <c r="AD70" s="14">
        <v>12</v>
      </c>
      <c r="AE70" s="14">
        <v>11</v>
      </c>
      <c r="AF70" s="14">
        <v>12</v>
      </c>
      <c r="AG70" s="16">
        <v>11</v>
      </c>
      <c r="AH70" s="14">
        <v>62</v>
      </c>
      <c r="AI70" s="14">
        <v>56</v>
      </c>
      <c r="AJ70" s="14">
        <v>62</v>
      </c>
      <c r="AK70" s="14">
        <v>56</v>
      </c>
      <c r="AL70" s="14">
        <v>0</v>
      </c>
      <c r="AM70" s="17" t="s">
        <v>62</v>
      </c>
      <c r="AN70" s="17" t="s">
        <v>62</v>
      </c>
      <c r="AO70" s="17" t="s">
        <v>62</v>
      </c>
      <c r="AP70" s="17" t="s">
        <v>62</v>
      </c>
      <c r="AQ70" s="17" t="s">
        <v>62</v>
      </c>
      <c r="AR70" s="17" t="s">
        <v>62</v>
      </c>
      <c r="AS70" s="17" t="s">
        <v>62</v>
      </c>
      <c r="AT70" s="17" t="s">
        <v>62</v>
      </c>
      <c r="AU70" s="17" t="s">
        <v>62</v>
      </c>
      <c r="AV70" s="17" t="s">
        <v>62</v>
      </c>
      <c r="AW70" s="17" t="s">
        <v>62</v>
      </c>
      <c r="AX70" s="17" t="s">
        <v>62</v>
      </c>
      <c r="AY70" s="17" t="s">
        <v>62</v>
      </c>
      <c r="AZ70" s="17" t="s">
        <v>62</v>
      </c>
      <c r="BA70" s="17" t="s">
        <v>62</v>
      </c>
      <c r="BB70" s="17" t="s">
        <v>62</v>
      </c>
      <c r="BC70" s="17" t="s">
        <v>62</v>
      </c>
      <c r="BD70" s="17" t="s">
        <v>62</v>
      </c>
      <c r="BE70" s="17" t="s">
        <v>62</v>
      </c>
      <c r="BF70" s="17" t="s">
        <v>62</v>
      </c>
      <c r="BG70" s="17" t="s">
        <v>62</v>
      </c>
      <c r="BH70" s="17" t="s">
        <v>62</v>
      </c>
      <c r="BI70" s="17" t="s">
        <v>62</v>
      </c>
      <c r="BJ70" s="17" t="s">
        <v>62</v>
      </c>
      <c r="BK70" s="17" t="s">
        <v>62</v>
      </c>
      <c r="BL70" s="17" t="s">
        <v>62</v>
      </c>
      <c r="BM70" s="17" t="s">
        <v>62</v>
      </c>
      <c r="BN70" s="17" t="s">
        <v>62</v>
      </c>
      <c r="BO70" s="17" t="s">
        <v>62</v>
      </c>
      <c r="BP70" s="17" t="s">
        <v>62</v>
      </c>
      <c r="BQ70" s="17" t="s">
        <v>62</v>
      </c>
      <c r="BR70" s="17" t="s">
        <v>62</v>
      </c>
      <c r="BS70" s="17" t="s">
        <v>62</v>
      </c>
      <c r="BT70" s="17" t="s">
        <v>62</v>
      </c>
      <c r="BU70" s="17" t="s">
        <v>62</v>
      </c>
      <c r="BV70" s="17" t="s">
        <v>62</v>
      </c>
      <c r="BW70" s="17" t="s">
        <v>62</v>
      </c>
      <c r="BX70" s="17" t="s">
        <v>62</v>
      </c>
      <c r="BY70" s="17" t="s">
        <v>62</v>
      </c>
      <c r="BZ70" s="17" t="s">
        <v>62</v>
      </c>
      <c r="CA70" s="17" t="s">
        <v>62</v>
      </c>
      <c r="CB70" s="17" t="s">
        <v>62</v>
      </c>
      <c r="CC70" s="17" t="s">
        <v>62</v>
      </c>
      <c r="CD70" s="17" t="s">
        <v>62</v>
      </c>
      <c r="CE70" s="17" t="s">
        <v>62</v>
      </c>
      <c r="CF70" s="17" t="s">
        <v>62</v>
      </c>
      <c r="CG70" s="15" t="s">
        <v>64</v>
      </c>
      <c r="CH70" s="15">
        <v>1.6100000000000001E-3</v>
      </c>
      <c r="CI70" s="14">
        <v>0</v>
      </c>
      <c r="CJ70" s="79">
        <v>3</v>
      </c>
      <c r="CK70" s="79" t="s">
        <v>224</v>
      </c>
      <c r="CL70" s="79" t="s">
        <v>224</v>
      </c>
      <c r="CM70" s="79">
        <v>518.41092800000001</v>
      </c>
      <c r="CN70" s="79">
        <v>2</v>
      </c>
      <c r="CO70" s="79" t="s">
        <v>224</v>
      </c>
      <c r="CP70" s="79" t="s">
        <v>224</v>
      </c>
      <c r="CQ70" s="79" t="s">
        <v>224</v>
      </c>
      <c r="CR70" s="12" t="str">
        <f>IF(COUNTIF(Incl!A:A,Raw!J70),1, "")</f>
        <v/>
      </c>
    </row>
    <row r="71" spans="1:96" ht="13.5" thickTop="1" thickBot="1" x14ac:dyDescent="0.3">
      <c r="A71" s="18">
        <v>68</v>
      </c>
      <c r="B71" s="19">
        <v>1</v>
      </c>
      <c r="C71" s="20">
        <v>192.463279</v>
      </c>
      <c r="D71" s="19">
        <v>68</v>
      </c>
      <c r="E71" s="19">
        <v>1</v>
      </c>
      <c r="F71" s="19">
        <v>97</v>
      </c>
      <c r="G71" s="21">
        <v>173</v>
      </c>
      <c r="H71" s="19">
        <v>173</v>
      </c>
      <c r="I71" s="19">
        <v>173</v>
      </c>
      <c r="J71" s="19">
        <v>173</v>
      </c>
      <c r="K71" s="20" t="s">
        <v>89</v>
      </c>
      <c r="L71" s="20" t="s">
        <v>82</v>
      </c>
      <c r="M71" s="20" t="s">
        <v>60</v>
      </c>
      <c r="N71" s="22" t="s">
        <v>62</v>
      </c>
      <c r="O71" s="22" t="s">
        <v>62</v>
      </c>
      <c r="P71" s="21" t="s">
        <v>62</v>
      </c>
      <c r="Q71" s="22" t="s">
        <v>62</v>
      </c>
      <c r="R71" s="22" t="s">
        <v>62</v>
      </c>
      <c r="S71" s="22" t="s">
        <v>62</v>
      </c>
      <c r="T71" s="19">
        <v>0</v>
      </c>
      <c r="U71" s="21" t="s">
        <v>62</v>
      </c>
      <c r="V71" s="21" t="s">
        <v>62</v>
      </c>
      <c r="W71" s="21" t="s">
        <v>62</v>
      </c>
      <c r="X71" s="21" t="s">
        <v>62</v>
      </c>
      <c r="Y71" s="19">
        <v>0</v>
      </c>
      <c r="Z71" s="19">
        <v>0</v>
      </c>
      <c r="AA71" s="19">
        <v>0</v>
      </c>
      <c r="AB71" s="19">
        <v>0</v>
      </c>
      <c r="AC71" s="19">
        <v>0</v>
      </c>
      <c r="AD71" s="19">
        <v>0</v>
      </c>
      <c r="AE71" s="19">
        <v>0</v>
      </c>
      <c r="AF71" s="19">
        <v>0</v>
      </c>
      <c r="AG71" s="21" t="s">
        <v>62</v>
      </c>
      <c r="AH71" s="19">
        <v>0</v>
      </c>
      <c r="AI71" s="19">
        <v>0</v>
      </c>
      <c r="AJ71" s="19">
        <v>0</v>
      </c>
      <c r="AK71" s="19">
        <v>0</v>
      </c>
      <c r="AL71" s="19">
        <v>0</v>
      </c>
      <c r="AM71" s="22">
        <v>0</v>
      </c>
      <c r="AN71" s="22">
        <v>0</v>
      </c>
      <c r="AO71" s="22">
        <v>0</v>
      </c>
      <c r="AP71" s="22">
        <v>0</v>
      </c>
      <c r="AQ71" s="22">
        <v>0</v>
      </c>
      <c r="AR71" s="22">
        <v>0</v>
      </c>
      <c r="AS71" s="22">
        <v>0</v>
      </c>
      <c r="AT71" s="22">
        <v>0</v>
      </c>
      <c r="AU71" s="22">
        <v>0</v>
      </c>
      <c r="AV71" s="22">
        <v>0</v>
      </c>
      <c r="AW71" s="22">
        <v>0</v>
      </c>
      <c r="AX71" s="22">
        <v>0</v>
      </c>
      <c r="AY71" s="22">
        <v>0</v>
      </c>
      <c r="AZ71" s="22">
        <v>0</v>
      </c>
      <c r="BA71" s="22">
        <v>0</v>
      </c>
      <c r="BB71" s="22">
        <v>0</v>
      </c>
      <c r="BC71" s="22">
        <v>0</v>
      </c>
      <c r="BD71" s="22">
        <v>0</v>
      </c>
      <c r="BE71" s="22">
        <v>0</v>
      </c>
      <c r="BF71" s="22">
        <v>0</v>
      </c>
      <c r="BG71" s="22">
        <v>0</v>
      </c>
      <c r="BH71" s="22">
        <v>0</v>
      </c>
      <c r="BI71" s="22" t="s">
        <v>77</v>
      </c>
      <c r="BJ71" s="22">
        <v>0</v>
      </c>
      <c r="BK71" s="22">
        <v>0</v>
      </c>
      <c r="BL71" s="22">
        <v>0</v>
      </c>
      <c r="BM71" s="22">
        <v>0</v>
      </c>
      <c r="BN71" s="22">
        <v>0</v>
      </c>
      <c r="BO71" s="22">
        <v>0</v>
      </c>
      <c r="BP71" s="22">
        <v>0</v>
      </c>
      <c r="BQ71" s="22">
        <v>0</v>
      </c>
      <c r="BR71" s="22">
        <v>0</v>
      </c>
      <c r="BS71" s="22">
        <v>0</v>
      </c>
      <c r="BT71" s="22">
        <v>0</v>
      </c>
      <c r="BU71" s="22">
        <v>0</v>
      </c>
      <c r="BV71" s="22">
        <v>0</v>
      </c>
      <c r="BW71" s="22">
        <v>0</v>
      </c>
      <c r="BX71" s="22">
        <v>0</v>
      </c>
      <c r="BY71" s="22">
        <v>0</v>
      </c>
      <c r="BZ71" s="22">
        <v>0</v>
      </c>
      <c r="CA71" s="22">
        <v>0</v>
      </c>
      <c r="CB71" s="22">
        <v>0</v>
      </c>
      <c r="CC71" s="22">
        <v>0</v>
      </c>
      <c r="CD71" s="22">
        <v>0</v>
      </c>
      <c r="CE71" s="22">
        <v>0</v>
      </c>
      <c r="CF71" s="22" t="s">
        <v>77</v>
      </c>
      <c r="CG71" s="20" t="s">
        <v>66</v>
      </c>
      <c r="CH71" s="20">
        <v>5.9699999999999998E-4</v>
      </c>
      <c r="CI71" s="19">
        <v>0</v>
      </c>
      <c r="CJ71" s="78">
        <v>2</v>
      </c>
      <c r="CK71" s="78" t="s">
        <v>224</v>
      </c>
      <c r="CL71" s="78" t="s">
        <v>224</v>
      </c>
      <c r="CM71" s="78">
        <v>192.46342999999999</v>
      </c>
      <c r="CN71" s="78">
        <v>1</v>
      </c>
      <c r="CO71" s="78">
        <v>1</v>
      </c>
      <c r="CP71" s="78" t="s">
        <v>224</v>
      </c>
      <c r="CQ71" s="78" t="s">
        <v>224</v>
      </c>
      <c r="CR71" s="12" t="str">
        <f>IF(COUNTIF(Incl!A:A,Raw!J71),1, "")</f>
        <v/>
      </c>
    </row>
    <row r="72" spans="1:96" ht="13.5" thickTop="1" thickBot="1" x14ac:dyDescent="0.3">
      <c r="A72" s="13">
        <v>69</v>
      </c>
      <c r="B72" s="14">
        <v>1</v>
      </c>
      <c r="C72" s="15">
        <v>329.79940699999997</v>
      </c>
      <c r="D72" s="14">
        <v>69</v>
      </c>
      <c r="E72" s="14">
        <v>1</v>
      </c>
      <c r="F72" s="14">
        <v>98</v>
      </c>
      <c r="G72" s="16">
        <v>80</v>
      </c>
      <c r="H72" s="14">
        <v>80</v>
      </c>
      <c r="I72" s="14">
        <v>80</v>
      </c>
      <c r="J72" s="14">
        <v>80</v>
      </c>
      <c r="K72" s="15" t="s">
        <v>82</v>
      </c>
      <c r="L72" s="15" t="s">
        <v>89</v>
      </c>
      <c r="M72" s="15" t="s">
        <v>88</v>
      </c>
      <c r="N72" s="17">
        <v>19</v>
      </c>
      <c r="O72" s="17" t="s">
        <v>62</v>
      </c>
      <c r="P72" s="16" t="s">
        <v>62</v>
      </c>
      <c r="Q72" s="17">
        <v>2</v>
      </c>
      <c r="R72" s="17" t="s">
        <v>62</v>
      </c>
      <c r="S72" s="17" t="s">
        <v>62</v>
      </c>
      <c r="T72" s="14">
        <v>21</v>
      </c>
      <c r="U72" s="16">
        <v>20</v>
      </c>
      <c r="V72" s="16">
        <v>19</v>
      </c>
      <c r="W72" s="16">
        <v>20</v>
      </c>
      <c r="X72" s="16" t="s">
        <v>62</v>
      </c>
      <c r="Y72" s="14">
        <v>95</v>
      </c>
      <c r="Z72" s="14">
        <v>90</v>
      </c>
      <c r="AA72" s="14">
        <v>95</v>
      </c>
      <c r="AB72" s="14">
        <v>0</v>
      </c>
      <c r="AC72" s="14">
        <v>3</v>
      </c>
      <c r="AD72" s="14">
        <v>17</v>
      </c>
      <c r="AE72" s="14">
        <v>19</v>
      </c>
      <c r="AF72" s="14">
        <v>19</v>
      </c>
      <c r="AG72" s="16" t="s">
        <v>62</v>
      </c>
      <c r="AH72" s="14">
        <v>81</v>
      </c>
      <c r="AI72" s="14">
        <v>90</v>
      </c>
      <c r="AJ72" s="14">
        <v>90</v>
      </c>
      <c r="AK72" s="14">
        <v>0</v>
      </c>
      <c r="AL72" s="14">
        <v>3</v>
      </c>
      <c r="AM72" s="17">
        <v>20</v>
      </c>
      <c r="AN72" s="17">
        <v>19</v>
      </c>
      <c r="AO72" s="17">
        <v>18</v>
      </c>
      <c r="AP72" s="17">
        <v>20</v>
      </c>
      <c r="AQ72" s="17">
        <v>19</v>
      </c>
      <c r="AR72" s="17">
        <v>16</v>
      </c>
      <c r="AS72" s="17">
        <v>19</v>
      </c>
      <c r="AT72" s="17">
        <v>18</v>
      </c>
      <c r="AU72" s="17">
        <v>20</v>
      </c>
      <c r="AV72" s="17">
        <v>16</v>
      </c>
      <c r="AW72" s="17">
        <v>102</v>
      </c>
      <c r="AX72" s="17">
        <v>28</v>
      </c>
      <c r="AY72" s="17">
        <v>2</v>
      </c>
      <c r="AZ72" s="17">
        <v>0</v>
      </c>
      <c r="BA72" s="17">
        <v>1</v>
      </c>
      <c r="BB72" s="17">
        <v>1</v>
      </c>
      <c r="BC72" s="17">
        <v>0</v>
      </c>
      <c r="BD72" s="17">
        <v>0</v>
      </c>
      <c r="BE72" s="17">
        <v>0</v>
      </c>
      <c r="BF72" s="17">
        <v>1</v>
      </c>
      <c r="BG72" s="17">
        <v>135</v>
      </c>
      <c r="BH72" s="17">
        <v>6.4</v>
      </c>
      <c r="BI72" s="17" t="s">
        <v>99</v>
      </c>
      <c r="BJ72" s="17">
        <v>17</v>
      </c>
      <c r="BK72" s="17">
        <v>19</v>
      </c>
      <c r="BL72" s="17">
        <v>16</v>
      </c>
      <c r="BM72" s="17">
        <v>16</v>
      </c>
      <c r="BN72" s="17">
        <v>19</v>
      </c>
      <c r="BO72" s="17">
        <v>21</v>
      </c>
      <c r="BP72" s="17">
        <v>21</v>
      </c>
      <c r="BQ72" s="17">
        <v>21</v>
      </c>
      <c r="BR72" s="17">
        <v>19</v>
      </c>
      <c r="BS72" s="17">
        <v>21</v>
      </c>
      <c r="BT72" s="17">
        <v>86</v>
      </c>
      <c r="BU72" s="17">
        <v>34</v>
      </c>
      <c r="BV72" s="17">
        <v>12</v>
      </c>
      <c r="BW72" s="17">
        <v>0</v>
      </c>
      <c r="BX72" s="17">
        <v>0</v>
      </c>
      <c r="BY72" s="17">
        <v>0</v>
      </c>
      <c r="BZ72" s="17">
        <v>0</v>
      </c>
      <c r="CA72" s="17">
        <v>0</v>
      </c>
      <c r="CB72" s="17">
        <v>0</v>
      </c>
      <c r="CC72" s="17">
        <v>0</v>
      </c>
      <c r="CD72" s="17">
        <v>132</v>
      </c>
      <c r="CE72" s="17">
        <v>6.3</v>
      </c>
      <c r="CF72" s="17" t="s">
        <v>99</v>
      </c>
      <c r="CG72" s="15" t="s">
        <v>71</v>
      </c>
      <c r="CH72" s="15">
        <v>1.0319999999999999E-3</v>
      </c>
      <c r="CI72" s="14">
        <v>6</v>
      </c>
      <c r="CJ72" s="79">
        <v>1</v>
      </c>
      <c r="CK72" s="79">
        <v>1</v>
      </c>
      <c r="CL72" s="79">
        <v>1</v>
      </c>
      <c r="CM72" s="79">
        <v>329.79940800000003</v>
      </c>
      <c r="CN72" s="79">
        <v>1</v>
      </c>
      <c r="CO72" s="79">
        <v>1</v>
      </c>
      <c r="CP72" s="79" t="s">
        <v>224</v>
      </c>
      <c r="CQ72" s="79" t="s">
        <v>224</v>
      </c>
      <c r="CR72" s="12">
        <f>IF(COUNTIF(Incl!A:A,Raw!J72),1, "")</f>
        <v>1</v>
      </c>
    </row>
    <row r="73" spans="1:96" ht="13.5" thickTop="1" thickBot="1" x14ac:dyDescent="0.3">
      <c r="A73" s="18">
        <v>70</v>
      </c>
      <c r="B73" s="19">
        <v>1</v>
      </c>
      <c r="C73" s="20">
        <v>327.59974199999999</v>
      </c>
      <c r="D73" s="19">
        <v>70</v>
      </c>
      <c r="E73" s="19">
        <v>1</v>
      </c>
      <c r="F73" s="19">
        <v>99</v>
      </c>
      <c r="G73" s="21">
        <v>81</v>
      </c>
      <c r="H73" s="19">
        <v>81</v>
      </c>
      <c r="I73" s="19">
        <v>81</v>
      </c>
      <c r="J73" s="19">
        <v>81</v>
      </c>
      <c r="K73" s="20" t="s">
        <v>82</v>
      </c>
      <c r="L73" s="20" t="s">
        <v>100</v>
      </c>
      <c r="M73" s="20" t="s">
        <v>89</v>
      </c>
      <c r="N73" s="22">
        <v>18</v>
      </c>
      <c r="O73" s="22" t="s">
        <v>62</v>
      </c>
      <c r="P73" s="21" t="s">
        <v>62</v>
      </c>
      <c r="Q73" s="22" t="s">
        <v>62</v>
      </c>
      <c r="R73" s="22" t="s">
        <v>62</v>
      </c>
      <c r="S73" s="22" t="s">
        <v>62</v>
      </c>
      <c r="T73" s="19">
        <v>18</v>
      </c>
      <c r="U73" s="21">
        <v>10</v>
      </c>
      <c r="V73" s="21">
        <v>11</v>
      </c>
      <c r="W73" s="21">
        <v>9</v>
      </c>
      <c r="X73" s="21" t="s">
        <v>62</v>
      </c>
      <c r="Y73" s="19">
        <v>56</v>
      </c>
      <c r="Z73" s="19">
        <v>61</v>
      </c>
      <c r="AA73" s="19">
        <v>50</v>
      </c>
      <c r="AB73" s="19">
        <v>0</v>
      </c>
      <c r="AC73" s="19">
        <v>0</v>
      </c>
      <c r="AD73" s="19">
        <v>9</v>
      </c>
      <c r="AE73" s="19">
        <v>18</v>
      </c>
      <c r="AF73" s="19">
        <v>13</v>
      </c>
      <c r="AG73" s="21" t="s">
        <v>62</v>
      </c>
      <c r="AH73" s="19">
        <v>50</v>
      </c>
      <c r="AI73" s="19">
        <v>100</v>
      </c>
      <c r="AJ73" s="19">
        <v>72</v>
      </c>
      <c r="AK73" s="19">
        <v>0</v>
      </c>
      <c r="AL73" s="19">
        <v>1</v>
      </c>
      <c r="AM73" s="22">
        <v>10</v>
      </c>
      <c r="AN73" s="22">
        <v>11</v>
      </c>
      <c r="AO73" s="22">
        <v>9</v>
      </c>
      <c r="AP73" s="22">
        <v>9</v>
      </c>
      <c r="AQ73" s="22">
        <v>11</v>
      </c>
      <c r="AR73" s="22">
        <v>11</v>
      </c>
      <c r="AS73" s="22">
        <v>7</v>
      </c>
      <c r="AT73" s="22">
        <v>10</v>
      </c>
      <c r="AU73" s="22">
        <v>9</v>
      </c>
      <c r="AV73" s="22">
        <v>9</v>
      </c>
      <c r="AW73" s="22">
        <v>62</v>
      </c>
      <c r="AX73" s="22">
        <v>10</v>
      </c>
      <c r="AY73" s="22">
        <v>1</v>
      </c>
      <c r="AZ73" s="22">
        <v>0</v>
      </c>
      <c r="BA73" s="22">
        <v>1</v>
      </c>
      <c r="BB73" s="22">
        <v>1</v>
      </c>
      <c r="BC73" s="22">
        <v>0</v>
      </c>
      <c r="BD73" s="22">
        <v>0</v>
      </c>
      <c r="BE73" s="22">
        <v>0</v>
      </c>
      <c r="BF73" s="22">
        <v>0</v>
      </c>
      <c r="BG73" s="22">
        <v>75</v>
      </c>
      <c r="BH73" s="22">
        <v>4.2</v>
      </c>
      <c r="BI73" s="22" t="s">
        <v>67</v>
      </c>
      <c r="BJ73" s="22">
        <v>9</v>
      </c>
      <c r="BK73" s="22">
        <v>12</v>
      </c>
      <c r="BL73" s="22">
        <v>10</v>
      </c>
      <c r="BM73" s="22">
        <v>10</v>
      </c>
      <c r="BN73" s="22">
        <v>18</v>
      </c>
      <c r="BO73" s="22">
        <v>14</v>
      </c>
      <c r="BP73" s="22">
        <v>14</v>
      </c>
      <c r="BQ73" s="22">
        <v>16</v>
      </c>
      <c r="BR73" s="22">
        <v>13</v>
      </c>
      <c r="BS73" s="22">
        <v>11</v>
      </c>
      <c r="BT73" s="22">
        <v>47</v>
      </c>
      <c r="BU73" s="22">
        <v>22</v>
      </c>
      <c r="BV73" s="22">
        <v>9</v>
      </c>
      <c r="BW73" s="22">
        <v>1</v>
      </c>
      <c r="BX73" s="22">
        <v>1</v>
      </c>
      <c r="BY73" s="22">
        <v>0</v>
      </c>
      <c r="BZ73" s="22">
        <v>0</v>
      </c>
      <c r="CA73" s="22">
        <v>0</v>
      </c>
      <c r="CB73" s="22">
        <v>0</v>
      </c>
      <c r="CC73" s="22">
        <v>0</v>
      </c>
      <c r="CD73" s="22">
        <v>80</v>
      </c>
      <c r="CE73" s="22">
        <v>4.4000000000000004</v>
      </c>
      <c r="CF73" s="22" t="s">
        <v>67</v>
      </c>
      <c r="CG73" s="20" t="s">
        <v>74</v>
      </c>
      <c r="CH73" s="20">
        <v>1.023E-3</v>
      </c>
      <c r="CI73" s="19">
        <v>1</v>
      </c>
      <c r="CJ73" s="78">
        <v>1</v>
      </c>
      <c r="CK73" s="78">
        <v>1</v>
      </c>
      <c r="CL73" s="78">
        <v>1</v>
      </c>
      <c r="CM73" s="78">
        <v>327.599873</v>
      </c>
      <c r="CN73" s="78">
        <v>1</v>
      </c>
      <c r="CO73" s="78">
        <v>1</v>
      </c>
      <c r="CP73" s="78" t="s">
        <v>224</v>
      </c>
      <c r="CQ73" s="78" t="s">
        <v>224</v>
      </c>
      <c r="CR73" s="12">
        <f>IF(COUNTIF(Incl!A:A,Raw!J73),1, "")</f>
        <v>1</v>
      </c>
    </row>
    <row r="74" spans="1:96" ht="13.5" thickTop="1" thickBot="1" x14ac:dyDescent="0.3">
      <c r="A74" s="18">
        <v>71</v>
      </c>
      <c r="B74" s="19">
        <v>1</v>
      </c>
      <c r="C74" s="20">
        <v>327.52222699999999</v>
      </c>
      <c r="D74" s="19">
        <v>71</v>
      </c>
      <c r="E74" s="19">
        <v>1</v>
      </c>
      <c r="F74" s="19">
        <v>100</v>
      </c>
      <c r="G74" s="21">
        <v>82</v>
      </c>
      <c r="H74" s="19">
        <v>82</v>
      </c>
      <c r="I74" s="19">
        <v>82</v>
      </c>
      <c r="J74" s="19">
        <v>82</v>
      </c>
      <c r="K74" s="20" t="s">
        <v>82</v>
      </c>
      <c r="L74" s="20" t="s">
        <v>88</v>
      </c>
      <c r="M74" s="20" t="s">
        <v>101</v>
      </c>
      <c r="N74" s="22">
        <v>9</v>
      </c>
      <c r="O74" s="22" t="s">
        <v>62</v>
      </c>
      <c r="P74" s="21" t="s">
        <v>62</v>
      </c>
      <c r="Q74" s="22" t="s">
        <v>62</v>
      </c>
      <c r="R74" s="22" t="s">
        <v>62</v>
      </c>
      <c r="S74" s="22" t="s">
        <v>62</v>
      </c>
      <c r="T74" s="19">
        <v>9</v>
      </c>
      <c r="U74" s="21">
        <v>9</v>
      </c>
      <c r="V74" s="21">
        <v>8</v>
      </c>
      <c r="W74" s="21">
        <v>9</v>
      </c>
      <c r="X74" s="21" t="s">
        <v>62</v>
      </c>
      <c r="Y74" s="19">
        <v>100</v>
      </c>
      <c r="Z74" s="19">
        <v>89</v>
      </c>
      <c r="AA74" s="19">
        <v>100</v>
      </c>
      <c r="AB74" s="19">
        <v>0</v>
      </c>
      <c r="AC74" s="19">
        <v>3</v>
      </c>
      <c r="AD74" s="19">
        <v>0</v>
      </c>
      <c r="AE74" s="19">
        <v>8</v>
      </c>
      <c r="AF74" s="19">
        <v>9</v>
      </c>
      <c r="AG74" s="21" t="s">
        <v>62</v>
      </c>
      <c r="AH74" s="19">
        <v>0</v>
      </c>
      <c r="AI74" s="19">
        <v>89</v>
      </c>
      <c r="AJ74" s="19">
        <v>100</v>
      </c>
      <c r="AK74" s="19">
        <v>0</v>
      </c>
      <c r="AL74" s="19">
        <v>2</v>
      </c>
      <c r="AM74" s="22">
        <v>9</v>
      </c>
      <c r="AN74" s="22">
        <v>9</v>
      </c>
      <c r="AO74" s="22">
        <v>8</v>
      </c>
      <c r="AP74" s="22">
        <v>8</v>
      </c>
      <c r="AQ74" s="22">
        <v>8</v>
      </c>
      <c r="AR74" s="22">
        <v>8</v>
      </c>
      <c r="AS74" s="22">
        <v>9</v>
      </c>
      <c r="AT74" s="22">
        <v>8</v>
      </c>
      <c r="AU74" s="22">
        <v>9</v>
      </c>
      <c r="AV74" s="22">
        <v>9</v>
      </c>
      <c r="AW74" s="22">
        <v>74</v>
      </c>
      <c r="AX74" s="22">
        <v>4</v>
      </c>
      <c r="AY74" s="22">
        <v>1</v>
      </c>
      <c r="AZ74" s="22">
        <v>0</v>
      </c>
      <c r="BA74" s="22">
        <v>0</v>
      </c>
      <c r="BB74" s="22">
        <v>0</v>
      </c>
      <c r="BC74" s="22">
        <v>0</v>
      </c>
      <c r="BD74" s="22">
        <v>0</v>
      </c>
      <c r="BE74" s="22">
        <v>0</v>
      </c>
      <c r="BF74" s="22">
        <v>0</v>
      </c>
      <c r="BG74" s="22">
        <v>79</v>
      </c>
      <c r="BH74" s="22">
        <v>8.8000000000000007</v>
      </c>
      <c r="BI74" s="22" t="s">
        <v>99</v>
      </c>
      <c r="BJ74" s="22">
        <v>0</v>
      </c>
      <c r="BK74" s="22">
        <v>2</v>
      </c>
      <c r="BL74" s="22">
        <v>7</v>
      </c>
      <c r="BM74" s="22">
        <v>9</v>
      </c>
      <c r="BN74" s="22">
        <v>8</v>
      </c>
      <c r="BO74" s="22">
        <v>8</v>
      </c>
      <c r="BP74" s="22">
        <v>9</v>
      </c>
      <c r="BQ74" s="22">
        <v>9</v>
      </c>
      <c r="BR74" s="22">
        <v>9</v>
      </c>
      <c r="BS74" s="22">
        <v>9</v>
      </c>
      <c r="BT74" s="22">
        <v>36</v>
      </c>
      <c r="BU74" s="22">
        <v>1</v>
      </c>
      <c r="BV74" s="22">
        <v>2</v>
      </c>
      <c r="BW74" s="22">
        <v>4</v>
      </c>
      <c r="BX74" s="22">
        <v>2</v>
      </c>
      <c r="BY74" s="22">
        <v>0</v>
      </c>
      <c r="BZ74" s="22">
        <v>0</v>
      </c>
      <c r="CA74" s="22">
        <v>0</v>
      </c>
      <c r="CB74" s="22">
        <v>0</v>
      </c>
      <c r="CC74" s="22">
        <v>0</v>
      </c>
      <c r="CD74" s="22">
        <v>45</v>
      </c>
      <c r="CE74" s="22">
        <v>5</v>
      </c>
      <c r="CF74" s="22" t="s">
        <v>67</v>
      </c>
      <c r="CG74" s="20" t="s">
        <v>71</v>
      </c>
      <c r="CH74" s="20">
        <v>1.026E-3</v>
      </c>
      <c r="CI74" s="19">
        <v>5</v>
      </c>
      <c r="CJ74" s="78">
        <v>1</v>
      </c>
      <c r="CK74" s="78">
        <v>1</v>
      </c>
      <c r="CL74" s="78">
        <v>1</v>
      </c>
      <c r="CM74" s="78">
        <v>327.52223300000003</v>
      </c>
      <c r="CN74" s="78">
        <v>1</v>
      </c>
      <c r="CO74" s="78">
        <v>1</v>
      </c>
      <c r="CP74" s="78" t="s">
        <v>224</v>
      </c>
      <c r="CQ74" s="78" t="s">
        <v>224</v>
      </c>
      <c r="CR74" s="12">
        <f>IF(COUNTIF(Incl!A:A,Raw!J74),1, "")</f>
        <v>1</v>
      </c>
    </row>
    <row r="75" spans="1:96" ht="13.5" thickTop="1" thickBot="1" x14ac:dyDescent="0.3">
      <c r="A75" s="18">
        <v>72</v>
      </c>
      <c r="B75" s="19">
        <v>1</v>
      </c>
      <c r="C75" s="20">
        <v>358.36584099999999</v>
      </c>
      <c r="D75" s="19">
        <v>72</v>
      </c>
      <c r="E75" s="19">
        <v>1</v>
      </c>
      <c r="F75" s="19">
        <v>101</v>
      </c>
      <c r="G75" s="21">
        <v>83</v>
      </c>
      <c r="H75" s="19">
        <v>83</v>
      </c>
      <c r="I75" s="19">
        <v>83</v>
      </c>
      <c r="J75" s="19">
        <v>83</v>
      </c>
      <c r="K75" s="20" t="s">
        <v>82</v>
      </c>
      <c r="L75" s="20" t="s">
        <v>101</v>
      </c>
      <c r="M75" s="20" t="s">
        <v>100</v>
      </c>
      <c r="N75" s="22">
        <v>22</v>
      </c>
      <c r="O75" s="22" t="s">
        <v>62</v>
      </c>
      <c r="P75" s="21" t="s">
        <v>62</v>
      </c>
      <c r="Q75" s="22">
        <v>2</v>
      </c>
      <c r="R75" s="21" t="s">
        <v>62</v>
      </c>
      <c r="S75" s="22" t="s">
        <v>62</v>
      </c>
      <c r="T75" s="19">
        <v>24</v>
      </c>
      <c r="U75" s="21">
        <v>13</v>
      </c>
      <c r="V75" s="21">
        <v>9</v>
      </c>
      <c r="W75" s="21">
        <v>10</v>
      </c>
      <c r="X75" s="21" t="s">
        <v>62</v>
      </c>
      <c r="Y75" s="19">
        <v>54</v>
      </c>
      <c r="Z75" s="19">
        <v>38</v>
      </c>
      <c r="AA75" s="19">
        <v>42</v>
      </c>
      <c r="AB75" s="19">
        <v>0</v>
      </c>
      <c r="AC75" s="19">
        <v>0</v>
      </c>
      <c r="AD75" s="19">
        <v>8</v>
      </c>
      <c r="AE75" s="19">
        <v>11</v>
      </c>
      <c r="AF75" s="19">
        <v>13</v>
      </c>
      <c r="AG75" s="21" t="s">
        <v>62</v>
      </c>
      <c r="AH75" s="19">
        <v>33</v>
      </c>
      <c r="AI75" s="19">
        <v>46</v>
      </c>
      <c r="AJ75" s="19">
        <v>54</v>
      </c>
      <c r="AK75" s="19">
        <v>0</v>
      </c>
      <c r="AL75" s="19">
        <v>0</v>
      </c>
      <c r="AM75" s="22">
        <v>13</v>
      </c>
      <c r="AN75" s="22">
        <v>20</v>
      </c>
      <c r="AO75" s="22">
        <v>19</v>
      </c>
      <c r="AP75" s="22">
        <v>17</v>
      </c>
      <c r="AQ75" s="22">
        <v>9</v>
      </c>
      <c r="AR75" s="22">
        <v>16</v>
      </c>
      <c r="AS75" s="22">
        <v>12</v>
      </c>
      <c r="AT75" s="22">
        <v>18</v>
      </c>
      <c r="AU75" s="22">
        <v>10</v>
      </c>
      <c r="AV75" s="22">
        <v>10</v>
      </c>
      <c r="AW75" s="22">
        <v>117</v>
      </c>
      <c r="AX75" s="22">
        <v>8</v>
      </c>
      <c r="AY75" s="22">
        <v>1</v>
      </c>
      <c r="AZ75" s="22">
        <v>0</v>
      </c>
      <c r="BA75" s="22">
        <v>0</v>
      </c>
      <c r="BB75" s="22">
        <v>0</v>
      </c>
      <c r="BC75" s="22">
        <v>0</v>
      </c>
      <c r="BD75" s="22">
        <v>1</v>
      </c>
      <c r="BE75" s="22">
        <v>0</v>
      </c>
      <c r="BF75" s="22">
        <v>0</v>
      </c>
      <c r="BG75" s="22">
        <v>127</v>
      </c>
      <c r="BH75" s="22">
        <v>5.3</v>
      </c>
      <c r="BI75" s="22" t="s">
        <v>102</v>
      </c>
      <c r="BJ75" s="22">
        <v>8</v>
      </c>
      <c r="BK75" s="22">
        <v>10</v>
      </c>
      <c r="BL75" s="22">
        <v>10</v>
      </c>
      <c r="BM75" s="22">
        <v>13</v>
      </c>
      <c r="BN75" s="22">
        <v>11</v>
      </c>
      <c r="BO75" s="22">
        <v>14</v>
      </c>
      <c r="BP75" s="22">
        <v>12</v>
      </c>
      <c r="BQ75" s="22">
        <v>9</v>
      </c>
      <c r="BR75" s="22">
        <v>13</v>
      </c>
      <c r="BS75" s="22">
        <v>10</v>
      </c>
      <c r="BT75" s="22">
        <v>75</v>
      </c>
      <c r="BU75" s="22">
        <v>16</v>
      </c>
      <c r="BV75" s="22">
        <v>1</v>
      </c>
      <c r="BW75" s="22">
        <v>0</v>
      </c>
      <c r="BX75" s="22">
        <v>0</v>
      </c>
      <c r="BY75" s="22">
        <v>0</v>
      </c>
      <c r="BZ75" s="22">
        <v>0</v>
      </c>
      <c r="CA75" s="22">
        <v>0</v>
      </c>
      <c r="CB75" s="22">
        <v>0</v>
      </c>
      <c r="CC75" s="22">
        <v>0</v>
      </c>
      <c r="CD75" s="22">
        <v>92</v>
      </c>
      <c r="CE75" s="22">
        <v>3.8</v>
      </c>
      <c r="CF75" s="22" t="s">
        <v>65</v>
      </c>
      <c r="CG75" s="20" t="s">
        <v>74</v>
      </c>
      <c r="CH75" s="20">
        <v>1.1410000000000001E-3</v>
      </c>
      <c r="CI75" s="19">
        <v>0</v>
      </c>
      <c r="CJ75" s="78">
        <v>1</v>
      </c>
      <c r="CK75" s="78">
        <v>1</v>
      </c>
      <c r="CL75" s="78">
        <v>1</v>
      </c>
      <c r="CM75" s="78">
        <v>362.53241700000001</v>
      </c>
      <c r="CN75" s="78">
        <v>1</v>
      </c>
      <c r="CO75" s="78">
        <v>1</v>
      </c>
      <c r="CP75" s="78" t="s">
        <v>224</v>
      </c>
      <c r="CQ75" s="78" t="s">
        <v>224</v>
      </c>
      <c r="CR75" s="12">
        <f>IF(COUNTIF(Incl!A:A,Raw!J75),1, "")</f>
        <v>1</v>
      </c>
    </row>
    <row r="76" spans="1:96" ht="13.5" thickTop="1" thickBot="1" x14ac:dyDescent="0.3">
      <c r="A76" s="13">
        <v>73</v>
      </c>
      <c r="B76" s="14">
        <v>1</v>
      </c>
      <c r="C76" s="15">
        <v>277.06534799999997</v>
      </c>
      <c r="D76" s="14">
        <v>73</v>
      </c>
      <c r="E76" s="14">
        <v>1</v>
      </c>
      <c r="F76" s="14">
        <v>102</v>
      </c>
      <c r="G76" s="16">
        <v>84</v>
      </c>
      <c r="H76" s="14">
        <v>84</v>
      </c>
      <c r="I76" s="14">
        <v>84</v>
      </c>
      <c r="J76" s="14">
        <v>84</v>
      </c>
      <c r="K76" s="15" t="s">
        <v>82</v>
      </c>
      <c r="L76" s="15" t="s">
        <v>100</v>
      </c>
      <c r="M76" s="15" t="s">
        <v>97</v>
      </c>
      <c r="N76" s="17">
        <v>18</v>
      </c>
      <c r="O76" s="17" t="s">
        <v>62</v>
      </c>
      <c r="P76" s="16" t="s">
        <v>62</v>
      </c>
      <c r="Q76" s="17">
        <v>1</v>
      </c>
      <c r="R76" s="17" t="s">
        <v>62</v>
      </c>
      <c r="S76" s="17" t="s">
        <v>62</v>
      </c>
      <c r="T76" s="14">
        <v>19</v>
      </c>
      <c r="U76" s="16">
        <v>19</v>
      </c>
      <c r="V76" s="16">
        <v>14</v>
      </c>
      <c r="W76" s="16">
        <v>17</v>
      </c>
      <c r="X76" s="16" t="s">
        <v>62</v>
      </c>
      <c r="Y76" s="14">
        <v>100</v>
      </c>
      <c r="Z76" s="14">
        <v>74</v>
      </c>
      <c r="AA76" s="14">
        <v>89</v>
      </c>
      <c r="AB76" s="14">
        <v>0</v>
      </c>
      <c r="AC76" s="14">
        <v>2</v>
      </c>
      <c r="AD76" s="14">
        <v>9</v>
      </c>
      <c r="AE76" s="14">
        <v>14</v>
      </c>
      <c r="AF76" s="14">
        <v>16</v>
      </c>
      <c r="AG76" s="16" t="s">
        <v>62</v>
      </c>
      <c r="AH76" s="14">
        <v>47</v>
      </c>
      <c r="AI76" s="14">
        <v>74</v>
      </c>
      <c r="AJ76" s="14">
        <v>84</v>
      </c>
      <c r="AK76" s="14">
        <v>0</v>
      </c>
      <c r="AL76" s="14">
        <v>1</v>
      </c>
      <c r="AM76" s="17">
        <v>19</v>
      </c>
      <c r="AN76" s="17">
        <v>19</v>
      </c>
      <c r="AO76" s="17">
        <v>19</v>
      </c>
      <c r="AP76" s="17">
        <v>19</v>
      </c>
      <c r="AQ76" s="17">
        <v>14</v>
      </c>
      <c r="AR76" s="17">
        <v>19</v>
      </c>
      <c r="AS76" s="17">
        <v>17</v>
      </c>
      <c r="AT76" s="17">
        <v>14</v>
      </c>
      <c r="AU76" s="17">
        <v>17</v>
      </c>
      <c r="AV76" s="17">
        <v>9</v>
      </c>
      <c r="AW76" s="17">
        <v>148</v>
      </c>
      <c r="AX76" s="17">
        <v>6</v>
      </c>
      <c r="AY76" s="17">
        <v>2</v>
      </c>
      <c r="AZ76" s="17">
        <v>0</v>
      </c>
      <c r="BA76" s="17">
        <v>0</v>
      </c>
      <c r="BB76" s="17">
        <v>0</v>
      </c>
      <c r="BC76" s="17">
        <v>0</v>
      </c>
      <c r="BD76" s="17">
        <v>0</v>
      </c>
      <c r="BE76" s="17">
        <v>0</v>
      </c>
      <c r="BF76" s="17">
        <v>0</v>
      </c>
      <c r="BG76" s="17">
        <v>156</v>
      </c>
      <c r="BH76" s="17">
        <v>8.1999999999999993</v>
      </c>
      <c r="BI76" s="17" t="s">
        <v>99</v>
      </c>
      <c r="BJ76" s="17">
        <v>9</v>
      </c>
      <c r="BK76" s="17">
        <v>14</v>
      </c>
      <c r="BL76" s="17">
        <v>17</v>
      </c>
      <c r="BM76" s="17">
        <v>16</v>
      </c>
      <c r="BN76" s="17">
        <v>14</v>
      </c>
      <c r="BO76" s="17">
        <v>13</v>
      </c>
      <c r="BP76" s="17">
        <v>12</v>
      </c>
      <c r="BQ76" s="17">
        <v>16</v>
      </c>
      <c r="BR76" s="17">
        <v>16</v>
      </c>
      <c r="BS76" s="17">
        <v>17</v>
      </c>
      <c r="BT76" s="17">
        <v>52</v>
      </c>
      <c r="BU76" s="17">
        <v>8</v>
      </c>
      <c r="BV76" s="17">
        <v>1</v>
      </c>
      <c r="BW76" s="17">
        <v>12</v>
      </c>
      <c r="BX76" s="17">
        <v>2</v>
      </c>
      <c r="BY76" s="17">
        <v>1</v>
      </c>
      <c r="BZ76" s="17">
        <v>0</v>
      </c>
      <c r="CA76" s="17">
        <v>0</v>
      </c>
      <c r="CB76" s="17">
        <v>1</v>
      </c>
      <c r="CC76" s="17">
        <v>0</v>
      </c>
      <c r="CD76" s="17">
        <v>77</v>
      </c>
      <c r="CE76" s="17">
        <v>4.0999999999999996</v>
      </c>
      <c r="CF76" s="17" t="s">
        <v>67</v>
      </c>
      <c r="CG76" s="15" t="s">
        <v>71</v>
      </c>
      <c r="CH76" s="15">
        <v>1.6130000000000001E-3</v>
      </c>
      <c r="CI76" s="14">
        <v>3</v>
      </c>
      <c r="CJ76" s="79">
        <v>1</v>
      </c>
      <c r="CK76" s="79">
        <v>1</v>
      </c>
      <c r="CL76" s="79">
        <v>1</v>
      </c>
      <c r="CM76" s="79">
        <v>513.86636899999996</v>
      </c>
      <c r="CN76" s="79">
        <v>1</v>
      </c>
      <c r="CO76" s="79">
        <v>1</v>
      </c>
      <c r="CP76" s="79" t="s">
        <v>224</v>
      </c>
      <c r="CQ76" s="79" t="s">
        <v>224</v>
      </c>
      <c r="CR76" s="12">
        <f>IF(COUNTIF(Incl!A:A,Raw!J76),1, "")</f>
        <v>1</v>
      </c>
    </row>
    <row r="77" spans="1:96" ht="13.5" thickTop="1" thickBot="1" x14ac:dyDescent="0.3">
      <c r="A77" s="13">
        <v>74</v>
      </c>
      <c r="B77" s="14">
        <v>1</v>
      </c>
      <c r="C77" s="15">
        <v>229.821674</v>
      </c>
      <c r="D77" s="14">
        <v>74</v>
      </c>
      <c r="E77" s="14">
        <v>1</v>
      </c>
      <c r="F77" s="14">
        <v>103</v>
      </c>
      <c r="G77" s="16">
        <v>85</v>
      </c>
      <c r="H77" s="14">
        <v>85</v>
      </c>
      <c r="I77" s="14">
        <v>85</v>
      </c>
      <c r="J77" s="14">
        <v>85</v>
      </c>
      <c r="K77" s="15" t="s">
        <v>82</v>
      </c>
      <c r="L77" s="15" t="s">
        <v>97</v>
      </c>
      <c r="M77" s="15" t="s">
        <v>101</v>
      </c>
      <c r="N77" s="17">
        <v>24</v>
      </c>
      <c r="O77" s="17" t="s">
        <v>62</v>
      </c>
      <c r="P77" s="16" t="s">
        <v>62</v>
      </c>
      <c r="Q77" s="16">
        <v>2</v>
      </c>
      <c r="R77" s="16" t="s">
        <v>62</v>
      </c>
      <c r="S77" s="17" t="s">
        <v>62</v>
      </c>
      <c r="T77" s="14">
        <v>26</v>
      </c>
      <c r="U77" s="16">
        <v>25</v>
      </c>
      <c r="V77" s="16">
        <v>23</v>
      </c>
      <c r="W77" s="16">
        <v>18</v>
      </c>
      <c r="X77" s="17" t="s">
        <v>62</v>
      </c>
      <c r="Y77" s="14">
        <v>96</v>
      </c>
      <c r="Z77" s="14">
        <v>88</v>
      </c>
      <c r="AA77" s="14">
        <v>69</v>
      </c>
      <c r="AB77" s="14">
        <v>0</v>
      </c>
      <c r="AC77" s="14">
        <v>2</v>
      </c>
      <c r="AD77" s="14">
        <v>15</v>
      </c>
      <c r="AE77" s="14">
        <v>18</v>
      </c>
      <c r="AF77" s="14">
        <v>17</v>
      </c>
      <c r="AG77" s="17" t="s">
        <v>62</v>
      </c>
      <c r="AH77" s="14">
        <v>58</v>
      </c>
      <c r="AI77" s="14">
        <v>69</v>
      </c>
      <c r="AJ77" s="14">
        <v>65</v>
      </c>
      <c r="AK77" s="14">
        <v>0</v>
      </c>
      <c r="AL77" s="14">
        <v>0</v>
      </c>
      <c r="AM77" s="16">
        <v>25</v>
      </c>
      <c r="AN77" s="16">
        <v>24</v>
      </c>
      <c r="AO77" s="16">
        <v>23</v>
      </c>
      <c r="AP77" s="16">
        <v>22</v>
      </c>
      <c r="AQ77" s="16">
        <v>23</v>
      </c>
      <c r="AR77" s="16">
        <v>24</v>
      </c>
      <c r="AS77" s="16">
        <v>20</v>
      </c>
      <c r="AT77" s="16">
        <v>17</v>
      </c>
      <c r="AU77" s="16">
        <v>18</v>
      </c>
      <c r="AV77" s="16">
        <v>13</v>
      </c>
      <c r="AW77" s="16">
        <v>168</v>
      </c>
      <c r="AX77" s="16">
        <v>13</v>
      </c>
      <c r="AY77" s="16">
        <v>2</v>
      </c>
      <c r="AZ77" s="16">
        <v>1</v>
      </c>
      <c r="BA77" s="16">
        <v>1</v>
      </c>
      <c r="BB77" s="16">
        <v>0</v>
      </c>
      <c r="BC77" s="16">
        <v>0</v>
      </c>
      <c r="BD77" s="16">
        <v>0</v>
      </c>
      <c r="BE77" s="16">
        <v>0</v>
      </c>
      <c r="BF77" s="16">
        <v>0</v>
      </c>
      <c r="BG77" s="16">
        <v>185</v>
      </c>
      <c r="BH77" s="16">
        <v>7.1</v>
      </c>
      <c r="BI77" s="15" t="s">
        <v>99</v>
      </c>
      <c r="BJ77" s="16">
        <v>15</v>
      </c>
      <c r="BK77" s="16">
        <v>12</v>
      </c>
      <c r="BL77" s="16">
        <v>15</v>
      </c>
      <c r="BM77" s="16">
        <v>23</v>
      </c>
      <c r="BN77" s="16">
        <v>18</v>
      </c>
      <c r="BO77" s="16">
        <v>21</v>
      </c>
      <c r="BP77" s="16">
        <v>18</v>
      </c>
      <c r="BQ77" s="16">
        <v>18</v>
      </c>
      <c r="BR77" s="16">
        <v>17</v>
      </c>
      <c r="BS77" s="16">
        <v>16</v>
      </c>
      <c r="BT77" s="16">
        <v>110</v>
      </c>
      <c r="BU77" s="16">
        <v>20</v>
      </c>
      <c r="BV77" s="16">
        <v>3</v>
      </c>
      <c r="BW77" s="16">
        <v>1</v>
      </c>
      <c r="BX77" s="16">
        <v>2</v>
      </c>
      <c r="BY77" s="16">
        <v>0</v>
      </c>
      <c r="BZ77" s="16">
        <v>0</v>
      </c>
      <c r="CA77" s="16">
        <v>0</v>
      </c>
      <c r="CB77" s="16">
        <v>0</v>
      </c>
      <c r="CC77" s="16">
        <v>0</v>
      </c>
      <c r="CD77" s="16">
        <v>136</v>
      </c>
      <c r="CE77" s="16">
        <v>5.2</v>
      </c>
      <c r="CF77" s="15" t="s">
        <v>102</v>
      </c>
      <c r="CG77" s="15" t="s">
        <v>74</v>
      </c>
      <c r="CH77" s="15">
        <v>1.6509999999999999E-3</v>
      </c>
      <c r="CI77" s="14">
        <v>2</v>
      </c>
      <c r="CJ77" s="79">
        <v>1</v>
      </c>
      <c r="CK77" s="79">
        <v>1</v>
      </c>
      <c r="CL77" s="79">
        <v>1</v>
      </c>
      <c r="CM77" s="79">
        <v>526.97776899999997</v>
      </c>
      <c r="CN77" s="79">
        <v>1</v>
      </c>
      <c r="CO77" s="79">
        <v>1</v>
      </c>
      <c r="CP77" s="79" t="s">
        <v>224</v>
      </c>
      <c r="CQ77" s="79" t="s">
        <v>224</v>
      </c>
      <c r="CR77" s="12">
        <f>IF(COUNTIF(Incl!A:A,Raw!J77),1, "")</f>
        <v>1</v>
      </c>
    </row>
    <row r="78" spans="1:96" ht="13.5" thickTop="1" thickBot="1" x14ac:dyDescent="0.3">
      <c r="A78" s="18">
        <v>75</v>
      </c>
      <c r="B78" s="19">
        <v>1</v>
      </c>
      <c r="C78" s="20">
        <v>162.612899</v>
      </c>
      <c r="D78" s="19">
        <v>77</v>
      </c>
      <c r="E78" s="19">
        <v>1</v>
      </c>
      <c r="F78" s="19">
        <v>106</v>
      </c>
      <c r="G78" s="21">
        <v>194</v>
      </c>
      <c r="H78" s="19">
        <v>194</v>
      </c>
      <c r="I78" s="19">
        <v>194</v>
      </c>
      <c r="J78" s="19">
        <v>194</v>
      </c>
      <c r="K78" s="20" t="s">
        <v>97</v>
      </c>
      <c r="L78" s="20" t="s">
        <v>82</v>
      </c>
      <c r="M78" s="20" t="s">
        <v>69</v>
      </c>
      <c r="N78" s="22">
        <v>5</v>
      </c>
      <c r="O78" s="22" t="s">
        <v>62</v>
      </c>
      <c r="P78" s="21" t="s">
        <v>62</v>
      </c>
      <c r="Q78" s="22" t="s">
        <v>62</v>
      </c>
      <c r="R78" s="22" t="s">
        <v>62</v>
      </c>
      <c r="S78" s="22" t="s">
        <v>62</v>
      </c>
      <c r="T78" s="19">
        <v>5</v>
      </c>
      <c r="U78" s="21">
        <v>2</v>
      </c>
      <c r="V78" s="21">
        <v>1</v>
      </c>
      <c r="W78" s="21" t="s">
        <v>62</v>
      </c>
      <c r="X78" s="22" t="s">
        <v>62</v>
      </c>
      <c r="Y78" s="19">
        <v>44</v>
      </c>
      <c r="Z78" s="19">
        <v>22</v>
      </c>
      <c r="AA78" s="19">
        <v>0</v>
      </c>
      <c r="AB78" s="19">
        <v>0</v>
      </c>
      <c r="AC78" s="19">
        <v>0</v>
      </c>
      <c r="AD78" s="19">
        <v>1</v>
      </c>
      <c r="AE78" s="19">
        <v>1</v>
      </c>
      <c r="AF78" s="19">
        <v>1</v>
      </c>
      <c r="AG78" s="22" t="s">
        <v>62</v>
      </c>
      <c r="AH78" s="19">
        <v>22</v>
      </c>
      <c r="AI78" s="19">
        <v>22</v>
      </c>
      <c r="AJ78" s="19">
        <v>22</v>
      </c>
      <c r="AK78" s="19">
        <v>0</v>
      </c>
      <c r="AL78" s="19">
        <v>0</v>
      </c>
      <c r="AM78" s="21">
        <v>2</v>
      </c>
      <c r="AN78" s="21">
        <v>2</v>
      </c>
      <c r="AO78" s="21">
        <v>2</v>
      </c>
      <c r="AP78" s="21">
        <v>4</v>
      </c>
      <c r="AQ78" s="21">
        <v>1</v>
      </c>
      <c r="AR78" s="21">
        <v>0</v>
      </c>
      <c r="AS78" s="21">
        <v>0</v>
      </c>
      <c r="AT78" s="21">
        <v>0</v>
      </c>
      <c r="AU78" s="21">
        <v>0</v>
      </c>
      <c r="AV78" s="21">
        <v>1</v>
      </c>
      <c r="AW78" s="21">
        <v>12</v>
      </c>
      <c r="AX78" s="21">
        <v>0</v>
      </c>
      <c r="AY78" s="21">
        <v>0</v>
      </c>
      <c r="AZ78" s="21">
        <v>0</v>
      </c>
      <c r="BA78" s="21">
        <v>0</v>
      </c>
      <c r="BB78" s="21">
        <v>0</v>
      </c>
      <c r="BC78" s="21">
        <v>0</v>
      </c>
      <c r="BD78" s="21">
        <v>0</v>
      </c>
      <c r="BE78" s="21">
        <v>0</v>
      </c>
      <c r="BF78" s="21">
        <v>0</v>
      </c>
      <c r="BG78" s="21">
        <v>12</v>
      </c>
      <c r="BH78" s="21">
        <v>2.7</v>
      </c>
      <c r="BI78" s="20" t="s">
        <v>63</v>
      </c>
      <c r="BJ78" s="21">
        <v>1</v>
      </c>
      <c r="BK78" s="21">
        <v>1</v>
      </c>
      <c r="BL78" s="21">
        <v>1</v>
      </c>
      <c r="BM78" s="21">
        <v>1</v>
      </c>
      <c r="BN78" s="21">
        <v>1</v>
      </c>
      <c r="BO78" s="21">
        <v>1</v>
      </c>
      <c r="BP78" s="21">
        <v>1</v>
      </c>
      <c r="BQ78" s="21">
        <v>1</v>
      </c>
      <c r="BR78" s="21">
        <v>1</v>
      </c>
      <c r="BS78" s="21">
        <v>0</v>
      </c>
      <c r="BT78" s="21">
        <v>0</v>
      </c>
      <c r="BU78" s="21">
        <v>0</v>
      </c>
      <c r="BV78" s="21">
        <v>0</v>
      </c>
      <c r="BW78" s="21">
        <v>0</v>
      </c>
      <c r="BX78" s="21">
        <v>0</v>
      </c>
      <c r="BY78" s="21">
        <v>0</v>
      </c>
      <c r="BZ78" s="21">
        <v>0</v>
      </c>
      <c r="CA78" s="21">
        <v>0</v>
      </c>
      <c r="CB78" s="21">
        <v>1</v>
      </c>
      <c r="CC78" s="21">
        <v>0</v>
      </c>
      <c r="CD78" s="21">
        <v>1</v>
      </c>
      <c r="CE78" s="21">
        <v>0.2</v>
      </c>
      <c r="CF78" s="20" t="s">
        <v>77</v>
      </c>
      <c r="CG78" s="20" t="s">
        <v>64</v>
      </c>
      <c r="CH78" s="20">
        <v>6.1499999999999999E-4</v>
      </c>
      <c r="CI78" s="19">
        <v>0</v>
      </c>
      <c r="CJ78" s="78">
        <v>1</v>
      </c>
      <c r="CK78" s="78">
        <v>1</v>
      </c>
      <c r="CL78" s="78">
        <v>1</v>
      </c>
      <c r="CM78" s="78">
        <v>190.59526700000001</v>
      </c>
      <c r="CN78" s="78">
        <v>1</v>
      </c>
      <c r="CO78" s="78">
        <v>1</v>
      </c>
      <c r="CP78" s="78" t="s">
        <v>224</v>
      </c>
      <c r="CQ78" s="78" t="s">
        <v>224</v>
      </c>
      <c r="CR78" s="12">
        <f>IF(COUNTIF(Incl!A:A,Raw!J78),1, "")</f>
        <v>1</v>
      </c>
    </row>
    <row r="79" spans="1:96" ht="13.5" thickTop="1" thickBot="1" x14ac:dyDescent="0.3">
      <c r="A79" s="13">
        <v>76</v>
      </c>
      <c r="B79" s="14">
        <v>1</v>
      </c>
      <c r="C79" s="15">
        <v>203.52696599999999</v>
      </c>
      <c r="D79" s="14">
        <v>78</v>
      </c>
      <c r="E79" s="14">
        <v>1</v>
      </c>
      <c r="F79" s="14">
        <v>107</v>
      </c>
      <c r="G79" s="16">
        <v>114</v>
      </c>
      <c r="H79" s="14">
        <v>114</v>
      </c>
      <c r="I79" s="14">
        <v>114</v>
      </c>
      <c r="J79" s="14">
        <v>114</v>
      </c>
      <c r="K79" s="15" t="s">
        <v>60</v>
      </c>
      <c r="L79" s="15" t="s">
        <v>103</v>
      </c>
      <c r="M79" s="15" t="s">
        <v>89</v>
      </c>
      <c r="N79" s="16" t="s">
        <v>62</v>
      </c>
      <c r="O79" s="16" t="s">
        <v>62</v>
      </c>
      <c r="P79" s="16" t="s">
        <v>62</v>
      </c>
      <c r="Q79" s="17" t="s">
        <v>62</v>
      </c>
      <c r="R79" s="17" t="s">
        <v>62</v>
      </c>
      <c r="S79" s="17" t="s">
        <v>62</v>
      </c>
      <c r="T79" s="14">
        <v>0</v>
      </c>
      <c r="U79" s="16" t="s">
        <v>62</v>
      </c>
      <c r="V79" s="16" t="s">
        <v>62</v>
      </c>
      <c r="W79" s="16" t="s">
        <v>62</v>
      </c>
      <c r="X79" s="17" t="s">
        <v>62</v>
      </c>
      <c r="Y79" s="14">
        <v>0</v>
      </c>
      <c r="Z79" s="14">
        <v>0</v>
      </c>
      <c r="AA79" s="14">
        <v>0</v>
      </c>
      <c r="AB79" s="14">
        <v>0</v>
      </c>
      <c r="AC79" s="14">
        <v>0</v>
      </c>
      <c r="AD79" s="14">
        <v>0</v>
      </c>
      <c r="AE79" s="14">
        <v>0</v>
      </c>
      <c r="AF79" s="14">
        <v>0</v>
      </c>
      <c r="AG79" s="17" t="s">
        <v>62</v>
      </c>
      <c r="AH79" s="14">
        <v>0</v>
      </c>
      <c r="AI79" s="14">
        <v>0</v>
      </c>
      <c r="AJ79" s="14">
        <v>0</v>
      </c>
      <c r="AK79" s="14">
        <v>0</v>
      </c>
      <c r="AL79" s="14">
        <v>0</v>
      </c>
      <c r="AM79" s="16">
        <v>0</v>
      </c>
      <c r="AN79" s="16">
        <v>0</v>
      </c>
      <c r="AO79" s="16">
        <v>0</v>
      </c>
      <c r="AP79" s="16">
        <v>0</v>
      </c>
      <c r="AQ79" s="16">
        <v>0</v>
      </c>
      <c r="AR79" s="16">
        <v>0</v>
      </c>
      <c r="AS79" s="16">
        <v>0</v>
      </c>
      <c r="AT79" s="16">
        <v>0</v>
      </c>
      <c r="AU79" s="16">
        <v>0</v>
      </c>
      <c r="AV79" s="16">
        <v>0</v>
      </c>
      <c r="AW79" s="16">
        <v>0</v>
      </c>
      <c r="AX79" s="16">
        <v>0</v>
      </c>
      <c r="AY79" s="16">
        <v>0</v>
      </c>
      <c r="AZ79" s="16">
        <v>0</v>
      </c>
      <c r="BA79" s="16">
        <v>0</v>
      </c>
      <c r="BB79" s="16">
        <v>0</v>
      </c>
      <c r="BC79" s="16">
        <v>0</v>
      </c>
      <c r="BD79" s="16">
        <v>0</v>
      </c>
      <c r="BE79" s="16">
        <v>0</v>
      </c>
      <c r="BF79" s="16">
        <v>0</v>
      </c>
      <c r="BG79" s="16">
        <v>0</v>
      </c>
      <c r="BH79" s="16">
        <v>0</v>
      </c>
      <c r="BI79" s="15" t="s">
        <v>77</v>
      </c>
      <c r="BJ79" s="16">
        <v>0</v>
      </c>
      <c r="BK79" s="16">
        <v>0</v>
      </c>
      <c r="BL79" s="16">
        <v>0</v>
      </c>
      <c r="BM79" s="16">
        <v>0</v>
      </c>
      <c r="BN79" s="16">
        <v>0</v>
      </c>
      <c r="BO79" s="16">
        <v>0</v>
      </c>
      <c r="BP79" s="16">
        <v>0</v>
      </c>
      <c r="BQ79" s="16">
        <v>0</v>
      </c>
      <c r="BR79" s="16">
        <v>0</v>
      </c>
      <c r="BS79" s="16">
        <v>0</v>
      </c>
      <c r="BT79" s="16">
        <v>0</v>
      </c>
      <c r="BU79" s="16">
        <v>0</v>
      </c>
      <c r="BV79" s="16">
        <v>0</v>
      </c>
      <c r="BW79" s="16">
        <v>0</v>
      </c>
      <c r="BX79" s="16">
        <v>0</v>
      </c>
      <c r="BY79" s="16">
        <v>0</v>
      </c>
      <c r="BZ79" s="16">
        <v>0</v>
      </c>
      <c r="CA79" s="16">
        <v>0</v>
      </c>
      <c r="CB79" s="16">
        <v>0</v>
      </c>
      <c r="CC79" s="16">
        <v>0</v>
      </c>
      <c r="CD79" s="16">
        <v>0</v>
      </c>
      <c r="CE79" s="16">
        <v>0</v>
      </c>
      <c r="CF79" s="15" t="s">
        <v>77</v>
      </c>
      <c r="CG79" s="15" t="s">
        <v>74</v>
      </c>
      <c r="CH79" s="15">
        <v>7.7499999999999997E-4</v>
      </c>
      <c r="CI79" s="14">
        <v>0</v>
      </c>
      <c r="CJ79" s="79">
        <v>2</v>
      </c>
      <c r="CK79" s="79" t="s">
        <v>224</v>
      </c>
      <c r="CL79" s="79" t="s">
        <v>224</v>
      </c>
      <c r="CM79" s="79">
        <v>246.98928699999999</v>
      </c>
      <c r="CN79" s="79">
        <v>1</v>
      </c>
      <c r="CO79" s="79">
        <v>1</v>
      </c>
      <c r="CP79" s="79" t="s">
        <v>224</v>
      </c>
      <c r="CQ79" s="79" t="s">
        <v>224</v>
      </c>
      <c r="CR79" s="12" t="str">
        <f>IF(COUNTIF(Incl!A:A,Raw!J79),1, "")</f>
        <v/>
      </c>
    </row>
    <row r="80" spans="1:96" ht="13.5" thickTop="1" thickBot="1" x14ac:dyDescent="0.3">
      <c r="A80" s="13">
        <v>77</v>
      </c>
      <c r="B80" s="14">
        <v>1</v>
      </c>
      <c r="C80" s="15">
        <v>372.07898</v>
      </c>
      <c r="D80" s="14">
        <v>79</v>
      </c>
      <c r="E80" s="14">
        <v>1</v>
      </c>
      <c r="F80" s="14">
        <v>108</v>
      </c>
      <c r="G80" s="16">
        <v>115</v>
      </c>
      <c r="H80" s="14">
        <v>115</v>
      </c>
      <c r="I80" s="14">
        <v>115</v>
      </c>
      <c r="J80" s="14">
        <v>115</v>
      </c>
      <c r="K80" s="15" t="s">
        <v>60</v>
      </c>
      <c r="L80" s="15" t="s">
        <v>104</v>
      </c>
      <c r="M80" s="15" t="s">
        <v>103</v>
      </c>
      <c r="N80" s="16">
        <v>2</v>
      </c>
      <c r="O80" s="16" t="s">
        <v>62</v>
      </c>
      <c r="P80" s="16">
        <v>7</v>
      </c>
      <c r="Q80" s="17" t="s">
        <v>62</v>
      </c>
      <c r="R80" s="16" t="s">
        <v>62</v>
      </c>
      <c r="S80" s="17" t="s">
        <v>62</v>
      </c>
      <c r="T80" s="14">
        <v>8</v>
      </c>
      <c r="U80" s="16">
        <v>1</v>
      </c>
      <c r="V80" s="16">
        <v>2</v>
      </c>
      <c r="W80" s="16">
        <v>2</v>
      </c>
      <c r="X80" s="17" t="s">
        <v>62</v>
      </c>
      <c r="Y80" s="14">
        <v>12</v>
      </c>
      <c r="Z80" s="14">
        <v>24</v>
      </c>
      <c r="AA80" s="14">
        <v>24</v>
      </c>
      <c r="AB80" s="14">
        <v>0</v>
      </c>
      <c r="AC80" s="14">
        <v>0</v>
      </c>
      <c r="AD80" s="14">
        <v>0</v>
      </c>
      <c r="AE80" s="14">
        <v>0</v>
      </c>
      <c r="AF80" s="14">
        <v>0</v>
      </c>
      <c r="AG80" s="17" t="s">
        <v>62</v>
      </c>
      <c r="AH80" s="14">
        <v>0</v>
      </c>
      <c r="AI80" s="14">
        <v>0</v>
      </c>
      <c r="AJ80" s="14">
        <v>0</v>
      </c>
      <c r="AK80" s="14">
        <v>0</v>
      </c>
      <c r="AL80" s="14">
        <v>0</v>
      </c>
      <c r="AM80" s="16">
        <v>2</v>
      </c>
      <c r="AN80" s="16">
        <v>2</v>
      </c>
      <c r="AO80" s="16">
        <v>2</v>
      </c>
      <c r="AP80" s="16">
        <v>2</v>
      </c>
      <c r="AQ80" s="16">
        <v>2</v>
      </c>
      <c r="AR80" s="16">
        <v>2</v>
      </c>
      <c r="AS80" s="16">
        <v>2</v>
      </c>
      <c r="AT80" s="16">
        <v>2</v>
      </c>
      <c r="AU80" s="16">
        <v>1</v>
      </c>
      <c r="AV80" s="16">
        <v>1</v>
      </c>
      <c r="AW80" s="16">
        <v>0</v>
      </c>
      <c r="AX80" s="16">
        <v>0</v>
      </c>
      <c r="AY80" s="16">
        <v>0</v>
      </c>
      <c r="AZ80" s="16">
        <v>0</v>
      </c>
      <c r="BA80" s="16">
        <v>0</v>
      </c>
      <c r="BB80" s="16">
        <v>0</v>
      </c>
      <c r="BC80" s="16">
        <v>0</v>
      </c>
      <c r="BD80" s="16">
        <v>1</v>
      </c>
      <c r="BE80" s="16">
        <v>0</v>
      </c>
      <c r="BF80" s="16">
        <v>1</v>
      </c>
      <c r="BG80" s="16">
        <v>2</v>
      </c>
      <c r="BH80" s="16">
        <v>0.2</v>
      </c>
      <c r="BI80" s="15" t="s">
        <v>77</v>
      </c>
      <c r="BJ80" s="16">
        <v>0</v>
      </c>
      <c r="BK80" s="16">
        <v>0</v>
      </c>
      <c r="BL80" s="16">
        <v>0</v>
      </c>
      <c r="BM80" s="16">
        <v>0</v>
      </c>
      <c r="BN80" s="16">
        <v>0</v>
      </c>
      <c r="BO80" s="16">
        <v>0</v>
      </c>
      <c r="BP80" s="16">
        <v>0</v>
      </c>
      <c r="BQ80" s="16">
        <v>0</v>
      </c>
      <c r="BR80" s="16">
        <v>0</v>
      </c>
      <c r="BS80" s="16">
        <v>0</v>
      </c>
      <c r="BT80" s="16">
        <v>0</v>
      </c>
      <c r="BU80" s="16">
        <v>0</v>
      </c>
      <c r="BV80" s="16">
        <v>0</v>
      </c>
      <c r="BW80" s="16">
        <v>0</v>
      </c>
      <c r="BX80" s="16">
        <v>0</v>
      </c>
      <c r="BY80" s="16">
        <v>0</v>
      </c>
      <c r="BZ80" s="16">
        <v>0</v>
      </c>
      <c r="CA80" s="16">
        <v>0</v>
      </c>
      <c r="CB80" s="16">
        <v>0</v>
      </c>
      <c r="CC80" s="16">
        <v>0</v>
      </c>
      <c r="CD80" s="16">
        <v>0</v>
      </c>
      <c r="CE80" s="16">
        <v>0</v>
      </c>
      <c r="CF80" s="15" t="s">
        <v>77</v>
      </c>
      <c r="CG80" s="15" t="s">
        <v>74</v>
      </c>
      <c r="CH80" s="15">
        <v>1.011E-3</v>
      </c>
      <c r="CI80" s="14">
        <v>0</v>
      </c>
      <c r="CJ80" s="79">
        <v>2</v>
      </c>
      <c r="CK80" s="79" t="s">
        <v>224</v>
      </c>
      <c r="CL80" s="79" t="s">
        <v>224</v>
      </c>
      <c r="CM80" s="79">
        <v>322.389118</v>
      </c>
      <c r="CN80" s="79">
        <v>1</v>
      </c>
      <c r="CO80" s="79">
        <v>1</v>
      </c>
      <c r="CP80" s="79" t="s">
        <v>224</v>
      </c>
      <c r="CQ80" s="79" t="s">
        <v>224</v>
      </c>
      <c r="CR80" s="12" t="str">
        <f>IF(COUNTIF(Incl!A:A,Raw!J80),1, "")</f>
        <v/>
      </c>
    </row>
    <row r="81" spans="1:96" ht="13.5" thickTop="1" thickBot="1" x14ac:dyDescent="0.3">
      <c r="A81" s="18">
        <v>78</v>
      </c>
      <c r="B81" s="19">
        <v>1</v>
      </c>
      <c r="C81" s="20">
        <v>562.31946100000005</v>
      </c>
      <c r="D81" s="19">
        <v>80</v>
      </c>
      <c r="E81" s="19">
        <v>1</v>
      </c>
      <c r="F81" s="19">
        <v>109</v>
      </c>
      <c r="G81" s="21">
        <v>113</v>
      </c>
      <c r="H81" s="19">
        <v>113</v>
      </c>
      <c r="I81" s="19">
        <v>113</v>
      </c>
      <c r="J81" s="19">
        <v>113</v>
      </c>
      <c r="K81" s="20" t="s">
        <v>60</v>
      </c>
      <c r="L81" s="20" t="s">
        <v>89</v>
      </c>
      <c r="M81" s="20" t="s">
        <v>101</v>
      </c>
      <c r="N81" s="21" t="s">
        <v>62</v>
      </c>
      <c r="O81" s="22">
        <v>28</v>
      </c>
      <c r="P81" s="22" t="s">
        <v>62</v>
      </c>
      <c r="Q81" s="21" t="s">
        <v>62</v>
      </c>
      <c r="R81" s="22" t="s">
        <v>62</v>
      </c>
      <c r="S81" s="22" t="s">
        <v>62</v>
      </c>
      <c r="T81" s="19">
        <v>28</v>
      </c>
      <c r="U81" s="21">
        <v>2</v>
      </c>
      <c r="V81" s="21">
        <v>6</v>
      </c>
      <c r="W81" s="21">
        <v>2</v>
      </c>
      <c r="X81" s="22" t="s">
        <v>62</v>
      </c>
      <c r="Y81" s="19">
        <v>7</v>
      </c>
      <c r="Z81" s="19">
        <v>22</v>
      </c>
      <c r="AA81" s="19">
        <v>7</v>
      </c>
      <c r="AB81" s="19">
        <v>0</v>
      </c>
      <c r="AC81" s="19">
        <v>0</v>
      </c>
      <c r="AD81" s="19">
        <v>2</v>
      </c>
      <c r="AE81" s="19">
        <v>7</v>
      </c>
      <c r="AF81" s="19">
        <v>1</v>
      </c>
      <c r="AG81" s="22" t="s">
        <v>62</v>
      </c>
      <c r="AH81" s="19">
        <v>7</v>
      </c>
      <c r="AI81" s="19">
        <v>25</v>
      </c>
      <c r="AJ81" s="19">
        <v>4</v>
      </c>
      <c r="AK81" s="19">
        <v>0</v>
      </c>
      <c r="AL81" s="19">
        <v>0</v>
      </c>
      <c r="AM81" s="21">
        <v>2</v>
      </c>
      <c r="AN81" s="21">
        <v>2</v>
      </c>
      <c r="AO81" s="21">
        <v>6</v>
      </c>
      <c r="AP81" s="21">
        <v>8</v>
      </c>
      <c r="AQ81" s="21">
        <v>6</v>
      </c>
      <c r="AR81" s="21">
        <v>8</v>
      </c>
      <c r="AS81" s="21">
        <v>6</v>
      </c>
      <c r="AT81" s="21">
        <v>5</v>
      </c>
      <c r="AU81" s="21">
        <v>2</v>
      </c>
      <c r="AV81" s="21">
        <v>3</v>
      </c>
      <c r="AW81" s="21">
        <v>9</v>
      </c>
      <c r="AX81" s="21">
        <v>0</v>
      </c>
      <c r="AY81" s="21">
        <v>1</v>
      </c>
      <c r="AZ81" s="21">
        <v>0</v>
      </c>
      <c r="BA81" s="21">
        <v>0</v>
      </c>
      <c r="BB81" s="21">
        <v>2</v>
      </c>
      <c r="BC81" s="21">
        <v>0</v>
      </c>
      <c r="BD81" s="21">
        <v>3</v>
      </c>
      <c r="BE81" s="21">
        <v>0</v>
      </c>
      <c r="BF81" s="21">
        <v>0</v>
      </c>
      <c r="BG81" s="21">
        <v>15</v>
      </c>
      <c r="BH81" s="21">
        <v>0.5</v>
      </c>
      <c r="BI81" s="20" t="s">
        <v>77</v>
      </c>
      <c r="BJ81" s="21">
        <v>2</v>
      </c>
      <c r="BK81" s="21">
        <v>3</v>
      </c>
      <c r="BL81" s="21">
        <v>8</v>
      </c>
      <c r="BM81" s="21">
        <v>6</v>
      </c>
      <c r="BN81" s="21">
        <v>7</v>
      </c>
      <c r="BO81" s="21">
        <v>4</v>
      </c>
      <c r="BP81" s="21">
        <v>5</v>
      </c>
      <c r="BQ81" s="21">
        <v>4</v>
      </c>
      <c r="BR81" s="21">
        <v>1</v>
      </c>
      <c r="BS81" s="21">
        <v>0</v>
      </c>
      <c r="BT81" s="21">
        <v>4</v>
      </c>
      <c r="BU81" s="21">
        <v>0</v>
      </c>
      <c r="BV81" s="21">
        <v>2</v>
      </c>
      <c r="BW81" s="21">
        <v>0</v>
      </c>
      <c r="BX81" s="21">
        <v>0</v>
      </c>
      <c r="BY81" s="21">
        <v>1</v>
      </c>
      <c r="BZ81" s="21">
        <v>0</v>
      </c>
      <c r="CA81" s="21">
        <v>3</v>
      </c>
      <c r="CB81" s="21">
        <v>0</v>
      </c>
      <c r="CC81" s="21">
        <v>0</v>
      </c>
      <c r="CD81" s="21">
        <v>10</v>
      </c>
      <c r="CE81" s="21">
        <v>0.4</v>
      </c>
      <c r="CF81" s="20" t="s">
        <v>77</v>
      </c>
      <c r="CG81" s="20" t="s">
        <v>71</v>
      </c>
      <c r="CH81" s="20">
        <v>2.5850000000000001E-3</v>
      </c>
      <c r="CI81" s="19">
        <v>0</v>
      </c>
      <c r="CJ81" s="78">
        <v>1</v>
      </c>
      <c r="CK81" s="78">
        <v>1</v>
      </c>
      <c r="CL81" s="78">
        <v>1</v>
      </c>
      <c r="CM81" s="78">
        <v>825.27254600000003</v>
      </c>
      <c r="CN81" s="78">
        <v>1</v>
      </c>
      <c r="CO81" s="78">
        <v>1</v>
      </c>
      <c r="CP81" s="78" t="s">
        <v>224</v>
      </c>
      <c r="CQ81" s="78" t="s">
        <v>224</v>
      </c>
      <c r="CR81" s="12">
        <f>IF(COUNTIF(Incl!A:A,Raw!J81),1, "")</f>
        <v>1</v>
      </c>
    </row>
    <row r="82" spans="1:96" ht="13.5" thickTop="1" thickBot="1" x14ac:dyDescent="0.3">
      <c r="A82" s="13">
        <v>79</v>
      </c>
      <c r="B82" s="14">
        <v>1</v>
      </c>
      <c r="C82" s="15">
        <v>183.108262</v>
      </c>
      <c r="D82" s="14">
        <v>81</v>
      </c>
      <c r="E82" s="14">
        <v>1</v>
      </c>
      <c r="F82" s="14">
        <v>110</v>
      </c>
      <c r="G82" s="16">
        <v>116</v>
      </c>
      <c r="H82" s="14">
        <v>116</v>
      </c>
      <c r="I82" s="14">
        <v>116</v>
      </c>
      <c r="J82" s="14">
        <v>116</v>
      </c>
      <c r="K82" s="15" t="s">
        <v>60</v>
      </c>
      <c r="L82" s="15" t="s">
        <v>101</v>
      </c>
      <c r="M82" s="15" t="s">
        <v>104</v>
      </c>
      <c r="N82" s="16">
        <v>8</v>
      </c>
      <c r="O82" s="17" t="s">
        <v>62</v>
      </c>
      <c r="P82" s="17" t="s">
        <v>62</v>
      </c>
      <c r="Q82" s="17" t="s">
        <v>62</v>
      </c>
      <c r="R82" s="17" t="s">
        <v>62</v>
      </c>
      <c r="S82" s="17" t="s">
        <v>62</v>
      </c>
      <c r="T82" s="14">
        <v>8</v>
      </c>
      <c r="U82" s="16">
        <v>1</v>
      </c>
      <c r="V82" s="16">
        <v>1</v>
      </c>
      <c r="W82" s="16" t="s">
        <v>62</v>
      </c>
      <c r="X82" s="17" t="s">
        <v>62</v>
      </c>
      <c r="Y82" s="14">
        <v>13</v>
      </c>
      <c r="Z82" s="14">
        <v>13</v>
      </c>
      <c r="AA82" s="14">
        <v>0</v>
      </c>
      <c r="AB82" s="14">
        <v>0</v>
      </c>
      <c r="AC82" s="14">
        <v>0</v>
      </c>
      <c r="AD82" s="14">
        <v>2</v>
      </c>
      <c r="AE82" s="14">
        <v>6</v>
      </c>
      <c r="AF82" s="14">
        <v>3</v>
      </c>
      <c r="AG82" s="17" t="s">
        <v>62</v>
      </c>
      <c r="AH82" s="14">
        <v>27</v>
      </c>
      <c r="AI82" s="14">
        <v>80</v>
      </c>
      <c r="AJ82" s="14">
        <v>40</v>
      </c>
      <c r="AK82" s="14">
        <v>0</v>
      </c>
      <c r="AL82" s="14">
        <v>1</v>
      </c>
      <c r="AM82" s="16">
        <v>1</v>
      </c>
      <c r="AN82" s="16">
        <v>2</v>
      </c>
      <c r="AO82" s="16">
        <v>0</v>
      </c>
      <c r="AP82" s="16">
        <v>0</v>
      </c>
      <c r="AQ82" s="16">
        <v>1</v>
      </c>
      <c r="AR82" s="16">
        <v>1</v>
      </c>
      <c r="AS82" s="16">
        <v>1</v>
      </c>
      <c r="AT82" s="16">
        <v>0</v>
      </c>
      <c r="AU82" s="16">
        <v>0</v>
      </c>
      <c r="AV82" s="16">
        <v>1</v>
      </c>
      <c r="AW82" s="16">
        <v>5</v>
      </c>
      <c r="AX82" s="16">
        <v>1</v>
      </c>
      <c r="AY82" s="16">
        <v>0</v>
      </c>
      <c r="AZ82" s="16">
        <v>0</v>
      </c>
      <c r="BA82" s="16">
        <v>0</v>
      </c>
      <c r="BB82" s="16">
        <v>0</v>
      </c>
      <c r="BC82" s="16">
        <v>0</v>
      </c>
      <c r="BD82" s="16">
        <v>0</v>
      </c>
      <c r="BE82" s="16">
        <v>0</v>
      </c>
      <c r="BF82" s="16">
        <v>0</v>
      </c>
      <c r="BG82" s="16">
        <v>6</v>
      </c>
      <c r="BH82" s="16">
        <v>0.8</v>
      </c>
      <c r="BI82" s="15" t="s">
        <v>77</v>
      </c>
      <c r="BJ82" s="16">
        <v>3</v>
      </c>
      <c r="BK82" s="16">
        <v>3</v>
      </c>
      <c r="BL82" s="16">
        <v>6</v>
      </c>
      <c r="BM82" s="16">
        <v>6</v>
      </c>
      <c r="BN82" s="16">
        <v>6</v>
      </c>
      <c r="BO82" s="16">
        <v>6</v>
      </c>
      <c r="BP82" s="16">
        <v>3</v>
      </c>
      <c r="BQ82" s="16">
        <v>3</v>
      </c>
      <c r="BR82" s="16">
        <v>3</v>
      </c>
      <c r="BS82" s="16">
        <v>3</v>
      </c>
      <c r="BT82" s="16">
        <v>3</v>
      </c>
      <c r="BU82" s="16">
        <v>3</v>
      </c>
      <c r="BV82" s="16">
        <v>5</v>
      </c>
      <c r="BW82" s="16">
        <v>0</v>
      </c>
      <c r="BX82" s="16">
        <v>1</v>
      </c>
      <c r="BY82" s="16">
        <v>1</v>
      </c>
      <c r="BZ82" s="16">
        <v>1</v>
      </c>
      <c r="CA82" s="16">
        <v>0</v>
      </c>
      <c r="CB82" s="16">
        <v>0</v>
      </c>
      <c r="CC82" s="16">
        <v>0</v>
      </c>
      <c r="CD82" s="16">
        <v>14</v>
      </c>
      <c r="CE82" s="16">
        <v>1.9</v>
      </c>
      <c r="CF82" s="15" t="s">
        <v>68</v>
      </c>
      <c r="CG82" s="15" t="s">
        <v>74</v>
      </c>
      <c r="CH82" s="15">
        <v>5.0699999999999996E-4</v>
      </c>
      <c r="CI82" s="14">
        <v>1</v>
      </c>
      <c r="CJ82" s="79">
        <v>2</v>
      </c>
      <c r="CK82" s="79" t="s">
        <v>224</v>
      </c>
      <c r="CL82" s="79" t="s">
        <v>224</v>
      </c>
      <c r="CM82" s="79">
        <v>161.844649</v>
      </c>
      <c r="CN82" s="79">
        <v>1</v>
      </c>
      <c r="CO82" s="79">
        <v>1</v>
      </c>
      <c r="CP82" s="79" t="s">
        <v>224</v>
      </c>
      <c r="CQ82" s="79" t="s">
        <v>224</v>
      </c>
      <c r="CR82" s="12" t="str">
        <f>IF(COUNTIF(Incl!A:A,Raw!J82),1, "")</f>
        <v/>
      </c>
    </row>
    <row r="83" spans="1:96" ht="13.5" thickTop="1" thickBot="1" x14ac:dyDescent="0.3">
      <c r="A83" s="18">
        <v>80</v>
      </c>
      <c r="B83" s="19">
        <v>1</v>
      </c>
      <c r="C83" s="20">
        <v>195.38544300000001</v>
      </c>
      <c r="D83" s="19">
        <v>83</v>
      </c>
      <c r="E83" s="19">
        <v>1</v>
      </c>
      <c r="F83" s="19">
        <v>112</v>
      </c>
      <c r="G83" s="21">
        <v>118</v>
      </c>
      <c r="H83" s="19">
        <v>118</v>
      </c>
      <c r="I83" s="19">
        <v>118</v>
      </c>
      <c r="J83" s="19">
        <v>118</v>
      </c>
      <c r="K83" s="20" t="s">
        <v>60</v>
      </c>
      <c r="L83" s="20" t="s">
        <v>105</v>
      </c>
      <c r="M83" s="20" t="s">
        <v>101</v>
      </c>
      <c r="N83" s="21">
        <v>6</v>
      </c>
      <c r="O83" s="22" t="s">
        <v>62</v>
      </c>
      <c r="P83" s="22" t="s">
        <v>62</v>
      </c>
      <c r="Q83" s="22" t="s">
        <v>62</v>
      </c>
      <c r="R83" s="22" t="s">
        <v>62</v>
      </c>
      <c r="S83" s="22" t="s">
        <v>62</v>
      </c>
      <c r="T83" s="19">
        <v>6</v>
      </c>
      <c r="U83" s="21">
        <v>1</v>
      </c>
      <c r="V83" s="21">
        <v>3</v>
      </c>
      <c r="W83" s="21">
        <v>5</v>
      </c>
      <c r="X83" s="22" t="s">
        <v>62</v>
      </c>
      <c r="Y83" s="19">
        <v>16</v>
      </c>
      <c r="Z83" s="19">
        <v>49</v>
      </c>
      <c r="AA83" s="19">
        <v>81</v>
      </c>
      <c r="AB83" s="19">
        <v>0</v>
      </c>
      <c r="AC83" s="19">
        <v>1</v>
      </c>
      <c r="AD83" s="19">
        <v>0</v>
      </c>
      <c r="AE83" s="19">
        <v>0</v>
      </c>
      <c r="AF83" s="19">
        <v>5</v>
      </c>
      <c r="AG83" s="22" t="s">
        <v>62</v>
      </c>
      <c r="AH83" s="19">
        <v>0</v>
      </c>
      <c r="AI83" s="19">
        <v>0</v>
      </c>
      <c r="AJ83" s="19">
        <v>81</v>
      </c>
      <c r="AK83" s="19">
        <v>0</v>
      </c>
      <c r="AL83" s="19">
        <v>1</v>
      </c>
      <c r="AM83" s="21">
        <v>1</v>
      </c>
      <c r="AN83" s="21">
        <v>5</v>
      </c>
      <c r="AO83" s="21">
        <v>2</v>
      </c>
      <c r="AP83" s="21">
        <v>3</v>
      </c>
      <c r="AQ83" s="21">
        <v>3</v>
      </c>
      <c r="AR83" s="21">
        <v>2</v>
      </c>
      <c r="AS83" s="21">
        <v>2</v>
      </c>
      <c r="AT83" s="21">
        <v>3</v>
      </c>
      <c r="AU83" s="21">
        <v>5</v>
      </c>
      <c r="AV83" s="21">
        <v>5</v>
      </c>
      <c r="AW83" s="21">
        <v>6</v>
      </c>
      <c r="AX83" s="21">
        <v>6</v>
      </c>
      <c r="AY83" s="21">
        <v>1</v>
      </c>
      <c r="AZ83" s="21">
        <v>0</v>
      </c>
      <c r="BA83" s="21">
        <v>0</v>
      </c>
      <c r="BB83" s="21">
        <v>0</v>
      </c>
      <c r="BC83" s="21">
        <v>0</v>
      </c>
      <c r="BD83" s="21">
        <v>0</v>
      </c>
      <c r="BE83" s="21">
        <v>0</v>
      </c>
      <c r="BF83" s="21">
        <v>1</v>
      </c>
      <c r="BG83" s="21">
        <v>14</v>
      </c>
      <c r="BH83" s="21">
        <v>2.2999999999999998</v>
      </c>
      <c r="BI83" s="20" t="s">
        <v>63</v>
      </c>
      <c r="BJ83" s="21">
        <v>0</v>
      </c>
      <c r="BK83" s="21">
        <v>0</v>
      </c>
      <c r="BL83" s="21">
        <v>0</v>
      </c>
      <c r="BM83" s="21">
        <v>0</v>
      </c>
      <c r="BN83" s="21">
        <v>0</v>
      </c>
      <c r="BO83" s="21">
        <v>6</v>
      </c>
      <c r="BP83" s="21">
        <v>6</v>
      </c>
      <c r="BQ83" s="21">
        <v>4</v>
      </c>
      <c r="BR83" s="21">
        <v>5</v>
      </c>
      <c r="BS83" s="21">
        <v>2</v>
      </c>
      <c r="BT83" s="21">
        <v>2</v>
      </c>
      <c r="BU83" s="21">
        <v>4</v>
      </c>
      <c r="BV83" s="21">
        <v>0</v>
      </c>
      <c r="BW83" s="21">
        <v>2</v>
      </c>
      <c r="BX83" s="21">
        <v>1</v>
      </c>
      <c r="BY83" s="21">
        <v>0</v>
      </c>
      <c r="BZ83" s="21">
        <v>0</v>
      </c>
      <c r="CA83" s="21">
        <v>0</v>
      </c>
      <c r="CB83" s="21">
        <v>0</v>
      </c>
      <c r="CC83" s="21">
        <v>0</v>
      </c>
      <c r="CD83" s="21">
        <v>9</v>
      </c>
      <c r="CE83" s="21">
        <v>1.5</v>
      </c>
      <c r="CF83" s="20" t="s">
        <v>68</v>
      </c>
      <c r="CG83" s="20" t="s">
        <v>74</v>
      </c>
      <c r="CH83" s="20">
        <v>5.6700000000000001E-4</v>
      </c>
      <c r="CI83" s="19">
        <v>2</v>
      </c>
      <c r="CJ83" s="78">
        <v>2</v>
      </c>
      <c r="CK83" s="78" t="s">
        <v>224</v>
      </c>
      <c r="CL83" s="78" t="s">
        <v>224</v>
      </c>
      <c r="CM83" s="78">
        <v>176.93692100000001</v>
      </c>
      <c r="CN83" s="78">
        <v>1</v>
      </c>
      <c r="CO83" s="78">
        <v>1</v>
      </c>
      <c r="CP83" s="78" t="s">
        <v>224</v>
      </c>
      <c r="CQ83" s="78" t="s">
        <v>224</v>
      </c>
      <c r="CR83" s="12" t="str">
        <f>IF(COUNTIF(Incl!A:A,Raw!J83),1, "")</f>
        <v/>
      </c>
    </row>
    <row r="84" spans="1:96" ht="13.5" thickTop="1" thickBot="1" x14ac:dyDescent="0.3">
      <c r="A84" s="13">
        <v>81</v>
      </c>
      <c r="B84" s="14">
        <v>1</v>
      </c>
      <c r="C84" s="15">
        <v>453.95803999999998</v>
      </c>
      <c r="D84" s="14">
        <v>84</v>
      </c>
      <c r="E84" s="14">
        <v>1</v>
      </c>
      <c r="F84" s="14">
        <v>113</v>
      </c>
      <c r="G84" s="16">
        <v>117</v>
      </c>
      <c r="H84" s="14">
        <v>117</v>
      </c>
      <c r="I84" s="14">
        <v>117</v>
      </c>
      <c r="J84" s="14">
        <v>117</v>
      </c>
      <c r="K84" s="15" t="s">
        <v>60</v>
      </c>
      <c r="L84" s="15" t="s">
        <v>101</v>
      </c>
      <c r="M84" s="15" t="s">
        <v>97</v>
      </c>
      <c r="N84" s="16" t="s">
        <v>62</v>
      </c>
      <c r="O84" s="17" t="s">
        <v>62</v>
      </c>
      <c r="P84" s="17">
        <v>6</v>
      </c>
      <c r="Q84" s="16" t="s">
        <v>62</v>
      </c>
      <c r="R84" s="17" t="s">
        <v>62</v>
      </c>
      <c r="S84" s="17" t="s">
        <v>62</v>
      </c>
      <c r="T84" s="14">
        <v>6</v>
      </c>
      <c r="U84" s="16">
        <v>4</v>
      </c>
      <c r="V84" s="16">
        <v>4</v>
      </c>
      <c r="W84" s="16">
        <v>3</v>
      </c>
      <c r="X84" s="17" t="s">
        <v>62</v>
      </c>
      <c r="Y84" s="14">
        <v>70</v>
      </c>
      <c r="Z84" s="14">
        <v>70</v>
      </c>
      <c r="AA84" s="14">
        <v>53</v>
      </c>
      <c r="AB84" s="14">
        <v>0</v>
      </c>
      <c r="AC84" s="14">
        <v>0</v>
      </c>
      <c r="AD84" s="14">
        <v>4</v>
      </c>
      <c r="AE84" s="14">
        <v>3</v>
      </c>
      <c r="AF84" s="14">
        <v>2</v>
      </c>
      <c r="AG84" s="17" t="s">
        <v>62</v>
      </c>
      <c r="AH84" s="14">
        <v>70</v>
      </c>
      <c r="AI84" s="14">
        <v>53</v>
      </c>
      <c r="AJ84" s="14">
        <v>35</v>
      </c>
      <c r="AK84" s="14">
        <v>0</v>
      </c>
      <c r="AL84" s="14">
        <v>0</v>
      </c>
      <c r="AM84" s="16">
        <v>4</v>
      </c>
      <c r="AN84" s="16">
        <v>4</v>
      </c>
      <c r="AO84" s="16">
        <v>4</v>
      </c>
      <c r="AP84" s="16">
        <v>4</v>
      </c>
      <c r="AQ84" s="16">
        <v>4</v>
      </c>
      <c r="AR84" s="16">
        <v>3</v>
      </c>
      <c r="AS84" s="16">
        <v>3</v>
      </c>
      <c r="AT84" s="16">
        <v>3</v>
      </c>
      <c r="AU84" s="16">
        <v>3</v>
      </c>
      <c r="AV84" s="16">
        <v>3</v>
      </c>
      <c r="AW84" s="16">
        <v>0</v>
      </c>
      <c r="AX84" s="16">
        <v>0</v>
      </c>
      <c r="AY84" s="16">
        <v>0</v>
      </c>
      <c r="AZ84" s="16">
        <v>0</v>
      </c>
      <c r="BA84" s="16">
        <v>1</v>
      </c>
      <c r="BB84" s="16">
        <v>0</v>
      </c>
      <c r="BC84" s="16">
        <v>0</v>
      </c>
      <c r="BD84" s="16">
        <v>0</v>
      </c>
      <c r="BE84" s="16">
        <v>0</v>
      </c>
      <c r="BF84" s="16">
        <v>3</v>
      </c>
      <c r="BG84" s="16">
        <v>4</v>
      </c>
      <c r="BH84" s="16">
        <v>0.7</v>
      </c>
      <c r="BI84" s="15" t="s">
        <v>77</v>
      </c>
      <c r="BJ84" s="16">
        <v>4</v>
      </c>
      <c r="BK84" s="16">
        <v>4</v>
      </c>
      <c r="BL84" s="16">
        <v>3</v>
      </c>
      <c r="BM84" s="16">
        <v>3</v>
      </c>
      <c r="BN84" s="16">
        <v>3</v>
      </c>
      <c r="BO84" s="16">
        <v>3</v>
      </c>
      <c r="BP84" s="16">
        <v>3</v>
      </c>
      <c r="BQ84" s="16">
        <v>3</v>
      </c>
      <c r="BR84" s="16">
        <v>2</v>
      </c>
      <c r="BS84" s="16">
        <v>2</v>
      </c>
      <c r="BT84" s="16">
        <v>0</v>
      </c>
      <c r="BU84" s="16">
        <v>1</v>
      </c>
      <c r="BV84" s="16">
        <v>0</v>
      </c>
      <c r="BW84" s="16">
        <v>0</v>
      </c>
      <c r="BX84" s="16">
        <v>0</v>
      </c>
      <c r="BY84" s="16">
        <v>0</v>
      </c>
      <c r="BZ84" s="16">
        <v>0</v>
      </c>
      <c r="CA84" s="16">
        <v>1</v>
      </c>
      <c r="CB84" s="16">
        <v>0</v>
      </c>
      <c r="CC84" s="16">
        <v>2</v>
      </c>
      <c r="CD84" s="16">
        <v>4</v>
      </c>
      <c r="CE84" s="16">
        <v>0.7</v>
      </c>
      <c r="CF84" s="15" t="s">
        <v>77</v>
      </c>
      <c r="CG84" s="15" t="s">
        <v>71</v>
      </c>
      <c r="CH84" s="15">
        <v>1.457E-3</v>
      </c>
      <c r="CI84" s="14">
        <v>0</v>
      </c>
      <c r="CJ84" s="79">
        <v>1</v>
      </c>
      <c r="CK84" s="79">
        <v>1</v>
      </c>
      <c r="CL84" s="79">
        <v>1</v>
      </c>
      <c r="CM84" s="79">
        <v>460.61914899999999</v>
      </c>
      <c r="CN84" s="79">
        <v>1</v>
      </c>
      <c r="CO84" s="79">
        <v>1</v>
      </c>
      <c r="CP84" s="79" t="s">
        <v>224</v>
      </c>
      <c r="CQ84" s="79" t="s">
        <v>224</v>
      </c>
      <c r="CR84" s="12">
        <f>IF(COUNTIF(Incl!A:A,Raw!J84),1, "")</f>
        <v>1</v>
      </c>
    </row>
    <row r="85" spans="1:96" ht="13.5" thickTop="1" thickBot="1" x14ac:dyDescent="0.3">
      <c r="A85" s="18">
        <v>82</v>
      </c>
      <c r="B85" s="19">
        <v>1</v>
      </c>
      <c r="C85" s="20">
        <v>175.341204</v>
      </c>
      <c r="D85" s="19">
        <v>85</v>
      </c>
      <c r="E85" s="19">
        <v>1</v>
      </c>
      <c r="F85" s="19">
        <v>114</v>
      </c>
      <c r="G85" s="21">
        <v>119</v>
      </c>
      <c r="H85" s="19">
        <v>119</v>
      </c>
      <c r="I85" s="19">
        <v>119</v>
      </c>
      <c r="J85" s="19">
        <v>119</v>
      </c>
      <c r="K85" s="20" t="s">
        <v>60</v>
      </c>
      <c r="L85" s="20" t="s">
        <v>97</v>
      </c>
      <c r="M85" s="20" t="s">
        <v>105</v>
      </c>
      <c r="N85" s="21">
        <v>8</v>
      </c>
      <c r="O85" s="22" t="s">
        <v>62</v>
      </c>
      <c r="P85" s="22" t="s">
        <v>62</v>
      </c>
      <c r="Q85" s="21" t="s">
        <v>62</v>
      </c>
      <c r="R85" s="22" t="s">
        <v>62</v>
      </c>
      <c r="S85" s="22" t="s">
        <v>62</v>
      </c>
      <c r="T85" s="19">
        <v>8</v>
      </c>
      <c r="U85" s="21">
        <v>2</v>
      </c>
      <c r="V85" s="21">
        <v>1</v>
      </c>
      <c r="W85" s="21">
        <v>6</v>
      </c>
      <c r="X85" s="22" t="s">
        <v>62</v>
      </c>
      <c r="Y85" s="19">
        <v>24</v>
      </c>
      <c r="Z85" s="19">
        <v>12</v>
      </c>
      <c r="AA85" s="19">
        <v>71</v>
      </c>
      <c r="AB85" s="19">
        <v>0</v>
      </c>
      <c r="AC85" s="19">
        <v>0</v>
      </c>
      <c r="AD85" s="19">
        <v>0</v>
      </c>
      <c r="AE85" s="19">
        <v>0</v>
      </c>
      <c r="AF85" s="19">
        <v>4</v>
      </c>
      <c r="AG85" s="22" t="s">
        <v>62</v>
      </c>
      <c r="AH85" s="19">
        <v>0</v>
      </c>
      <c r="AI85" s="19">
        <v>0</v>
      </c>
      <c r="AJ85" s="19">
        <v>48</v>
      </c>
      <c r="AK85" s="19">
        <v>0</v>
      </c>
      <c r="AL85" s="19">
        <v>0</v>
      </c>
      <c r="AM85" s="21">
        <v>2</v>
      </c>
      <c r="AN85" s="21">
        <v>2</v>
      </c>
      <c r="AO85" s="21">
        <v>2</v>
      </c>
      <c r="AP85" s="21">
        <v>3</v>
      </c>
      <c r="AQ85" s="21">
        <v>1</v>
      </c>
      <c r="AR85" s="21">
        <v>0</v>
      </c>
      <c r="AS85" s="21">
        <v>1</v>
      </c>
      <c r="AT85" s="21">
        <v>2</v>
      </c>
      <c r="AU85" s="21">
        <v>6</v>
      </c>
      <c r="AV85" s="21">
        <v>7</v>
      </c>
      <c r="AW85" s="21">
        <v>7</v>
      </c>
      <c r="AX85" s="21">
        <v>7</v>
      </c>
      <c r="AY85" s="21">
        <v>0</v>
      </c>
      <c r="AZ85" s="21">
        <v>0</v>
      </c>
      <c r="BA85" s="21">
        <v>1</v>
      </c>
      <c r="BB85" s="21">
        <v>0</v>
      </c>
      <c r="BC85" s="21">
        <v>0</v>
      </c>
      <c r="BD85" s="21">
        <v>0</v>
      </c>
      <c r="BE85" s="21">
        <v>0</v>
      </c>
      <c r="BF85" s="21">
        <v>0</v>
      </c>
      <c r="BG85" s="21">
        <v>15</v>
      </c>
      <c r="BH85" s="21">
        <v>1.8</v>
      </c>
      <c r="BI85" s="20" t="s">
        <v>68</v>
      </c>
      <c r="BJ85" s="21">
        <v>0</v>
      </c>
      <c r="BK85" s="21">
        <v>0</v>
      </c>
      <c r="BL85" s="21">
        <v>0</v>
      </c>
      <c r="BM85" s="21">
        <v>0</v>
      </c>
      <c r="BN85" s="21">
        <v>0</v>
      </c>
      <c r="BO85" s="21">
        <v>3</v>
      </c>
      <c r="BP85" s="21">
        <v>6</v>
      </c>
      <c r="BQ85" s="21">
        <v>6</v>
      </c>
      <c r="BR85" s="21">
        <v>4</v>
      </c>
      <c r="BS85" s="21">
        <v>1</v>
      </c>
      <c r="BT85" s="21">
        <v>2</v>
      </c>
      <c r="BU85" s="21">
        <v>2</v>
      </c>
      <c r="BV85" s="21">
        <v>2</v>
      </c>
      <c r="BW85" s="21">
        <v>2</v>
      </c>
      <c r="BX85" s="21">
        <v>0</v>
      </c>
      <c r="BY85" s="21">
        <v>0</v>
      </c>
      <c r="BZ85" s="21">
        <v>0</v>
      </c>
      <c r="CA85" s="21">
        <v>0</v>
      </c>
      <c r="CB85" s="21">
        <v>0</v>
      </c>
      <c r="CC85" s="21">
        <v>0</v>
      </c>
      <c r="CD85" s="21">
        <v>8</v>
      </c>
      <c r="CE85" s="21">
        <v>1</v>
      </c>
      <c r="CF85" s="20" t="s">
        <v>77</v>
      </c>
      <c r="CG85" s="20" t="s">
        <v>74</v>
      </c>
      <c r="CH85" s="20">
        <v>5.62E-4</v>
      </c>
      <c r="CI85" s="19">
        <v>0</v>
      </c>
      <c r="CJ85" s="78">
        <v>2</v>
      </c>
      <c r="CK85" s="78" t="s">
        <v>224</v>
      </c>
      <c r="CL85" s="78" t="s">
        <v>224</v>
      </c>
      <c r="CM85" s="78">
        <v>175.34126599999999</v>
      </c>
      <c r="CN85" s="78">
        <v>1</v>
      </c>
      <c r="CO85" s="78">
        <v>1</v>
      </c>
      <c r="CP85" s="78" t="s">
        <v>224</v>
      </c>
      <c r="CQ85" s="78" t="s">
        <v>224</v>
      </c>
      <c r="CR85" s="12" t="str">
        <f>IF(COUNTIF(Incl!A:A,Raw!J85),1, "")</f>
        <v/>
      </c>
    </row>
    <row r="86" spans="1:96" ht="13.5" thickTop="1" thickBot="1" x14ac:dyDescent="0.3">
      <c r="A86" s="13">
        <v>83</v>
      </c>
      <c r="B86" s="14">
        <v>1</v>
      </c>
      <c r="C86" s="15">
        <v>506.90036199999997</v>
      </c>
      <c r="D86" s="14">
        <v>86</v>
      </c>
      <c r="E86" s="14">
        <v>1</v>
      </c>
      <c r="F86" s="14">
        <v>115</v>
      </c>
      <c r="G86" s="16">
        <v>182</v>
      </c>
      <c r="H86" s="14">
        <v>182</v>
      </c>
      <c r="I86" s="14">
        <v>182</v>
      </c>
      <c r="J86" s="14">
        <v>182</v>
      </c>
      <c r="K86" s="15" t="s">
        <v>104</v>
      </c>
      <c r="L86" s="15" t="s">
        <v>106</v>
      </c>
      <c r="M86" s="15" t="s">
        <v>60</v>
      </c>
      <c r="N86" s="16" t="s">
        <v>62</v>
      </c>
      <c r="O86" s="17" t="s">
        <v>62</v>
      </c>
      <c r="P86" s="17">
        <v>11</v>
      </c>
      <c r="Q86" s="16" t="s">
        <v>62</v>
      </c>
      <c r="R86" s="17" t="s">
        <v>62</v>
      </c>
      <c r="S86" s="17" t="s">
        <v>62</v>
      </c>
      <c r="T86" s="14">
        <v>11</v>
      </c>
      <c r="U86" s="16">
        <v>11</v>
      </c>
      <c r="V86" s="16">
        <v>10</v>
      </c>
      <c r="W86" s="16">
        <v>12</v>
      </c>
      <c r="X86" s="17">
        <v>12</v>
      </c>
      <c r="Y86" s="14">
        <v>96</v>
      </c>
      <c r="Z86" s="14">
        <v>88</v>
      </c>
      <c r="AA86" s="14">
        <v>105</v>
      </c>
      <c r="AB86" s="14">
        <v>105</v>
      </c>
      <c r="AC86" s="14">
        <v>4</v>
      </c>
      <c r="AD86" s="14">
        <v>8</v>
      </c>
      <c r="AE86" s="14">
        <v>10</v>
      </c>
      <c r="AF86" s="14">
        <v>11</v>
      </c>
      <c r="AG86" s="17">
        <v>11</v>
      </c>
      <c r="AH86" s="14">
        <v>70</v>
      </c>
      <c r="AI86" s="14">
        <v>88</v>
      </c>
      <c r="AJ86" s="14">
        <v>96</v>
      </c>
      <c r="AK86" s="14">
        <v>96</v>
      </c>
      <c r="AL86" s="14">
        <v>3</v>
      </c>
      <c r="AM86" s="16" t="s">
        <v>62</v>
      </c>
      <c r="AN86" s="16" t="s">
        <v>62</v>
      </c>
      <c r="AO86" s="16" t="s">
        <v>62</v>
      </c>
      <c r="AP86" s="16" t="s">
        <v>62</v>
      </c>
      <c r="AQ86" s="16" t="s">
        <v>62</v>
      </c>
      <c r="AR86" s="16" t="s">
        <v>62</v>
      </c>
      <c r="AS86" s="16" t="s">
        <v>62</v>
      </c>
      <c r="AT86" s="16" t="s">
        <v>62</v>
      </c>
      <c r="AU86" s="16" t="s">
        <v>62</v>
      </c>
      <c r="AV86" s="16" t="s">
        <v>62</v>
      </c>
      <c r="AW86" s="16" t="s">
        <v>62</v>
      </c>
      <c r="AX86" s="16" t="s">
        <v>62</v>
      </c>
      <c r="AY86" s="16" t="s">
        <v>62</v>
      </c>
      <c r="AZ86" s="16" t="s">
        <v>62</v>
      </c>
      <c r="BA86" s="16" t="s">
        <v>62</v>
      </c>
      <c r="BB86" s="16" t="s">
        <v>62</v>
      </c>
      <c r="BC86" s="16" t="s">
        <v>62</v>
      </c>
      <c r="BD86" s="16" t="s">
        <v>62</v>
      </c>
      <c r="BE86" s="16" t="s">
        <v>62</v>
      </c>
      <c r="BF86" s="16" t="s">
        <v>62</v>
      </c>
      <c r="BG86" s="16" t="s">
        <v>62</v>
      </c>
      <c r="BH86" s="16" t="s">
        <v>62</v>
      </c>
      <c r="BI86" s="15" t="s">
        <v>62</v>
      </c>
      <c r="BJ86" s="16" t="s">
        <v>62</v>
      </c>
      <c r="BK86" s="16" t="s">
        <v>62</v>
      </c>
      <c r="BL86" s="16" t="s">
        <v>62</v>
      </c>
      <c r="BM86" s="16" t="s">
        <v>62</v>
      </c>
      <c r="BN86" s="16" t="s">
        <v>62</v>
      </c>
      <c r="BO86" s="16" t="s">
        <v>62</v>
      </c>
      <c r="BP86" s="16" t="s">
        <v>62</v>
      </c>
      <c r="BQ86" s="16" t="s">
        <v>62</v>
      </c>
      <c r="BR86" s="16" t="s">
        <v>62</v>
      </c>
      <c r="BS86" s="16" t="s">
        <v>62</v>
      </c>
      <c r="BT86" s="16" t="s">
        <v>62</v>
      </c>
      <c r="BU86" s="16" t="s">
        <v>62</v>
      </c>
      <c r="BV86" s="16" t="s">
        <v>62</v>
      </c>
      <c r="BW86" s="16" t="s">
        <v>62</v>
      </c>
      <c r="BX86" s="16" t="s">
        <v>62</v>
      </c>
      <c r="BY86" s="16" t="s">
        <v>62</v>
      </c>
      <c r="BZ86" s="16" t="s">
        <v>62</v>
      </c>
      <c r="CA86" s="16" t="s">
        <v>62</v>
      </c>
      <c r="CB86" s="16" t="s">
        <v>62</v>
      </c>
      <c r="CC86" s="16" t="s">
        <v>62</v>
      </c>
      <c r="CD86" s="16" t="s">
        <v>62</v>
      </c>
      <c r="CE86" s="16" t="s">
        <v>62</v>
      </c>
      <c r="CF86" s="15" t="s">
        <v>62</v>
      </c>
      <c r="CG86" s="15" t="s">
        <v>64</v>
      </c>
      <c r="CH86" s="15">
        <v>1.639E-3</v>
      </c>
      <c r="CI86" s="14">
        <v>7</v>
      </c>
      <c r="CJ86" s="79">
        <v>3</v>
      </c>
      <c r="CK86" s="79" t="s">
        <v>224</v>
      </c>
      <c r="CL86" s="79" t="s">
        <v>224</v>
      </c>
      <c r="CM86" s="79">
        <v>506.900531</v>
      </c>
      <c r="CN86" s="79">
        <v>2</v>
      </c>
      <c r="CO86" s="79" t="s">
        <v>224</v>
      </c>
      <c r="CP86" s="79" t="s">
        <v>224</v>
      </c>
      <c r="CQ86" s="79" t="s">
        <v>224</v>
      </c>
      <c r="CR86" s="12" t="str">
        <f>IF(COUNTIF(Incl!A:A,Raw!J86),1, "")</f>
        <v/>
      </c>
    </row>
    <row r="87" spans="1:96" ht="13.5" thickTop="1" thickBot="1" x14ac:dyDescent="0.3">
      <c r="A87" s="13">
        <v>84</v>
      </c>
      <c r="B87" s="14">
        <v>1</v>
      </c>
      <c r="C87" s="15">
        <v>496.40463999999997</v>
      </c>
      <c r="D87" s="14">
        <v>87</v>
      </c>
      <c r="E87" s="14">
        <v>1</v>
      </c>
      <c r="F87" s="14">
        <v>116</v>
      </c>
      <c r="G87" s="16">
        <v>183</v>
      </c>
      <c r="H87" s="14">
        <v>183</v>
      </c>
      <c r="I87" s="14">
        <v>183</v>
      </c>
      <c r="J87" s="14">
        <v>183</v>
      </c>
      <c r="K87" s="15" t="s">
        <v>104</v>
      </c>
      <c r="L87" s="15" t="s">
        <v>60</v>
      </c>
      <c r="M87" s="15" t="s">
        <v>106</v>
      </c>
      <c r="N87" s="16" t="s">
        <v>62</v>
      </c>
      <c r="O87" s="17" t="s">
        <v>62</v>
      </c>
      <c r="P87" s="17">
        <v>19</v>
      </c>
      <c r="Q87" s="17" t="s">
        <v>62</v>
      </c>
      <c r="R87" s="17" t="s">
        <v>62</v>
      </c>
      <c r="S87" s="17" t="s">
        <v>62</v>
      </c>
      <c r="T87" s="14">
        <v>19</v>
      </c>
      <c r="U87" s="16">
        <v>18</v>
      </c>
      <c r="V87" s="16">
        <v>18</v>
      </c>
      <c r="W87" s="16">
        <v>19</v>
      </c>
      <c r="X87" s="17">
        <v>17</v>
      </c>
      <c r="Y87" s="14">
        <v>97</v>
      </c>
      <c r="Z87" s="14">
        <v>97</v>
      </c>
      <c r="AA87" s="14">
        <v>102</v>
      </c>
      <c r="AB87" s="14">
        <v>91</v>
      </c>
      <c r="AC87" s="14">
        <v>4</v>
      </c>
      <c r="AD87" s="14">
        <v>17</v>
      </c>
      <c r="AE87" s="14">
        <v>16</v>
      </c>
      <c r="AF87" s="14">
        <v>15</v>
      </c>
      <c r="AG87" s="17">
        <v>15</v>
      </c>
      <c r="AH87" s="14">
        <v>91</v>
      </c>
      <c r="AI87" s="14">
        <v>86</v>
      </c>
      <c r="AJ87" s="14">
        <v>81</v>
      </c>
      <c r="AK87" s="14">
        <v>81</v>
      </c>
      <c r="AL87" s="14">
        <v>4</v>
      </c>
      <c r="AM87" s="16" t="s">
        <v>62</v>
      </c>
      <c r="AN87" s="16" t="s">
        <v>62</v>
      </c>
      <c r="AO87" s="16" t="s">
        <v>62</v>
      </c>
      <c r="AP87" s="16" t="s">
        <v>62</v>
      </c>
      <c r="AQ87" s="16" t="s">
        <v>62</v>
      </c>
      <c r="AR87" s="16" t="s">
        <v>62</v>
      </c>
      <c r="AS87" s="16" t="s">
        <v>62</v>
      </c>
      <c r="AT87" s="16" t="s">
        <v>62</v>
      </c>
      <c r="AU87" s="16" t="s">
        <v>62</v>
      </c>
      <c r="AV87" s="16" t="s">
        <v>62</v>
      </c>
      <c r="AW87" s="16" t="s">
        <v>62</v>
      </c>
      <c r="AX87" s="16" t="s">
        <v>62</v>
      </c>
      <c r="AY87" s="16" t="s">
        <v>62</v>
      </c>
      <c r="AZ87" s="16" t="s">
        <v>62</v>
      </c>
      <c r="BA87" s="16" t="s">
        <v>62</v>
      </c>
      <c r="BB87" s="16" t="s">
        <v>62</v>
      </c>
      <c r="BC87" s="16" t="s">
        <v>62</v>
      </c>
      <c r="BD87" s="16" t="s">
        <v>62</v>
      </c>
      <c r="BE87" s="16" t="s">
        <v>62</v>
      </c>
      <c r="BF87" s="16" t="s">
        <v>62</v>
      </c>
      <c r="BG87" s="16" t="s">
        <v>62</v>
      </c>
      <c r="BH87" s="16" t="s">
        <v>62</v>
      </c>
      <c r="BI87" s="15" t="s">
        <v>62</v>
      </c>
      <c r="BJ87" s="16" t="s">
        <v>62</v>
      </c>
      <c r="BK87" s="16" t="s">
        <v>62</v>
      </c>
      <c r="BL87" s="16" t="s">
        <v>62</v>
      </c>
      <c r="BM87" s="16" t="s">
        <v>62</v>
      </c>
      <c r="BN87" s="16" t="s">
        <v>62</v>
      </c>
      <c r="BO87" s="16" t="s">
        <v>62</v>
      </c>
      <c r="BP87" s="16" t="s">
        <v>62</v>
      </c>
      <c r="BQ87" s="16" t="s">
        <v>62</v>
      </c>
      <c r="BR87" s="16" t="s">
        <v>62</v>
      </c>
      <c r="BS87" s="16" t="s">
        <v>62</v>
      </c>
      <c r="BT87" s="16" t="s">
        <v>62</v>
      </c>
      <c r="BU87" s="16" t="s">
        <v>62</v>
      </c>
      <c r="BV87" s="16" t="s">
        <v>62</v>
      </c>
      <c r="BW87" s="16" t="s">
        <v>62</v>
      </c>
      <c r="BX87" s="16" t="s">
        <v>62</v>
      </c>
      <c r="BY87" s="16" t="s">
        <v>62</v>
      </c>
      <c r="BZ87" s="16" t="s">
        <v>62</v>
      </c>
      <c r="CA87" s="16" t="s">
        <v>62</v>
      </c>
      <c r="CB87" s="16" t="s">
        <v>62</v>
      </c>
      <c r="CC87" s="16" t="s">
        <v>62</v>
      </c>
      <c r="CD87" s="16" t="s">
        <v>62</v>
      </c>
      <c r="CE87" s="16" t="s">
        <v>62</v>
      </c>
      <c r="CF87" s="15" t="s">
        <v>62</v>
      </c>
      <c r="CG87" s="15" t="s">
        <v>66</v>
      </c>
      <c r="CH87" s="15">
        <v>1.6050000000000001E-3</v>
      </c>
      <c r="CI87" s="14">
        <v>8</v>
      </c>
      <c r="CJ87" s="79">
        <v>3</v>
      </c>
      <c r="CK87" s="79" t="s">
        <v>224</v>
      </c>
      <c r="CL87" s="79" t="s">
        <v>224</v>
      </c>
      <c r="CM87" s="79">
        <v>496.404449</v>
      </c>
      <c r="CN87" s="79">
        <v>2</v>
      </c>
      <c r="CO87" s="79" t="s">
        <v>224</v>
      </c>
      <c r="CP87" s="79" t="s">
        <v>224</v>
      </c>
      <c r="CQ87" s="79" t="s">
        <v>224</v>
      </c>
      <c r="CR87" s="12" t="str">
        <f>IF(COUNTIF(Incl!A:A,Raw!J87),1, "")</f>
        <v/>
      </c>
    </row>
    <row r="88" spans="1:96" ht="13.5" thickTop="1" thickBot="1" x14ac:dyDescent="0.3">
      <c r="A88" s="18">
        <v>85</v>
      </c>
      <c r="B88" s="19">
        <v>1</v>
      </c>
      <c r="C88" s="20">
        <v>486.98463099999998</v>
      </c>
      <c r="D88" s="19">
        <v>88</v>
      </c>
      <c r="E88" s="19">
        <v>1</v>
      </c>
      <c r="F88" s="19">
        <v>117</v>
      </c>
      <c r="G88" s="21">
        <v>184</v>
      </c>
      <c r="H88" s="19">
        <v>184</v>
      </c>
      <c r="I88" s="19">
        <v>184</v>
      </c>
      <c r="J88" s="19">
        <v>184</v>
      </c>
      <c r="K88" s="20" t="s">
        <v>101</v>
      </c>
      <c r="L88" s="20" t="s">
        <v>106</v>
      </c>
      <c r="M88" s="20" t="s">
        <v>60</v>
      </c>
      <c r="N88" s="21" t="s">
        <v>62</v>
      </c>
      <c r="O88" s="22" t="s">
        <v>62</v>
      </c>
      <c r="P88" s="22">
        <v>15</v>
      </c>
      <c r="Q88" s="21" t="s">
        <v>62</v>
      </c>
      <c r="R88" s="22" t="s">
        <v>62</v>
      </c>
      <c r="S88" s="22" t="s">
        <v>62</v>
      </c>
      <c r="T88" s="19">
        <v>15</v>
      </c>
      <c r="U88" s="21">
        <v>12</v>
      </c>
      <c r="V88" s="21">
        <v>9</v>
      </c>
      <c r="W88" s="21">
        <v>11</v>
      </c>
      <c r="X88" s="22">
        <v>9</v>
      </c>
      <c r="Y88" s="19">
        <v>82</v>
      </c>
      <c r="Z88" s="19">
        <v>61</v>
      </c>
      <c r="AA88" s="19">
        <v>75</v>
      </c>
      <c r="AB88" s="19">
        <v>61</v>
      </c>
      <c r="AC88" s="19">
        <v>2</v>
      </c>
      <c r="AD88" s="19">
        <v>11</v>
      </c>
      <c r="AE88" s="19">
        <v>11</v>
      </c>
      <c r="AF88" s="19">
        <v>9</v>
      </c>
      <c r="AG88" s="22">
        <v>13</v>
      </c>
      <c r="AH88" s="19">
        <v>75</v>
      </c>
      <c r="AI88" s="19">
        <v>75</v>
      </c>
      <c r="AJ88" s="19">
        <v>61</v>
      </c>
      <c r="AK88" s="19">
        <v>89</v>
      </c>
      <c r="AL88" s="19">
        <v>3</v>
      </c>
      <c r="AM88" s="21" t="s">
        <v>62</v>
      </c>
      <c r="AN88" s="21" t="s">
        <v>62</v>
      </c>
      <c r="AO88" s="21" t="s">
        <v>62</v>
      </c>
      <c r="AP88" s="21" t="s">
        <v>62</v>
      </c>
      <c r="AQ88" s="21" t="s">
        <v>62</v>
      </c>
      <c r="AR88" s="21" t="s">
        <v>62</v>
      </c>
      <c r="AS88" s="21" t="s">
        <v>62</v>
      </c>
      <c r="AT88" s="21" t="s">
        <v>62</v>
      </c>
      <c r="AU88" s="21" t="s">
        <v>62</v>
      </c>
      <c r="AV88" s="21" t="s">
        <v>62</v>
      </c>
      <c r="AW88" s="21" t="s">
        <v>62</v>
      </c>
      <c r="AX88" s="21" t="s">
        <v>62</v>
      </c>
      <c r="AY88" s="21" t="s">
        <v>62</v>
      </c>
      <c r="AZ88" s="21" t="s">
        <v>62</v>
      </c>
      <c r="BA88" s="21" t="s">
        <v>62</v>
      </c>
      <c r="BB88" s="21" t="s">
        <v>62</v>
      </c>
      <c r="BC88" s="21" t="s">
        <v>62</v>
      </c>
      <c r="BD88" s="21" t="s">
        <v>62</v>
      </c>
      <c r="BE88" s="21" t="s">
        <v>62</v>
      </c>
      <c r="BF88" s="21" t="s">
        <v>62</v>
      </c>
      <c r="BG88" s="21" t="s">
        <v>62</v>
      </c>
      <c r="BH88" s="21" t="s">
        <v>62</v>
      </c>
      <c r="BI88" s="20" t="s">
        <v>62</v>
      </c>
      <c r="BJ88" s="21" t="s">
        <v>62</v>
      </c>
      <c r="BK88" s="21" t="s">
        <v>62</v>
      </c>
      <c r="BL88" s="21" t="s">
        <v>62</v>
      </c>
      <c r="BM88" s="21" t="s">
        <v>62</v>
      </c>
      <c r="BN88" s="21" t="s">
        <v>62</v>
      </c>
      <c r="BO88" s="21" t="s">
        <v>62</v>
      </c>
      <c r="BP88" s="21" t="s">
        <v>62</v>
      </c>
      <c r="BQ88" s="21" t="s">
        <v>62</v>
      </c>
      <c r="BR88" s="21" t="s">
        <v>62</v>
      </c>
      <c r="BS88" s="21" t="s">
        <v>62</v>
      </c>
      <c r="BT88" s="21" t="s">
        <v>62</v>
      </c>
      <c r="BU88" s="21" t="s">
        <v>62</v>
      </c>
      <c r="BV88" s="21" t="s">
        <v>62</v>
      </c>
      <c r="BW88" s="21" t="s">
        <v>62</v>
      </c>
      <c r="BX88" s="21" t="s">
        <v>62</v>
      </c>
      <c r="BY88" s="21" t="s">
        <v>62</v>
      </c>
      <c r="BZ88" s="21" t="s">
        <v>62</v>
      </c>
      <c r="CA88" s="21" t="s">
        <v>62</v>
      </c>
      <c r="CB88" s="21" t="s">
        <v>62</v>
      </c>
      <c r="CC88" s="21" t="s">
        <v>62</v>
      </c>
      <c r="CD88" s="21" t="s">
        <v>62</v>
      </c>
      <c r="CE88" s="21" t="s">
        <v>62</v>
      </c>
      <c r="CF88" s="20" t="s">
        <v>62</v>
      </c>
      <c r="CG88" s="20" t="s">
        <v>64</v>
      </c>
      <c r="CH88" s="20">
        <v>1.575E-3</v>
      </c>
      <c r="CI88" s="19">
        <v>5</v>
      </c>
      <c r="CJ88" s="78">
        <v>3</v>
      </c>
      <c r="CK88" s="78" t="s">
        <v>224</v>
      </c>
      <c r="CL88" s="78" t="s">
        <v>224</v>
      </c>
      <c r="CM88" s="78">
        <v>486.98453899999998</v>
      </c>
      <c r="CN88" s="78">
        <v>2</v>
      </c>
      <c r="CO88" s="78" t="s">
        <v>224</v>
      </c>
      <c r="CP88" s="78" t="s">
        <v>224</v>
      </c>
      <c r="CQ88" s="78" t="s">
        <v>224</v>
      </c>
      <c r="CR88" s="12" t="str">
        <f>IF(COUNTIF(Incl!A:A,Raw!J88),1, "")</f>
        <v/>
      </c>
    </row>
    <row r="89" spans="1:96" ht="13.5" thickTop="1" thickBot="1" x14ac:dyDescent="0.3">
      <c r="A89" s="18">
        <v>86</v>
      </c>
      <c r="B89" s="19">
        <v>1</v>
      </c>
      <c r="C89" s="20">
        <v>435.801896</v>
      </c>
      <c r="D89" s="19">
        <v>89</v>
      </c>
      <c r="E89" s="19">
        <v>1</v>
      </c>
      <c r="F89" s="19">
        <v>118</v>
      </c>
      <c r="G89" s="21">
        <v>185</v>
      </c>
      <c r="H89" s="19">
        <v>185</v>
      </c>
      <c r="I89" s="19">
        <v>185</v>
      </c>
      <c r="J89" s="19">
        <v>185</v>
      </c>
      <c r="K89" s="20" t="s">
        <v>101</v>
      </c>
      <c r="L89" s="20" t="s">
        <v>60</v>
      </c>
      <c r="M89" s="20" t="s">
        <v>106</v>
      </c>
      <c r="N89" s="21" t="s">
        <v>62</v>
      </c>
      <c r="O89" s="22" t="s">
        <v>62</v>
      </c>
      <c r="P89" s="22">
        <v>13</v>
      </c>
      <c r="Q89" s="22" t="s">
        <v>62</v>
      </c>
      <c r="R89" s="22" t="s">
        <v>62</v>
      </c>
      <c r="S89" s="22" t="s">
        <v>62</v>
      </c>
      <c r="T89" s="19">
        <v>13</v>
      </c>
      <c r="U89" s="21">
        <v>13</v>
      </c>
      <c r="V89" s="21">
        <v>13</v>
      </c>
      <c r="W89" s="21">
        <v>13</v>
      </c>
      <c r="X89" s="22">
        <v>12</v>
      </c>
      <c r="Y89" s="19">
        <v>97</v>
      </c>
      <c r="Z89" s="19">
        <v>97</v>
      </c>
      <c r="AA89" s="19">
        <v>97</v>
      </c>
      <c r="AB89" s="19">
        <v>90</v>
      </c>
      <c r="AC89" s="19">
        <v>4</v>
      </c>
      <c r="AD89" s="19">
        <v>11</v>
      </c>
      <c r="AE89" s="19">
        <v>12</v>
      </c>
      <c r="AF89" s="19">
        <v>12</v>
      </c>
      <c r="AG89" s="22">
        <v>13</v>
      </c>
      <c r="AH89" s="19">
        <v>82</v>
      </c>
      <c r="AI89" s="19">
        <v>90</v>
      </c>
      <c r="AJ89" s="19">
        <v>90</v>
      </c>
      <c r="AK89" s="19">
        <v>97</v>
      </c>
      <c r="AL89" s="19">
        <v>4</v>
      </c>
      <c r="AM89" s="21" t="s">
        <v>62</v>
      </c>
      <c r="AN89" s="21" t="s">
        <v>62</v>
      </c>
      <c r="AO89" s="21" t="s">
        <v>62</v>
      </c>
      <c r="AP89" s="21" t="s">
        <v>62</v>
      </c>
      <c r="AQ89" s="21" t="s">
        <v>62</v>
      </c>
      <c r="AR89" s="21" t="s">
        <v>62</v>
      </c>
      <c r="AS89" s="21" t="s">
        <v>62</v>
      </c>
      <c r="AT89" s="21" t="s">
        <v>62</v>
      </c>
      <c r="AU89" s="21" t="s">
        <v>62</v>
      </c>
      <c r="AV89" s="21" t="s">
        <v>62</v>
      </c>
      <c r="AW89" s="21" t="s">
        <v>62</v>
      </c>
      <c r="AX89" s="21" t="s">
        <v>62</v>
      </c>
      <c r="AY89" s="21" t="s">
        <v>62</v>
      </c>
      <c r="AZ89" s="21" t="s">
        <v>62</v>
      </c>
      <c r="BA89" s="21" t="s">
        <v>62</v>
      </c>
      <c r="BB89" s="21" t="s">
        <v>62</v>
      </c>
      <c r="BC89" s="21" t="s">
        <v>62</v>
      </c>
      <c r="BD89" s="21" t="s">
        <v>62</v>
      </c>
      <c r="BE89" s="21" t="s">
        <v>62</v>
      </c>
      <c r="BF89" s="21" t="s">
        <v>62</v>
      </c>
      <c r="BG89" s="21" t="s">
        <v>62</v>
      </c>
      <c r="BH89" s="21" t="s">
        <v>62</v>
      </c>
      <c r="BI89" s="20" t="s">
        <v>62</v>
      </c>
      <c r="BJ89" s="21" t="s">
        <v>62</v>
      </c>
      <c r="BK89" s="21" t="s">
        <v>62</v>
      </c>
      <c r="BL89" s="21" t="s">
        <v>62</v>
      </c>
      <c r="BM89" s="21" t="s">
        <v>62</v>
      </c>
      <c r="BN89" s="21" t="s">
        <v>62</v>
      </c>
      <c r="BO89" s="21" t="s">
        <v>62</v>
      </c>
      <c r="BP89" s="21" t="s">
        <v>62</v>
      </c>
      <c r="BQ89" s="21" t="s">
        <v>62</v>
      </c>
      <c r="BR89" s="21" t="s">
        <v>62</v>
      </c>
      <c r="BS89" s="21" t="s">
        <v>62</v>
      </c>
      <c r="BT89" s="21" t="s">
        <v>62</v>
      </c>
      <c r="BU89" s="21" t="s">
        <v>62</v>
      </c>
      <c r="BV89" s="21" t="s">
        <v>62</v>
      </c>
      <c r="BW89" s="21" t="s">
        <v>62</v>
      </c>
      <c r="BX89" s="21" t="s">
        <v>62</v>
      </c>
      <c r="BY89" s="21" t="s">
        <v>62</v>
      </c>
      <c r="BZ89" s="21" t="s">
        <v>62</v>
      </c>
      <c r="CA89" s="21" t="s">
        <v>62</v>
      </c>
      <c r="CB89" s="21" t="s">
        <v>62</v>
      </c>
      <c r="CC89" s="21" t="s">
        <v>62</v>
      </c>
      <c r="CD89" s="21" t="s">
        <v>62</v>
      </c>
      <c r="CE89" s="21" t="s">
        <v>62</v>
      </c>
      <c r="CF89" s="20" t="s">
        <v>62</v>
      </c>
      <c r="CG89" s="20" t="s">
        <v>66</v>
      </c>
      <c r="CH89" s="20">
        <v>1.41E-3</v>
      </c>
      <c r="CI89" s="19">
        <v>8</v>
      </c>
      <c r="CJ89" s="78">
        <v>3</v>
      </c>
      <c r="CK89" s="78" t="s">
        <v>224</v>
      </c>
      <c r="CL89" s="78" t="s">
        <v>224</v>
      </c>
      <c r="CM89" s="78">
        <v>435.801895</v>
      </c>
      <c r="CN89" s="78">
        <v>2</v>
      </c>
      <c r="CO89" s="78" t="s">
        <v>224</v>
      </c>
      <c r="CP89" s="78" t="s">
        <v>224</v>
      </c>
      <c r="CQ89" s="78" t="s">
        <v>224</v>
      </c>
      <c r="CR89" s="12" t="str">
        <f>IF(COUNTIF(Incl!A:A,Raw!J89),1, "")</f>
        <v/>
      </c>
    </row>
    <row r="90" spans="1:96" ht="13.5" thickTop="1" thickBot="1" x14ac:dyDescent="0.3">
      <c r="A90" s="13">
        <v>87</v>
      </c>
      <c r="B90" s="14">
        <v>1</v>
      </c>
      <c r="C90" s="15">
        <v>437.57264700000002</v>
      </c>
      <c r="D90" s="14">
        <v>90</v>
      </c>
      <c r="E90" s="14">
        <v>1</v>
      </c>
      <c r="F90" s="14">
        <v>119</v>
      </c>
      <c r="G90" s="16">
        <v>186</v>
      </c>
      <c r="H90" s="14">
        <v>186</v>
      </c>
      <c r="I90" s="14">
        <v>186</v>
      </c>
      <c r="J90" s="14">
        <v>186</v>
      </c>
      <c r="K90" s="15" t="s">
        <v>105</v>
      </c>
      <c r="L90" s="15" t="s">
        <v>106</v>
      </c>
      <c r="M90" s="15" t="s">
        <v>60</v>
      </c>
      <c r="N90" s="16" t="s">
        <v>62</v>
      </c>
      <c r="O90" s="17" t="s">
        <v>62</v>
      </c>
      <c r="P90" s="17">
        <v>16</v>
      </c>
      <c r="Q90" s="17" t="s">
        <v>62</v>
      </c>
      <c r="R90" s="17" t="s">
        <v>62</v>
      </c>
      <c r="S90" s="17" t="s">
        <v>62</v>
      </c>
      <c r="T90" s="14">
        <v>16</v>
      </c>
      <c r="U90" s="16">
        <v>17</v>
      </c>
      <c r="V90" s="16">
        <v>13</v>
      </c>
      <c r="W90" s="16">
        <v>13</v>
      </c>
      <c r="X90" s="17">
        <v>12</v>
      </c>
      <c r="Y90" s="14">
        <v>104</v>
      </c>
      <c r="Z90" s="14">
        <v>79</v>
      </c>
      <c r="AA90" s="14">
        <v>79</v>
      </c>
      <c r="AB90" s="14">
        <v>73</v>
      </c>
      <c r="AC90" s="14">
        <v>3</v>
      </c>
      <c r="AD90" s="14">
        <v>14</v>
      </c>
      <c r="AE90" s="14">
        <v>14</v>
      </c>
      <c r="AF90" s="14">
        <v>13</v>
      </c>
      <c r="AG90" s="17">
        <v>16</v>
      </c>
      <c r="AH90" s="14">
        <v>85</v>
      </c>
      <c r="AI90" s="14">
        <v>85</v>
      </c>
      <c r="AJ90" s="14">
        <v>79</v>
      </c>
      <c r="AK90" s="14">
        <v>98</v>
      </c>
      <c r="AL90" s="14">
        <v>4</v>
      </c>
      <c r="AM90" s="16" t="s">
        <v>62</v>
      </c>
      <c r="AN90" s="16" t="s">
        <v>62</v>
      </c>
      <c r="AO90" s="16" t="s">
        <v>62</v>
      </c>
      <c r="AP90" s="16" t="s">
        <v>62</v>
      </c>
      <c r="AQ90" s="16" t="s">
        <v>62</v>
      </c>
      <c r="AR90" s="16" t="s">
        <v>62</v>
      </c>
      <c r="AS90" s="16" t="s">
        <v>62</v>
      </c>
      <c r="AT90" s="16" t="s">
        <v>62</v>
      </c>
      <c r="AU90" s="16" t="s">
        <v>62</v>
      </c>
      <c r="AV90" s="16" t="s">
        <v>62</v>
      </c>
      <c r="AW90" s="16" t="s">
        <v>62</v>
      </c>
      <c r="AX90" s="16" t="s">
        <v>62</v>
      </c>
      <c r="AY90" s="16" t="s">
        <v>62</v>
      </c>
      <c r="AZ90" s="16" t="s">
        <v>62</v>
      </c>
      <c r="BA90" s="16" t="s">
        <v>62</v>
      </c>
      <c r="BB90" s="16" t="s">
        <v>62</v>
      </c>
      <c r="BC90" s="16" t="s">
        <v>62</v>
      </c>
      <c r="BD90" s="16" t="s">
        <v>62</v>
      </c>
      <c r="BE90" s="16" t="s">
        <v>62</v>
      </c>
      <c r="BF90" s="16" t="s">
        <v>62</v>
      </c>
      <c r="BG90" s="16" t="s">
        <v>62</v>
      </c>
      <c r="BH90" s="16" t="s">
        <v>62</v>
      </c>
      <c r="BI90" s="15" t="s">
        <v>62</v>
      </c>
      <c r="BJ90" s="16" t="s">
        <v>62</v>
      </c>
      <c r="BK90" s="16" t="s">
        <v>62</v>
      </c>
      <c r="BL90" s="16" t="s">
        <v>62</v>
      </c>
      <c r="BM90" s="16" t="s">
        <v>62</v>
      </c>
      <c r="BN90" s="16" t="s">
        <v>62</v>
      </c>
      <c r="BO90" s="16" t="s">
        <v>62</v>
      </c>
      <c r="BP90" s="16" t="s">
        <v>62</v>
      </c>
      <c r="BQ90" s="16" t="s">
        <v>62</v>
      </c>
      <c r="BR90" s="16" t="s">
        <v>62</v>
      </c>
      <c r="BS90" s="16" t="s">
        <v>62</v>
      </c>
      <c r="BT90" s="16" t="s">
        <v>62</v>
      </c>
      <c r="BU90" s="16" t="s">
        <v>62</v>
      </c>
      <c r="BV90" s="16" t="s">
        <v>62</v>
      </c>
      <c r="BW90" s="16" t="s">
        <v>62</v>
      </c>
      <c r="BX90" s="16" t="s">
        <v>62</v>
      </c>
      <c r="BY90" s="16" t="s">
        <v>62</v>
      </c>
      <c r="BZ90" s="16" t="s">
        <v>62</v>
      </c>
      <c r="CA90" s="16" t="s">
        <v>62</v>
      </c>
      <c r="CB90" s="16" t="s">
        <v>62</v>
      </c>
      <c r="CC90" s="16" t="s">
        <v>62</v>
      </c>
      <c r="CD90" s="16" t="s">
        <v>62</v>
      </c>
      <c r="CE90" s="16" t="s">
        <v>62</v>
      </c>
      <c r="CF90" s="15" t="s">
        <v>62</v>
      </c>
      <c r="CG90" s="15" t="s">
        <v>64</v>
      </c>
      <c r="CH90" s="15">
        <v>1.4159999999999999E-3</v>
      </c>
      <c r="CI90" s="14">
        <v>7</v>
      </c>
      <c r="CJ90" s="79">
        <v>3</v>
      </c>
      <c r="CK90" s="79" t="s">
        <v>224</v>
      </c>
      <c r="CL90" s="79" t="s">
        <v>224</v>
      </c>
      <c r="CM90" s="79">
        <v>437.57267200000001</v>
      </c>
      <c r="CN90" s="79">
        <v>2</v>
      </c>
      <c r="CO90" s="79" t="s">
        <v>224</v>
      </c>
      <c r="CP90" s="79" t="s">
        <v>224</v>
      </c>
      <c r="CQ90" s="79" t="s">
        <v>224</v>
      </c>
      <c r="CR90" s="12" t="str">
        <f>IF(COUNTIF(Incl!A:A,Raw!J90),1, "")</f>
        <v/>
      </c>
    </row>
    <row r="91" spans="1:96" ht="13.5" thickTop="1" thickBot="1" x14ac:dyDescent="0.3">
      <c r="A91" s="13">
        <v>88</v>
      </c>
      <c r="B91" s="14">
        <v>1</v>
      </c>
      <c r="C91" s="15">
        <v>428.31645500000002</v>
      </c>
      <c r="D91" s="14">
        <v>91</v>
      </c>
      <c r="E91" s="14">
        <v>1</v>
      </c>
      <c r="F91" s="14">
        <v>120</v>
      </c>
      <c r="G91" s="16">
        <v>187</v>
      </c>
      <c r="H91" s="14">
        <v>187</v>
      </c>
      <c r="I91" s="14">
        <v>187</v>
      </c>
      <c r="J91" s="14">
        <v>187</v>
      </c>
      <c r="K91" s="15" t="s">
        <v>105</v>
      </c>
      <c r="L91" s="15" t="s">
        <v>60</v>
      </c>
      <c r="M91" s="15" t="s">
        <v>106</v>
      </c>
      <c r="N91" s="16" t="s">
        <v>62</v>
      </c>
      <c r="O91" s="17" t="s">
        <v>62</v>
      </c>
      <c r="P91" s="17">
        <v>18</v>
      </c>
      <c r="Q91" s="16" t="s">
        <v>62</v>
      </c>
      <c r="R91" s="17" t="s">
        <v>62</v>
      </c>
      <c r="S91" s="17" t="s">
        <v>62</v>
      </c>
      <c r="T91" s="14">
        <v>18</v>
      </c>
      <c r="U91" s="16">
        <v>19</v>
      </c>
      <c r="V91" s="16">
        <v>17</v>
      </c>
      <c r="W91" s="16">
        <v>16</v>
      </c>
      <c r="X91" s="17">
        <v>17</v>
      </c>
      <c r="Y91" s="14">
        <v>108</v>
      </c>
      <c r="Z91" s="14">
        <v>97</v>
      </c>
      <c r="AA91" s="14">
        <v>91</v>
      </c>
      <c r="AB91" s="14">
        <v>97</v>
      </c>
      <c r="AC91" s="14">
        <v>4</v>
      </c>
      <c r="AD91" s="14">
        <v>16</v>
      </c>
      <c r="AE91" s="14">
        <v>18</v>
      </c>
      <c r="AF91" s="14">
        <v>17</v>
      </c>
      <c r="AG91" s="17">
        <v>18</v>
      </c>
      <c r="AH91" s="14">
        <v>91</v>
      </c>
      <c r="AI91" s="14">
        <v>102</v>
      </c>
      <c r="AJ91" s="14">
        <v>97</v>
      </c>
      <c r="AK91" s="14">
        <v>102</v>
      </c>
      <c r="AL91" s="14">
        <v>4</v>
      </c>
      <c r="AM91" s="16" t="s">
        <v>62</v>
      </c>
      <c r="AN91" s="16" t="s">
        <v>62</v>
      </c>
      <c r="AO91" s="16" t="s">
        <v>62</v>
      </c>
      <c r="AP91" s="16" t="s">
        <v>62</v>
      </c>
      <c r="AQ91" s="16" t="s">
        <v>62</v>
      </c>
      <c r="AR91" s="16" t="s">
        <v>62</v>
      </c>
      <c r="AS91" s="16" t="s">
        <v>62</v>
      </c>
      <c r="AT91" s="16" t="s">
        <v>62</v>
      </c>
      <c r="AU91" s="16" t="s">
        <v>62</v>
      </c>
      <c r="AV91" s="16" t="s">
        <v>62</v>
      </c>
      <c r="AW91" s="16" t="s">
        <v>62</v>
      </c>
      <c r="AX91" s="16" t="s">
        <v>62</v>
      </c>
      <c r="AY91" s="16" t="s">
        <v>62</v>
      </c>
      <c r="AZ91" s="16" t="s">
        <v>62</v>
      </c>
      <c r="BA91" s="16" t="s">
        <v>62</v>
      </c>
      <c r="BB91" s="16" t="s">
        <v>62</v>
      </c>
      <c r="BC91" s="16" t="s">
        <v>62</v>
      </c>
      <c r="BD91" s="16" t="s">
        <v>62</v>
      </c>
      <c r="BE91" s="16" t="s">
        <v>62</v>
      </c>
      <c r="BF91" s="16" t="s">
        <v>62</v>
      </c>
      <c r="BG91" s="16" t="s">
        <v>62</v>
      </c>
      <c r="BH91" s="16" t="s">
        <v>62</v>
      </c>
      <c r="BI91" s="15" t="s">
        <v>62</v>
      </c>
      <c r="BJ91" s="16" t="s">
        <v>62</v>
      </c>
      <c r="BK91" s="16" t="s">
        <v>62</v>
      </c>
      <c r="BL91" s="16" t="s">
        <v>62</v>
      </c>
      <c r="BM91" s="16" t="s">
        <v>62</v>
      </c>
      <c r="BN91" s="16" t="s">
        <v>62</v>
      </c>
      <c r="BO91" s="16" t="s">
        <v>62</v>
      </c>
      <c r="BP91" s="16" t="s">
        <v>62</v>
      </c>
      <c r="BQ91" s="16" t="s">
        <v>62</v>
      </c>
      <c r="BR91" s="16" t="s">
        <v>62</v>
      </c>
      <c r="BS91" s="16" t="s">
        <v>62</v>
      </c>
      <c r="BT91" s="16" t="s">
        <v>62</v>
      </c>
      <c r="BU91" s="16" t="s">
        <v>62</v>
      </c>
      <c r="BV91" s="16" t="s">
        <v>62</v>
      </c>
      <c r="BW91" s="16" t="s">
        <v>62</v>
      </c>
      <c r="BX91" s="16" t="s">
        <v>62</v>
      </c>
      <c r="BY91" s="16" t="s">
        <v>62</v>
      </c>
      <c r="BZ91" s="16" t="s">
        <v>62</v>
      </c>
      <c r="CA91" s="16" t="s">
        <v>62</v>
      </c>
      <c r="CB91" s="16" t="s">
        <v>62</v>
      </c>
      <c r="CC91" s="16" t="s">
        <v>62</v>
      </c>
      <c r="CD91" s="16" t="s">
        <v>62</v>
      </c>
      <c r="CE91" s="16" t="s">
        <v>62</v>
      </c>
      <c r="CF91" s="15" t="s">
        <v>62</v>
      </c>
      <c r="CG91" s="15" t="s">
        <v>66</v>
      </c>
      <c r="CH91" s="15">
        <v>1.3760000000000001E-3</v>
      </c>
      <c r="CI91" s="14">
        <v>8</v>
      </c>
      <c r="CJ91" s="79">
        <v>3</v>
      </c>
      <c r="CK91" s="79" t="s">
        <v>224</v>
      </c>
      <c r="CL91" s="79" t="s">
        <v>224</v>
      </c>
      <c r="CM91" s="79">
        <v>428.31648000000001</v>
      </c>
      <c r="CN91" s="79">
        <v>2</v>
      </c>
      <c r="CO91" s="79" t="s">
        <v>224</v>
      </c>
      <c r="CP91" s="79" t="s">
        <v>224</v>
      </c>
      <c r="CQ91" s="79" t="s">
        <v>224</v>
      </c>
      <c r="CR91" s="12" t="str">
        <f>IF(COUNTIF(Incl!A:A,Raw!J91),1, "")</f>
        <v/>
      </c>
    </row>
    <row r="92" spans="1:96" ht="13.5" thickTop="1" thickBot="1" x14ac:dyDescent="0.3">
      <c r="A92" s="18">
        <v>89</v>
      </c>
      <c r="B92" s="19">
        <v>1</v>
      </c>
      <c r="C92" s="20">
        <v>123.450951</v>
      </c>
      <c r="D92" s="19">
        <v>92</v>
      </c>
      <c r="E92" s="19">
        <v>1</v>
      </c>
      <c r="F92" s="19">
        <v>121</v>
      </c>
      <c r="G92" s="21">
        <v>136</v>
      </c>
      <c r="H92" s="19">
        <v>136</v>
      </c>
      <c r="I92" s="19">
        <v>136</v>
      </c>
      <c r="J92" s="19">
        <v>136</v>
      </c>
      <c r="K92" s="20" t="s">
        <v>106</v>
      </c>
      <c r="L92" s="20" t="s">
        <v>107</v>
      </c>
      <c r="M92" s="20" t="s">
        <v>104</v>
      </c>
      <c r="N92" s="21" t="s">
        <v>62</v>
      </c>
      <c r="O92" s="22" t="s">
        <v>62</v>
      </c>
      <c r="P92" s="22">
        <v>5</v>
      </c>
      <c r="Q92" s="22" t="s">
        <v>62</v>
      </c>
      <c r="R92" s="22" t="s">
        <v>62</v>
      </c>
      <c r="S92" s="22" t="s">
        <v>62</v>
      </c>
      <c r="T92" s="19">
        <v>5</v>
      </c>
      <c r="U92" s="21">
        <v>4</v>
      </c>
      <c r="V92" s="21">
        <v>3</v>
      </c>
      <c r="W92" s="21">
        <v>4</v>
      </c>
      <c r="X92" s="22">
        <v>4</v>
      </c>
      <c r="Y92" s="19">
        <v>83</v>
      </c>
      <c r="Z92" s="19">
        <v>63</v>
      </c>
      <c r="AA92" s="19">
        <v>83</v>
      </c>
      <c r="AB92" s="19">
        <v>83</v>
      </c>
      <c r="AC92" s="19">
        <v>3</v>
      </c>
      <c r="AD92" s="19">
        <v>4</v>
      </c>
      <c r="AE92" s="19">
        <v>1</v>
      </c>
      <c r="AF92" s="19">
        <v>3</v>
      </c>
      <c r="AG92" s="22">
        <v>5</v>
      </c>
      <c r="AH92" s="19">
        <v>83</v>
      </c>
      <c r="AI92" s="19">
        <v>21</v>
      </c>
      <c r="AJ92" s="19">
        <v>63</v>
      </c>
      <c r="AK92" s="19">
        <v>104</v>
      </c>
      <c r="AL92" s="19">
        <v>2</v>
      </c>
      <c r="AM92" s="21" t="s">
        <v>62</v>
      </c>
      <c r="AN92" s="21" t="s">
        <v>62</v>
      </c>
      <c r="AO92" s="21" t="s">
        <v>62</v>
      </c>
      <c r="AP92" s="21" t="s">
        <v>62</v>
      </c>
      <c r="AQ92" s="21" t="s">
        <v>62</v>
      </c>
      <c r="AR92" s="21" t="s">
        <v>62</v>
      </c>
      <c r="AS92" s="21" t="s">
        <v>62</v>
      </c>
      <c r="AT92" s="21" t="s">
        <v>62</v>
      </c>
      <c r="AU92" s="21" t="s">
        <v>62</v>
      </c>
      <c r="AV92" s="21" t="s">
        <v>62</v>
      </c>
      <c r="AW92" s="21" t="s">
        <v>62</v>
      </c>
      <c r="AX92" s="21" t="s">
        <v>62</v>
      </c>
      <c r="AY92" s="21" t="s">
        <v>62</v>
      </c>
      <c r="AZ92" s="21" t="s">
        <v>62</v>
      </c>
      <c r="BA92" s="21" t="s">
        <v>62</v>
      </c>
      <c r="BB92" s="21" t="s">
        <v>62</v>
      </c>
      <c r="BC92" s="21" t="s">
        <v>62</v>
      </c>
      <c r="BD92" s="21" t="s">
        <v>62</v>
      </c>
      <c r="BE92" s="21" t="s">
        <v>62</v>
      </c>
      <c r="BF92" s="21" t="s">
        <v>62</v>
      </c>
      <c r="BG92" s="21" t="s">
        <v>62</v>
      </c>
      <c r="BH92" s="21" t="s">
        <v>62</v>
      </c>
      <c r="BI92" s="20" t="s">
        <v>62</v>
      </c>
      <c r="BJ92" s="21" t="s">
        <v>62</v>
      </c>
      <c r="BK92" s="21" t="s">
        <v>62</v>
      </c>
      <c r="BL92" s="21" t="s">
        <v>62</v>
      </c>
      <c r="BM92" s="21" t="s">
        <v>62</v>
      </c>
      <c r="BN92" s="21" t="s">
        <v>62</v>
      </c>
      <c r="BO92" s="21" t="s">
        <v>62</v>
      </c>
      <c r="BP92" s="21" t="s">
        <v>62</v>
      </c>
      <c r="BQ92" s="21" t="s">
        <v>62</v>
      </c>
      <c r="BR92" s="21" t="s">
        <v>62</v>
      </c>
      <c r="BS92" s="21" t="s">
        <v>62</v>
      </c>
      <c r="BT92" s="21" t="s">
        <v>62</v>
      </c>
      <c r="BU92" s="21" t="s">
        <v>62</v>
      </c>
      <c r="BV92" s="21" t="s">
        <v>62</v>
      </c>
      <c r="BW92" s="21" t="s">
        <v>62</v>
      </c>
      <c r="BX92" s="21" t="s">
        <v>62</v>
      </c>
      <c r="BY92" s="21" t="s">
        <v>62</v>
      </c>
      <c r="BZ92" s="21" t="s">
        <v>62</v>
      </c>
      <c r="CA92" s="21" t="s">
        <v>62</v>
      </c>
      <c r="CB92" s="21" t="s">
        <v>62</v>
      </c>
      <c r="CC92" s="21" t="s">
        <v>62</v>
      </c>
      <c r="CD92" s="21" t="s">
        <v>62</v>
      </c>
      <c r="CE92" s="21" t="s">
        <v>62</v>
      </c>
      <c r="CF92" s="20" t="s">
        <v>62</v>
      </c>
      <c r="CG92" s="20" t="s">
        <v>71</v>
      </c>
      <c r="CH92" s="20">
        <v>3.7100000000000002E-4</v>
      </c>
      <c r="CI92" s="19">
        <v>5</v>
      </c>
      <c r="CJ92" s="78">
        <v>3</v>
      </c>
      <c r="CK92" s="78" t="s">
        <v>224</v>
      </c>
      <c r="CL92" s="78" t="s">
        <v>224</v>
      </c>
      <c r="CM92" s="78">
        <v>123.451065</v>
      </c>
      <c r="CN92" s="78">
        <v>2</v>
      </c>
      <c r="CO92" s="78" t="s">
        <v>224</v>
      </c>
      <c r="CP92" s="78" t="s">
        <v>224</v>
      </c>
      <c r="CQ92" s="78" t="s">
        <v>224</v>
      </c>
      <c r="CR92" s="12" t="str">
        <f>IF(COUNTIF(Incl!A:A,Raw!J92),1, "")</f>
        <v/>
      </c>
    </row>
    <row r="93" spans="1:96" ht="13.5" thickTop="1" thickBot="1" x14ac:dyDescent="0.3">
      <c r="A93" s="13">
        <v>90</v>
      </c>
      <c r="B93" s="14">
        <v>1</v>
      </c>
      <c r="C93" s="15">
        <v>833.82224799999995</v>
      </c>
      <c r="D93" s="14">
        <v>93</v>
      </c>
      <c r="E93" s="14">
        <v>1</v>
      </c>
      <c r="F93" s="14">
        <v>122</v>
      </c>
      <c r="G93" s="16">
        <v>138</v>
      </c>
      <c r="H93" s="14">
        <v>138</v>
      </c>
      <c r="I93" s="14">
        <v>138</v>
      </c>
      <c r="J93" s="14">
        <v>138</v>
      </c>
      <c r="K93" s="15" t="s">
        <v>106</v>
      </c>
      <c r="L93" s="15" t="s">
        <v>108</v>
      </c>
      <c r="M93" s="15" t="s">
        <v>107</v>
      </c>
      <c r="N93" s="17" t="s">
        <v>62</v>
      </c>
      <c r="O93" s="16" t="s">
        <v>62</v>
      </c>
      <c r="P93" s="17">
        <v>32</v>
      </c>
      <c r="Q93" s="17" t="s">
        <v>62</v>
      </c>
      <c r="R93" s="17" t="s">
        <v>62</v>
      </c>
      <c r="S93" s="17" t="s">
        <v>62</v>
      </c>
      <c r="T93" s="14">
        <v>32</v>
      </c>
      <c r="U93" s="16">
        <v>11</v>
      </c>
      <c r="V93" s="16">
        <v>11</v>
      </c>
      <c r="W93" s="16">
        <v>12</v>
      </c>
      <c r="X93" s="16">
        <v>11</v>
      </c>
      <c r="Y93" s="14">
        <v>34</v>
      </c>
      <c r="Z93" s="14">
        <v>34</v>
      </c>
      <c r="AA93" s="14">
        <v>38</v>
      </c>
      <c r="AB93" s="14">
        <v>34</v>
      </c>
      <c r="AC93" s="14">
        <v>0</v>
      </c>
      <c r="AD93" s="14">
        <v>15</v>
      </c>
      <c r="AE93" s="14">
        <v>13</v>
      </c>
      <c r="AF93" s="14">
        <v>14</v>
      </c>
      <c r="AG93" s="16">
        <v>16</v>
      </c>
      <c r="AH93" s="14">
        <v>47</v>
      </c>
      <c r="AI93" s="14">
        <v>41</v>
      </c>
      <c r="AJ93" s="14">
        <v>44</v>
      </c>
      <c r="AK93" s="14">
        <v>50</v>
      </c>
      <c r="AL93" s="14">
        <v>0</v>
      </c>
      <c r="AM93" s="17" t="s">
        <v>62</v>
      </c>
      <c r="AN93" s="17" t="s">
        <v>62</v>
      </c>
      <c r="AO93" s="17" t="s">
        <v>62</v>
      </c>
      <c r="AP93" s="17" t="s">
        <v>62</v>
      </c>
      <c r="AQ93" s="17" t="s">
        <v>62</v>
      </c>
      <c r="AR93" s="17" t="s">
        <v>62</v>
      </c>
      <c r="AS93" s="17" t="s">
        <v>62</v>
      </c>
      <c r="AT93" s="17" t="s">
        <v>62</v>
      </c>
      <c r="AU93" s="17" t="s">
        <v>62</v>
      </c>
      <c r="AV93" s="17" t="s">
        <v>62</v>
      </c>
      <c r="AW93" s="17" t="s">
        <v>62</v>
      </c>
      <c r="AX93" s="17" t="s">
        <v>62</v>
      </c>
      <c r="AY93" s="17" t="s">
        <v>62</v>
      </c>
      <c r="AZ93" s="17" t="s">
        <v>62</v>
      </c>
      <c r="BA93" s="17" t="s">
        <v>62</v>
      </c>
      <c r="BB93" s="17" t="s">
        <v>62</v>
      </c>
      <c r="BC93" s="17" t="s">
        <v>62</v>
      </c>
      <c r="BD93" s="17" t="s">
        <v>62</v>
      </c>
      <c r="BE93" s="17" t="s">
        <v>62</v>
      </c>
      <c r="BF93" s="17" t="s">
        <v>62</v>
      </c>
      <c r="BG93" s="17" t="s">
        <v>62</v>
      </c>
      <c r="BH93" s="17" t="s">
        <v>62</v>
      </c>
      <c r="BI93" s="17" t="s">
        <v>62</v>
      </c>
      <c r="BJ93" s="17" t="s">
        <v>62</v>
      </c>
      <c r="BK93" s="17" t="s">
        <v>62</v>
      </c>
      <c r="BL93" s="17" t="s">
        <v>62</v>
      </c>
      <c r="BM93" s="17" t="s">
        <v>62</v>
      </c>
      <c r="BN93" s="17" t="s">
        <v>62</v>
      </c>
      <c r="BO93" s="17" t="s">
        <v>62</v>
      </c>
      <c r="BP93" s="17" t="s">
        <v>62</v>
      </c>
      <c r="BQ93" s="17" t="s">
        <v>62</v>
      </c>
      <c r="BR93" s="17" t="s">
        <v>62</v>
      </c>
      <c r="BS93" s="17" t="s">
        <v>62</v>
      </c>
      <c r="BT93" s="17" t="s">
        <v>62</v>
      </c>
      <c r="BU93" s="17" t="s">
        <v>62</v>
      </c>
      <c r="BV93" s="17" t="s">
        <v>62</v>
      </c>
      <c r="BW93" s="17" t="s">
        <v>62</v>
      </c>
      <c r="BX93" s="17" t="s">
        <v>62</v>
      </c>
      <c r="BY93" s="17" t="s">
        <v>62</v>
      </c>
      <c r="BZ93" s="17" t="s">
        <v>62</v>
      </c>
      <c r="CA93" s="17" t="s">
        <v>62</v>
      </c>
      <c r="CB93" s="17" t="s">
        <v>62</v>
      </c>
      <c r="CC93" s="17" t="s">
        <v>62</v>
      </c>
      <c r="CD93" s="17" t="s">
        <v>62</v>
      </c>
      <c r="CE93" s="17" t="s">
        <v>62</v>
      </c>
      <c r="CF93" s="17" t="s">
        <v>62</v>
      </c>
      <c r="CG93" s="15" t="s">
        <v>74</v>
      </c>
      <c r="CH93" s="15">
        <v>2.5379999999999999E-3</v>
      </c>
      <c r="CI93" s="14">
        <v>0</v>
      </c>
      <c r="CJ93" s="79">
        <v>3</v>
      </c>
      <c r="CK93" s="79" t="s">
        <v>224</v>
      </c>
      <c r="CL93" s="79" t="s">
        <v>224</v>
      </c>
      <c r="CM93" s="79">
        <v>833.82243100000005</v>
      </c>
      <c r="CN93" s="79">
        <v>2</v>
      </c>
      <c r="CO93" s="79" t="s">
        <v>224</v>
      </c>
      <c r="CP93" s="79" t="s">
        <v>224</v>
      </c>
      <c r="CQ93" s="79" t="s">
        <v>224</v>
      </c>
      <c r="CR93" s="12" t="str">
        <f>IF(COUNTIF(Incl!A:A,Raw!J93),1, "")</f>
        <v/>
      </c>
    </row>
    <row r="94" spans="1:96" ht="13.5" thickTop="1" thickBot="1" x14ac:dyDescent="0.3">
      <c r="A94" s="18">
        <v>91</v>
      </c>
      <c r="B94" s="19">
        <v>1</v>
      </c>
      <c r="C94" s="20">
        <v>499.78719999999998</v>
      </c>
      <c r="D94" s="19">
        <v>94</v>
      </c>
      <c r="E94" s="19">
        <v>1</v>
      </c>
      <c r="F94" s="19">
        <v>123</v>
      </c>
      <c r="G94" s="21">
        <v>141</v>
      </c>
      <c r="H94" s="19">
        <v>141</v>
      </c>
      <c r="I94" s="19">
        <v>141</v>
      </c>
      <c r="J94" s="19">
        <v>141</v>
      </c>
      <c r="K94" s="20" t="s">
        <v>106</v>
      </c>
      <c r="L94" s="20" t="s">
        <v>109</v>
      </c>
      <c r="M94" s="20" t="s">
        <v>108</v>
      </c>
      <c r="N94" s="22" t="s">
        <v>62</v>
      </c>
      <c r="O94" s="21" t="s">
        <v>62</v>
      </c>
      <c r="P94" s="22" t="s">
        <v>62</v>
      </c>
      <c r="Q94" s="22" t="s">
        <v>62</v>
      </c>
      <c r="R94" s="22" t="s">
        <v>62</v>
      </c>
      <c r="S94" s="22">
        <v>13</v>
      </c>
      <c r="T94" s="19">
        <v>13</v>
      </c>
      <c r="U94" s="21">
        <v>9</v>
      </c>
      <c r="V94" s="21">
        <v>3</v>
      </c>
      <c r="W94" s="21">
        <v>3</v>
      </c>
      <c r="X94" s="21">
        <v>4</v>
      </c>
      <c r="Y94" s="19">
        <v>67</v>
      </c>
      <c r="Z94" s="19">
        <v>22</v>
      </c>
      <c r="AA94" s="19">
        <v>22</v>
      </c>
      <c r="AB94" s="19">
        <v>30</v>
      </c>
      <c r="AC94" s="19">
        <v>0</v>
      </c>
      <c r="AD94" s="19">
        <v>9</v>
      </c>
      <c r="AE94" s="19">
        <v>7</v>
      </c>
      <c r="AF94" s="19">
        <v>9</v>
      </c>
      <c r="AG94" s="21">
        <v>12</v>
      </c>
      <c r="AH94" s="19">
        <v>67</v>
      </c>
      <c r="AI94" s="19">
        <v>52</v>
      </c>
      <c r="AJ94" s="19">
        <v>67</v>
      </c>
      <c r="AK94" s="19">
        <v>90</v>
      </c>
      <c r="AL94" s="19">
        <v>1</v>
      </c>
      <c r="AM94" s="22" t="s">
        <v>62</v>
      </c>
      <c r="AN94" s="22" t="s">
        <v>62</v>
      </c>
      <c r="AO94" s="22" t="s">
        <v>62</v>
      </c>
      <c r="AP94" s="22" t="s">
        <v>62</v>
      </c>
      <c r="AQ94" s="22" t="s">
        <v>62</v>
      </c>
      <c r="AR94" s="22" t="s">
        <v>62</v>
      </c>
      <c r="AS94" s="22" t="s">
        <v>62</v>
      </c>
      <c r="AT94" s="22" t="s">
        <v>62</v>
      </c>
      <c r="AU94" s="22" t="s">
        <v>62</v>
      </c>
      <c r="AV94" s="22" t="s">
        <v>62</v>
      </c>
      <c r="AW94" s="22" t="s">
        <v>62</v>
      </c>
      <c r="AX94" s="22" t="s">
        <v>62</v>
      </c>
      <c r="AY94" s="22" t="s">
        <v>62</v>
      </c>
      <c r="AZ94" s="22" t="s">
        <v>62</v>
      </c>
      <c r="BA94" s="22" t="s">
        <v>62</v>
      </c>
      <c r="BB94" s="22" t="s">
        <v>62</v>
      </c>
      <c r="BC94" s="22" t="s">
        <v>62</v>
      </c>
      <c r="BD94" s="22" t="s">
        <v>62</v>
      </c>
      <c r="BE94" s="22" t="s">
        <v>62</v>
      </c>
      <c r="BF94" s="22" t="s">
        <v>62</v>
      </c>
      <c r="BG94" s="22" t="s">
        <v>62</v>
      </c>
      <c r="BH94" s="22" t="s">
        <v>62</v>
      </c>
      <c r="BI94" s="22" t="s">
        <v>62</v>
      </c>
      <c r="BJ94" s="22" t="s">
        <v>62</v>
      </c>
      <c r="BK94" s="22" t="s">
        <v>62</v>
      </c>
      <c r="BL94" s="22" t="s">
        <v>62</v>
      </c>
      <c r="BM94" s="22" t="s">
        <v>62</v>
      </c>
      <c r="BN94" s="22" t="s">
        <v>62</v>
      </c>
      <c r="BO94" s="22" t="s">
        <v>62</v>
      </c>
      <c r="BP94" s="22" t="s">
        <v>62</v>
      </c>
      <c r="BQ94" s="22" t="s">
        <v>62</v>
      </c>
      <c r="BR94" s="22" t="s">
        <v>62</v>
      </c>
      <c r="BS94" s="22" t="s">
        <v>62</v>
      </c>
      <c r="BT94" s="22" t="s">
        <v>62</v>
      </c>
      <c r="BU94" s="22" t="s">
        <v>62</v>
      </c>
      <c r="BV94" s="22" t="s">
        <v>62</v>
      </c>
      <c r="BW94" s="22" t="s">
        <v>62</v>
      </c>
      <c r="BX94" s="22" t="s">
        <v>62</v>
      </c>
      <c r="BY94" s="22" t="s">
        <v>62</v>
      </c>
      <c r="BZ94" s="22" t="s">
        <v>62</v>
      </c>
      <c r="CA94" s="22" t="s">
        <v>62</v>
      </c>
      <c r="CB94" s="22" t="s">
        <v>62</v>
      </c>
      <c r="CC94" s="22" t="s">
        <v>62</v>
      </c>
      <c r="CD94" s="22" t="s">
        <v>62</v>
      </c>
      <c r="CE94" s="22" t="s">
        <v>62</v>
      </c>
      <c r="CF94" s="22" t="s">
        <v>62</v>
      </c>
      <c r="CG94" s="20" t="s">
        <v>74</v>
      </c>
      <c r="CH94" s="20">
        <v>1.47E-3</v>
      </c>
      <c r="CI94" s="19">
        <v>1</v>
      </c>
      <c r="CJ94" s="78">
        <v>3</v>
      </c>
      <c r="CK94" s="78" t="s">
        <v>224</v>
      </c>
      <c r="CL94" s="78" t="s">
        <v>224</v>
      </c>
      <c r="CM94" s="78">
        <v>499.78747399999997</v>
      </c>
      <c r="CN94" s="78">
        <v>2</v>
      </c>
      <c r="CO94" s="78" t="s">
        <v>224</v>
      </c>
      <c r="CP94" s="78" t="s">
        <v>224</v>
      </c>
      <c r="CQ94" s="78" t="s">
        <v>224</v>
      </c>
      <c r="CR94" s="12" t="str">
        <f>IF(COUNTIF(Incl!A:A,Raw!J94),1, "")</f>
        <v/>
      </c>
    </row>
    <row r="95" spans="1:96" ht="13.5" thickTop="1" thickBot="1" x14ac:dyDescent="0.3">
      <c r="A95" s="13">
        <v>92</v>
      </c>
      <c r="B95" s="14">
        <v>1</v>
      </c>
      <c r="C95" s="15">
        <v>696.57727899999998</v>
      </c>
      <c r="D95" s="14">
        <v>95</v>
      </c>
      <c r="E95" s="14">
        <v>1</v>
      </c>
      <c r="F95" s="14">
        <v>124</v>
      </c>
      <c r="G95" s="16">
        <v>140</v>
      </c>
      <c r="H95" s="14">
        <v>140</v>
      </c>
      <c r="I95" s="14">
        <v>140</v>
      </c>
      <c r="J95" s="14">
        <v>140</v>
      </c>
      <c r="K95" s="15" t="s">
        <v>106</v>
      </c>
      <c r="L95" s="15" t="s">
        <v>105</v>
      </c>
      <c r="M95" s="15" t="s">
        <v>109</v>
      </c>
      <c r="N95" s="17" t="s">
        <v>62</v>
      </c>
      <c r="O95" s="16" t="s">
        <v>62</v>
      </c>
      <c r="P95" s="17" t="s">
        <v>62</v>
      </c>
      <c r="Q95" s="17" t="s">
        <v>62</v>
      </c>
      <c r="R95" s="17" t="s">
        <v>62</v>
      </c>
      <c r="S95" s="17">
        <v>15</v>
      </c>
      <c r="T95" s="14">
        <v>15</v>
      </c>
      <c r="U95" s="16">
        <v>2</v>
      </c>
      <c r="V95" s="16">
        <v>8</v>
      </c>
      <c r="W95" s="16">
        <v>10</v>
      </c>
      <c r="X95" s="16">
        <v>11</v>
      </c>
      <c r="Y95" s="14">
        <v>13</v>
      </c>
      <c r="Z95" s="14">
        <v>52</v>
      </c>
      <c r="AA95" s="14">
        <v>65</v>
      </c>
      <c r="AB95" s="14">
        <v>72</v>
      </c>
      <c r="AC95" s="14">
        <v>0</v>
      </c>
      <c r="AD95" s="14">
        <v>8</v>
      </c>
      <c r="AE95" s="14">
        <v>6</v>
      </c>
      <c r="AF95" s="14">
        <v>10</v>
      </c>
      <c r="AG95" s="16">
        <v>13</v>
      </c>
      <c r="AH95" s="14">
        <v>52</v>
      </c>
      <c r="AI95" s="14">
        <v>39</v>
      </c>
      <c r="AJ95" s="14">
        <v>65</v>
      </c>
      <c r="AK95" s="14">
        <v>85</v>
      </c>
      <c r="AL95" s="14">
        <v>1</v>
      </c>
      <c r="AM95" s="17" t="s">
        <v>62</v>
      </c>
      <c r="AN95" s="17" t="s">
        <v>62</v>
      </c>
      <c r="AO95" s="17" t="s">
        <v>62</v>
      </c>
      <c r="AP95" s="17" t="s">
        <v>62</v>
      </c>
      <c r="AQ95" s="17" t="s">
        <v>62</v>
      </c>
      <c r="AR95" s="17" t="s">
        <v>62</v>
      </c>
      <c r="AS95" s="17" t="s">
        <v>62</v>
      </c>
      <c r="AT95" s="17" t="s">
        <v>62</v>
      </c>
      <c r="AU95" s="17" t="s">
        <v>62</v>
      </c>
      <c r="AV95" s="17" t="s">
        <v>62</v>
      </c>
      <c r="AW95" s="17" t="s">
        <v>62</v>
      </c>
      <c r="AX95" s="17" t="s">
        <v>62</v>
      </c>
      <c r="AY95" s="17" t="s">
        <v>62</v>
      </c>
      <c r="AZ95" s="17" t="s">
        <v>62</v>
      </c>
      <c r="BA95" s="17" t="s">
        <v>62</v>
      </c>
      <c r="BB95" s="17" t="s">
        <v>62</v>
      </c>
      <c r="BC95" s="17" t="s">
        <v>62</v>
      </c>
      <c r="BD95" s="17" t="s">
        <v>62</v>
      </c>
      <c r="BE95" s="17" t="s">
        <v>62</v>
      </c>
      <c r="BF95" s="17" t="s">
        <v>62</v>
      </c>
      <c r="BG95" s="17" t="s">
        <v>62</v>
      </c>
      <c r="BH95" s="17" t="s">
        <v>62</v>
      </c>
      <c r="BI95" s="17" t="s">
        <v>62</v>
      </c>
      <c r="BJ95" s="17" t="s">
        <v>62</v>
      </c>
      <c r="BK95" s="17" t="s">
        <v>62</v>
      </c>
      <c r="BL95" s="17" t="s">
        <v>62</v>
      </c>
      <c r="BM95" s="17" t="s">
        <v>62</v>
      </c>
      <c r="BN95" s="17" t="s">
        <v>62</v>
      </c>
      <c r="BO95" s="17" t="s">
        <v>62</v>
      </c>
      <c r="BP95" s="17" t="s">
        <v>62</v>
      </c>
      <c r="BQ95" s="17" t="s">
        <v>62</v>
      </c>
      <c r="BR95" s="17" t="s">
        <v>62</v>
      </c>
      <c r="BS95" s="17" t="s">
        <v>62</v>
      </c>
      <c r="BT95" s="17" t="s">
        <v>62</v>
      </c>
      <c r="BU95" s="17" t="s">
        <v>62</v>
      </c>
      <c r="BV95" s="17" t="s">
        <v>62</v>
      </c>
      <c r="BW95" s="17" t="s">
        <v>62</v>
      </c>
      <c r="BX95" s="17" t="s">
        <v>62</v>
      </c>
      <c r="BY95" s="17" t="s">
        <v>62</v>
      </c>
      <c r="BZ95" s="17" t="s">
        <v>62</v>
      </c>
      <c r="CA95" s="17" t="s">
        <v>62</v>
      </c>
      <c r="CB95" s="17" t="s">
        <v>62</v>
      </c>
      <c r="CC95" s="17" t="s">
        <v>62</v>
      </c>
      <c r="CD95" s="17" t="s">
        <v>62</v>
      </c>
      <c r="CE95" s="17" t="s">
        <v>62</v>
      </c>
      <c r="CF95" s="17" t="s">
        <v>62</v>
      </c>
      <c r="CG95" s="15" t="s">
        <v>71</v>
      </c>
      <c r="CH95" s="15">
        <v>2.0929999999999998E-3</v>
      </c>
      <c r="CI95" s="14">
        <v>1</v>
      </c>
      <c r="CJ95" s="79">
        <v>3</v>
      </c>
      <c r="CK95" s="79" t="s">
        <v>224</v>
      </c>
      <c r="CL95" s="79" t="s">
        <v>224</v>
      </c>
      <c r="CM95" s="79">
        <v>696.57728299999997</v>
      </c>
      <c r="CN95" s="79">
        <v>2</v>
      </c>
      <c r="CO95" s="79" t="s">
        <v>224</v>
      </c>
      <c r="CP95" s="79" t="s">
        <v>224</v>
      </c>
      <c r="CQ95" s="79" t="s">
        <v>224</v>
      </c>
      <c r="CR95" s="12" t="str">
        <f>IF(COUNTIF(Incl!A:A,Raw!J95),1, "")</f>
        <v/>
      </c>
    </row>
    <row r="96" spans="1:96" ht="13.5" thickTop="1" thickBot="1" x14ac:dyDescent="0.3">
      <c r="A96" s="18">
        <v>93</v>
      </c>
      <c r="B96" s="19">
        <v>1</v>
      </c>
      <c r="C96" s="20">
        <v>444.399584</v>
      </c>
      <c r="D96" s="19">
        <v>96</v>
      </c>
      <c r="E96" s="19">
        <v>1</v>
      </c>
      <c r="F96" s="19">
        <v>125</v>
      </c>
      <c r="G96" s="21">
        <v>122</v>
      </c>
      <c r="H96" s="19">
        <v>122</v>
      </c>
      <c r="I96" s="19">
        <v>122</v>
      </c>
      <c r="J96" s="19">
        <v>122</v>
      </c>
      <c r="K96" s="20" t="s">
        <v>60</v>
      </c>
      <c r="L96" s="20" t="s">
        <v>109</v>
      </c>
      <c r="M96" s="20" t="s">
        <v>97</v>
      </c>
      <c r="N96" s="22">
        <v>10</v>
      </c>
      <c r="O96" s="21" t="s">
        <v>62</v>
      </c>
      <c r="P96" s="22" t="s">
        <v>62</v>
      </c>
      <c r="Q96" s="22" t="s">
        <v>62</v>
      </c>
      <c r="R96" s="22" t="s">
        <v>62</v>
      </c>
      <c r="S96" s="22" t="s">
        <v>62</v>
      </c>
      <c r="T96" s="19">
        <v>10</v>
      </c>
      <c r="U96" s="21">
        <v>6</v>
      </c>
      <c r="V96" s="21">
        <v>6</v>
      </c>
      <c r="W96" s="21">
        <v>7</v>
      </c>
      <c r="X96" s="21" t="s">
        <v>62</v>
      </c>
      <c r="Y96" s="19">
        <v>59</v>
      </c>
      <c r="Z96" s="19">
        <v>59</v>
      </c>
      <c r="AA96" s="19">
        <v>69</v>
      </c>
      <c r="AB96" s="19">
        <v>0</v>
      </c>
      <c r="AC96" s="19">
        <v>0</v>
      </c>
      <c r="AD96" s="19">
        <v>0</v>
      </c>
      <c r="AE96" s="19">
        <v>0</v>
      </c>
      <c r="AF96" s="19">
        <v>0</v>
      </c>
      <c r="AG96" s="21" t="s">
        <v>62</v>
      </c>
      <c r="AH96" s="19">
        <v>0</v>
      </c>
      <c r="AI96" s="19">
        <v>0</v>
      </c>
      <c r="AJ96" s="19">
        <v>0</v>
      </c>
      <c r="AK96" s="19">
        <v>0</v>
      </c>
      <c r="AL96" s="19">
        <v>0</v>
      </c>
      <c r="AM96" s="22">
        <v>6</v>
      </c>
      <c r="AN96" s="22">
        <v>6</v>
      </c>
      <c r="AO96" s="22">
        <v>8</v>
      </c>
      <c r="AP96" s="22">
        <v>6</v>
      </c>
      <c r="AQ96" s="22">
        <v>6</v>
      </c>
      <c r="AR96" s="22">
        <v>4</v>
      </c>
      <c r="AS96" s="22">
        <v>5</v>
      </c>
      <c r="AT96" s="22">
        <v>7</v>
      </c>
      <c r="AU96" s="22">
        <v>7</v>
      </c>
      <c r="AV96" s="22">
        <v>7</v>
      </c>
      <c r="AW96" s="22">
        <v>12</v>
      </c>
      <c r="AX96" s="22">
        <v>1</v>
      </c>
      <c r="AY96" s="22">
        <v>6</v>
      </c>
      <c r="AZ96" s="22">
        <v>5</v>
      </c>
      <c r="BA96" s="22">
        <v>2</v>
      </c>
      <c r="BB96" s="22">
        <v>0</v>
      </c>
      <c r="BC96" s="22">
        <v>0</v>
      </c>
      <c r="BD96" s="22">
        <v>0</v>
      </c>
      <c r="BE96" s="22">
        <v>0</v>
      </c>
      <c r="BF96" s="22">
        <v>0</v>
      </c>
      <c r="BG96" s="22">
        <v>26</v>
      </c>
      <c r="BH96" s="22">
        <v>2.6</v>
      </c>
      <c r="BI96" s="22" t="s">
        <v>63</v>
      </c>
      <c r="BJ96" s="22">
        <v>0</v>
      </c>
      <c r="BK96" s="22">
        <v>0</v>
      </c>
      <c r="BL96" s="22">
        <v>0</v>
      </c>
      <c r="BM96" s="22">
        <v>0</v>
      </c>
      <c r="BN96" s="22">
        <v>0</v>
      </c>
      <c r="BO96" s="22">
        <v>0</v>
      </c>
      <c r="BP96" s="22">
        <v>0</v>
      </c>
      <c r="BQ96" s="22">
        <v>0</v>
      </c>
      <c r="BR96" s="22">
        <v>0</v>
      </c>
      <c r="BS96" s="22">
        <v>0</v>
      </c>
      <c r="BT96" s="22">
        <v>0</v>
      </c>
      <c r="BU96" s="22">
        <v>0</v>
      </c>
      <c r="BV96" s="22">
        <v>0</v>
      </c>
      <c r="BW96" s="22">
        <v>0</v>
      </c>
      <c r="BX96" s="22">
        <v>0</v>
      </c>
      <c r="BY96" s="22">
        <v>0</v>
      </c>
      <c r="BZ96" s="22">
        <v>0</v>
      </c>
      <c r="CA96" s="22">
        <v>0</v>
      </c>
      <c r="CB96" s="22">
        <v>0</v>
      </c>
      <c r="CC96" s="22">
        <v>0</v>
      </c>
      <c r="CD96" s="22">
        <v>0</v>
      </c>
      <c r="CE96" s="22">
        <v>0</v>
      </c>
      <c r="CF96" s="22" t="s">
        <v>77</v>
      </c>
      <c r="CG96" s="20" t="s">
        <v>74</v>
      </c>
      <c r="CH96" s="20">
        <v>1.3979999999999999E-3</v>
      </c>
      <c r="CI96" s="19">
        <v>0</v>
      </c>
      <c r="CJ96" s="78">
        <v>2</v>
      </c>
      <c r="CK96" s="78" t="s">
        <v>224</v>
      </c>
      <c r="CL96" s="78" t="s">
        <v>224</v>
      </c>
      <c r="CM96" s="78">
        <v>444.399429</v>
      </c>
      <c r="CN96" s="78">
        <v>1</v>
      </c>
      <c r="CO96" s="78">
        <v>1</v>
      </c>
      <c r="CP96" s="78" t="s">
        <v>224</v>
      </c>
      <c r="CQ96" s="78" t="s">
        <v>224</v>
      </c>
      <c r="CR96" s="12" t="str">
        <f>IF(COUNTIF(Incl!A:A,Raw!J96),1, "")</f>
        <v/>
      </c>
    </row>
    <row r="97" spans="1:96" ht="13.5" thickTop="1" thickBot="1" x14ac:dyDescent="0.3">
      <c r="A97" s="18">
        <v>94</v>
      </c>
      <c r="B97" s="19">
        <v>1</v>
      </c>
      <c r="C97" s="20">
        <v>170.98382000000001</v>
      </c>
      <c r="D97" s="19">
        <v>97</v>
      </c>
      <c r="E97" s="19">
        <v>1</v>
      </c>
      <c r="F97" s="19">
        <v>126</v>
      </c>
      <c r="G97" s="21">
        <v>196</v>
      </c>
      <c r="H97" s="19">
        <v>196</v>
      </c>
      <c r="I97" s="19">
        <v>196</v>
      </c>
      <c r="J97" s="19">
        <v>196</v>
      </c>
      <c r="K97" s="20" t="s">
        <v>97</v>
      </c>
      <c r="L97" s="20" t="s">
        <v>60</v>
      </c>
      <c r="M97" s="20" t="s">
        <v>82</v>
      </c>
      <c r="N97" s="22">
        <v>5</v>
      </c>
      <c r="O97" s="22" t="s">
        <v>62</v>
      </c>
      <c r="P97" s="21" t="s">
        <v>62</v>
      </c>
      <c r="Q97" s="22" t="s">
        <v>62</v>
      </c>
      <c r="R97" s="22" t="s">
        <v>62</v>
      </c>
      <c r="S97" s="22" t="s">
        <v>62</v>
      </c>
      <c r="T97" s="19">
        <v>5</v>
      </c>
      <c r="U97" s="21">
        <v>5</v>
      </c>
      <c r="V97" s="21">
        <v>4</v>
      </c>
      <c r="W97" s="21">
        <v>2</v>
      </c>
      <c r="X97" s="21" t="s">
        <v>62</v>
      </c>
      <c r="Y97" s="19">
        <v>93</v>
      </c>
      <c r="Z97" s="19">
        <v>74</v>
      </c>
      <c r="AA97" s="19">
        <v>37</v>
      </c>
      <c r="AB97" s="19">
        <v>0</v>
      </c>
      <c r="AC97" s="19">
        <v>1</v>
      </c>
      <c r="AD97" s="19">
        <v>3</v>
      </c>
      <c r="AE97" s="19">
        <v>2</v>
      </c>
      <c r="AF97" s="19">
        <v>1</v>
      </c>
      <c r="AG97" s="21" t="s">
        <v>62</v>
      </c>
      <c r="AH97" s="19">
        <v>56</v>
      </c>
      <c r="AI97" s="19">
        <v>37</v>
      </c>
      <c r="AJ97" s="19">
        <v>19</v>
      </c>
      <c r="AK97" s="19">
        <v>0</v>
      </c>
      <c r="AL97" s="19">
        <v>0</v>
      </c>
      <c r="AM97" s="22">
        <v>5</v>
      </c>
      <c r="AN97" s="22">
        <v>5</v>
      </c>
      <c r="AO97" s="22">
        <v>4</v>
      </c>
      <c r="AP97" s="22">
        <v>5</v>
      </c>
      <c r="AQ97" s="22">
        <v>4</v>
      </c>
      <c r="AR97" s="22">
        <v>3</v>
      </c>
      <c r="AS97" s="22">
        <v>4</v>
      </c>
      <c r="AT97" s="22">
        <v>2</v>
      </c>
      <c r="AU97" s="22">
        <v>2</v>
      </c>
      <c r="AV97" s="22">
        <v>4</v>
      </c>
      <c r="AW97" s="22">
        <v>13</v>
      </c>
      <c r="AX97" s="22">
        <v>5</v>
      </c>
      <c r="AY97" s="22">
        <v>0</v>
      </c>
      <c r="AZ97" s="22">
        <v>0</v>
      </c>
      <c r="BA97" s="22">
        <v>0</v>
      </c>
      <c r="BB97" s="22">
        <v>0</v>
      </c>
      <c r="BC97" s="22">
        <v>1</v>
      </c>
      <c r="BD97" s="22">
        <v>1</v>
      </c>
      <c r="BE97" s="22">
        <v>0</v>
      </c>
      <c r="BF97" s="22">
        <v>0</v>
      </c>
      <c r="BG97" s="22">
        <v>20</v>
      </c>
      <c r="BH97" s="22">
        <v>3.7</v>
      </c>
      <c r="BI97" s="22" t="s">
        <v>65</v>
      </c>
      <c r="BJ97" s="22">
        <v>3</v>
      </c>
      <c r="BK97" s="22">
        <v>1</v>
      </c>
      <c r="BL97" s="22">
        <v>3</v>
      </c>
      <c r="BM97" s="22">
        <v>4</v>
      </c>
      <c r="BN97" s="22">
        <v>2</v>
      </c>
      <c r="BO97" s="22">
        <v>4</v>
      </c>
      <c r="BP97" s="22">
        <v>4</v>
      </c>
      <c r="BQ97" s="22">
        <v>3</v>
      </c>
      <c r="BR97" s="22">
        <v>1</v>
      </c>
      <c r="BS97" s="22">
        <v>3</v>
      </c>
      <c r="BT97" s="22">
        <v>8</v>
      </c>
      <c r="BU97" s="22">
        <v>3</v>
      </c>
      <c r="BV97" s="22">
        <v>2</v>
      </c>
      <c r="BW97" s="22">
        <v>0</v>
      </c>
      <c r="BX97" s="22">
        <v>0</v>
      </c>
      <c r="BY97" s="22">
        <v>0</v>
      </c>
      <c r="BZ97" s="22">
        <v>0</v>
      </c>
      <c r="CA97" s="22">
        <v>1</v>
      </c>
      <c r="CB97" s="22">
        <v>0</v>
      </c>
      <c r="CC97" s="22">
        <v>0</v>
      </c>
      <c r="CD97" s="22">
        <v>14</v>
      </c>
      <c r="CE97" s="22">
        <v>2.6</v>
      </c>
      <c r="CF97" s="22" t="s">
        <v>63</v>
      </c>
      <c r="CG97" s="20" t="s">
        <v>64</v>
      </c>
      <c r="CH97" s="20">
        <v>5.9800000000000001E-4</v>
      </c>
      <c r="CI97" s="19">
        <v>1</v>
      </c>
      <c r="CJ97" s="78">
        <v>1</v>
      </c>
      <c r="CK97" s="78">
        <v>1</v>
      </c>
      <c r="CL97" s="78">
        <v>1</v>
      </c>
      <c r="CM97" s="78">
        <v>185.36315400000001</v>
      </c>
      <c r="CN97" s="78">
        <v>1</v>
      </c>
      <c r="CO97" s="78">
        <v>1</v>
      </c>
      <c r="CP97" s="78" t="s">
        <v>224</v>
      </c>
      <c r="CQ97" s="78" t="s">
        <v>224</v>
      </c>
      <c r="CR97" s="12">
        <f>IF(COUNTIF(Incl!A:A,Raw!J97),1, "")</f>
        <v>1</v>
      </c>
    </row>
    <row r="98" spans="1:96" ht="13.5" thickTop="1" thickBot="1" x14ac:dyDescent="0.3">
      <c r="A98" s="13">
        <v>95</v>
      </c>
      <c r="B98" s="14">
        <v>1</v>
      </c>
      <c r="C98" s="15">
        <v>569.04485899999997</v>
      </c>
      <c r="D98" s="14">
        <v>98</v>
      </c>
      <c r="E98" s="14">
        <v>1</v>
      </c>
      <c r="F98" s="14">
        <v>127</v>
      </c>
      <c r="G98" s="16">
        <v>193</v>
      </c>
      <c r="H98" s="14">
        <v>193</v>
      </c>
      <c r="I98" s="14">
        <v>193</v>
      </c>
      <c r="J98" s="14">
        <v>193</v>
      </c>
      <c r="K98" s="15" t="s">
        <v>97</v>
      </c>
      <c r="L98" s="15" t="s">
        <v>95</v>
      </c>
      <c r="M98" s="15" t="s">
        <v>69</v>
      </c>
      <c r="N98" s="17" t="s">
        <v>62</v>
      </c>
      <c r="O98" s="17" t="s">
        <v>62</v>
      </c>
      <c r="P98" s="16" t="s">
        <v>62</v>
      </c>
      <c r="Q98" s="17" t="s">
        <v>62</v>
      </c>
      <c r="R98" s="17" t="s">
        <v>62</v>
      </c>
      <c r="S98" s="17">
        <v>21</v>
      </c>
      <c r="T98" s="14">
        <v>21</v>
      </c>
      <c r="U98" s="16">
        <v>9</v>
      </c>
      <c r="V98" s="16">
        <v>9</v>
      </c>
      <c r="W98" s="16">
        <v>10</v>
      </c>
      <c r="X98" s="16">
        <v>12</v>
      </c>
      <c r="Y98" s="14">
        <v>42</v>
      </c>
      <c r="Z98" s="14">
        <v>42</v>
      </c>
      <c r="AA98" s="14">
        <v>47</v>
      </c>
      <c r="AB98" s="14">
        <v>57</v>
      </c>
      <c r="AC98" s="14">
        <v>0</v>
      </c>
      <c r="AD98" s="14">
        <v>9</v>
      </c>
      <c r="AE98" s="14">
        <v>10</v>
      </c>
      <c r="AF98" s="14">
        <v>8</v>
      </c>
      <c r="AG98" s="16">
        <v>13</v>
      </c>
      <c r="AH98" s="14">
        <v>42</v>
      </c>
      <c r="AI98" s="14">
        <v>47</v>
      </c>
      <c r="AJ98" s="14">
        <v>38</v>
      </c>
      <c r="AK98" s="14">
        <v>61</v>
      </c>
      <c r="AL98" s="14">
        <v>0</v>
      </c>
      <c r="AM98" s="17" t="s">
        <v>62</v>
      </c>
      <c r="AN98" s="17" t="s">
        <v>62</v>
      </c>
      <c r="AO98" s="17" t="s">
        <v>62</v>
      </c>
      <c r="AP98" s="17" t="s">
        <v>62</v>
      </c>
      <c r="AQ98" s="17" t="s">
        <v>62</v>
      </c>
      <c r="AR98" s="17" t="s">
        <v>62</v>
      </c>
      <c r="AS98" s="17" t="s">
        <v>62</v>
      </c>
      <c r="AT98" s="17" t="s">
        <v>62</v>
      </c>
      <c r="AU98" s="17" t="s">
        <v>62</v>
      </c>
      <c r="AV98" s="17" t="s">
        <v>62</v>
      </c>
      <c r="AW98" s="17" t="s">
        <v>62</v>
      </c>
      <c r="AX98" s="17" t="s">
        <v>62</v>
      </c>
      <c r="AY98" s="17" t="s">
        <v>62</v>
      </c>
      <c r="AZ98" s="17" t="s">
        <v>62</v>
      </c>
      <c r="BA98" s="17" t="s">
        <v>62</v>
      </c>
      <c r="BB98" s="17" t="s">
        <v>62</v>
      </c>
      <c r="BC98" s="17" t="s">
        <v>62</v>
      </c>
      <c r="BD98" s="17" t="s">
        <v>62</v>
      </c>
      <c r="BE98" s="17" t="s">
        <v>62</v>
      </c>
      <c r="BF98" s="17" t="s">
        <v>62</v>
      </c>
      <c r="BG98" s="17" t="s">
        <v>62</v>
      </c>
      <c r="BH98" s="17" t="s">
        <v>62</v>
      </c>
      <c r="BI98" s="17" t="s">
        <v>62</v>
      </c>
      <c r="BJ98" s="17" t="s">
        <v>62</v>
      </c>
      <c r="BK98" s="17" t="s">
        <v>62</v>
      </c>
      <c r="BL98" s="17" t="s">
        <v>62</v>
      </c>
      <c r="BM98" s="17" t="s">
        <v>62</v>
      </c>
      <c r="BN98" s="17" t="s">
        <v>62</v>
      </c>
      <c r="BO98" s="17" t="s">
        <v>62</v>
      </c>
      <c r="BP98" s="17" t="s">
        <v>62</v>
      </c>
      <c r="BQ98" s="17" t="s">
        <v>62</v>
      </c>
      <c r="BR98" s="17" t="s">
        <v>62</v>
      </c>
      <c r="BS98" s="17" t="s">
        <v>62</v>
      </c>
      <c r="BT98" s="17" t="s">
        <v>62</v>
      </c>
      <c r="BU98" s="17" t="s">
        <v>62</v>
      </c>
      <c r="BV98" s="17" t="s">
        <v>62</v>
      </c>
      <c r="BW98" s="17" t="s">
        <v>62</v>
      </c>
      <c r="BX98" s="17" t="s">
        <v>62</v>
      </c>
      <c r="BY98" s="17" t="s">
        <v>62</v>
      </c>
      <c r="BZ98" s="17" t="s">
        <v>62</v>
      </c>
      <c r="CA98" s="17" t="s">
        <v>62</v>
      </c>
      <c r="CB98" s="17" t="s">
        <v>62</v>
      </c>
      <c r="CC98" s="17" t="s">
        <v>62</v>
      </c>
      <c r="CD98" s="17" t="s">
        <v>62</v>
      </c>
      <c r="CE98" s="17" t="s">
        <v>62</v>
      </c>
      <c r="CF98" s="17" t="s">
        <v>62</v>
      </c>
      <c r="CG98" s="15" t="s">
        <v>66</v>
      </c>
      <c r="CH98" s="15">
        <v>1.7420000000000001E-3</v>
      </c>
      <c r="CI98" s="14">
        <v>0</v>
      </c>
      <c r="CJ98" s="79">
        <v>3</v>
      </c>
      <c r="CK98" s="79" t="s">
        <v>224</v>
      </c>
      <c r="CL98" s="79" t="s">
        <v>224</v>
      </c>
      <c r="CM98" s="79">
        <v>565.34122600000001</v>
      </c>
      <c r="CN98" s="79">
        <v>2</v>
      </c>
      <c r="CO98" s="79" t="s">
        <v>224</v>
      </c>
      <c r="CP98" s="79" t="s">
        <v>224</v>
      </c>
      <c r="CQ98" s="79" t="s">
        <v>224</v>
      </c>
      <c r="CR98" s="12" t="str">
        <f>IF(COUNTIF(Incl!A:A,Raw!J98),1, "")</f>
        <v/>
      </c>
    </row>
    <row r="99" spans="1:96" ht="13.5" thickTop="1" thickBot="1" x14ac:dyDescent="0.3">
      <c r="A99" s="18">
        <v>96</v>
      </c>
      <c r="B99" s="19">
        <v>1</v>
      </c>
      <c r="C99" s="20">
        <v>191.406329</v>
      </c>
      <c r="D99" s="19">
        <v>99</v>
      </c>
      <c r="E99" s="19">
        <v>1</v>
      </c>
      <c r="F99" s="19">
        <v>128</v>
      </c>
      <c r="G99" s="21">
        <v>195</v>
      </c>
      <c r="H99" s="19">
        <v>195</v>
      </c>
      <c r="I99" s="19">
        <v>195</v>
      </c>
      <c r="J99" s="19">
        <v>195</v>
      </c>
      <c r="K99" s="20" t="s">
        <v>97</v>
      </c>
      <c r="L99" s="20" t="s">
        <v>69</v>
      </c>
      <c r="M99" s="20" t="s">
        <v>82</v>
      </c>
      <c r="N99" s="22">
        <v>4</v>
      </c>
      <c r="O99" s="22" t="s">
        <v>62</v>
      </c>
      <c r="P99" s="22" t="s">
        <v>62</v>
      </c>
      <c r="Q99" s="22" t="s">
        <v>62</v>
      </c>
      <c r="R99" s="22" t="s">
        <v>62</v>
      </c>
      <c r="S99" s="22" t="s">
        <v>62</v>
      </c>
      <c r="T99" s="19">
        <v>4</v>
      </c>
      <c r="U99" s="22">
        <v>3</v>
      </c>
      <c r="V99" s="22">
        <v>3</v>
      </c>
      <c r="W99" s="22">
        <v>1</v>
      </c>
      <c r="X99" s="22" t="s">
        <v>62</v>
      </c>
      <c r="Y99" s="19">
        <v>78</v>
      </c>
      <c r="Z99" s="19">
        <v>78</v>
      </c>
      <c r="AA99" s="19">
        <v>26</v>
      </c>
      <c r="AB99" s="19">
        <v>0</v>
      </c>
      <c r="AC99" s="19">
        <v>2</v>
      </c>
      <c r="AD99" s="19">
        <v>3</v>
      </c>
      <c r="AE99" s="19">
        <v>4</v>
      </c>
      <c r="AF99" s="19">
        <v>3</v>
      </c>
      <c r="AG99" s="21" t="s">
        <v>62</v>
      </c>
      <c r="AH99" s="19">
        <v>78</v>
      </c>
      <c r="AI99" s="19">
        <v>104</v>
      </c>
      <c r="AJ99" s="19">
        <v>78</v>
      </c>
      <c r="AK99" s="19">
        <v>0</v>
      </c>
      <c r="AL99" s="19">
        <v>3</v>
      </c>
      <c r="AM99" s="22">
        <v>3</v>
      </c>
      <c r="AN99" s="22">
        <v>2</v>
      </c>
      <c r="AO99" s="22">
        <v>3</v>
      </c>
      <c r="AP99" s="22">
        <v>3</v>
      </c>
      <c r="AQ99" s="22">
        <v>3</v>
      </c>
      <c r="AR99" s="22">
        <v>1</v>
      </c>
      <c r="AS99" s="22">
        <v>2</v>
      </c>
      <c r="AT99" s="22">
        <v>2</v>
      </c>
      <c r="AU99" s="22">
        <v>1</v>
      </c>
      <c r="AV99" s="22">
        <v>2</v>
      </c>
      <c r="AW99" s="22">
        <v>9</v>
      </c>
      <c r="AX99" s="22">
        <v>0</v>
      </c>
      <c r="AY99" s="22">
        <v>0</v>
      </c>
      <c r="AZ99" s="22">
        <v>0</v>
      </c>
      <c r="BA99" s="22">
        <v>1</v>
      </c>
      <c r="BB99" s="22">
        <v>0</v>
      </c>
      <c r="BC99" s="22">
        <v>0</v>
      </c>
      <c r="BD99" s="22">
        <v>1</v>
      </c>
      <c r="BE99" s="22">
        <v>0</v>
      </c>
      <c r="BF99" s="22">
        <v>0</v>
      </c>
      <c r="BG99" s="22">
        <v>11</v>
      </c>
      <c r="BH99" s="22">
        <v>2.9</v>
      </c>
      <c r="BI99" s="22" t="s">
        <v>63</v>
      </c>
      <c r="BJ99" s="22">
        <v>3</v>
      </c>
      <c r="BK99" s="22">
        <v>4</v>
      </c>
      <c r="BL99" s="22">
        <v>3</v>
      </c>
      <c r="BM99" s="22">
        <v>4</v>
      </c>
      <c r="BN99" s="22">
        <v>4</v>
      </c>
      <c r="BO99" s="22">
        <v>3</v>
      </c>
      <c r="BP99" s="22">
        <v>3</v>
      </c>
      <c r="BQ99" s="22">
        <v>4</v>
      </c>
      <c r="BR99" s="22">
        <v>3</v>
      </c>
      <c r="BS99" s="22">
        <v>2</v>
      </c>
      <c r="BT99" s="22">
        <v>10</v>
      </c>
      <c r="BU99" s="22">
        <v>2</v>
      </c>
      <c r="BV99" s="22">
        <v>1</v>
      </c>
      <c r="BW99" s="22">
        <v>1</v>
      </c>
      <c r="BX99" s="22">
        <v>0</v>
      </c>
      <c r="BY99" s="22">
        <v>2</v>
      </c>
      <c r="BZ99" s="22">
        <v>0</v>
      </c>
      <c r="CA99" s="22">
        <v>0</v>
      </c>
      <c r="CB99" s="22">
        <v>0</v>
      </c>
      <c r="CC99" s="22">
        <v>0</v>
      </c>
      <c r="CD99" s="22">
        <v>16</v>
      </c>
      <c r="CE99" s="22">
        <v>4.2</v>
      </c>
      <c r="CF99" s="22" t="s">
        <v>67</v>
      </c>
      <c r="CG99" s="20" t="s">
        <v>66</v>
      </c>
      <c r="CH99" s="20">
        <v>6.1300000000000005E-4</v>
      </c>
      <c r="CI99" s="19">
        <v>5</v>
      </c>
      <c r="CJ99" s="78">
        <v>1</v>
      </c>
      <c r="CK99" s="78">
        <v>1</v>
      </c>
      <c r="CL99" s="78">
        <v>1</v>
      </c>
      <c r="CM99" s="78">
        <v>189.72934900000001</v>
      </c>
      <c r="CN99" s="78">
        <v>1</v>
      </c>
      <c r="CO99" s="78">
        <v>1</v>
      </c>
      <c r="CP99" s="78" t="s">
        <v>224</v>
      </c>
      <c r="CQ99" s="78" t="s">
        <v>224</v>
      </c>
      <c r="CR99" s="12">
        <f>IF(COUNTIF(Incl!A:A,Raw!J99),1, "")</f>
        <v>1</v>
      </c>
    </row>
    <row r="100" spans="1:96" ht="13.5" thickTop="1" thickBot="1" x14ac:dyDescent="0.3">
      <c r="A100" s="13">
        <v>97</v>
      </c>
      <c r="B100" s="14">
        <v>1</v>
      </c>
      <c r="C100" s="15">
        <v>232.565608</v>
      </c>
      <c r="D100" s="14">
        <v>100</v>
      </c>
      <c r="E100" s="14">
        <v>1</v>
      </c>
      <c r="F100" s="14">
        <v>129</v>
      </c>
      <c r="G100" s="16">
        <v>197</v>
      </c>
      <c r="H100" s="14">
        <v>197</v>
      </c>
      <c r="I100" s="14">
        <v>197</v>
      </c>
      <c r="J100" s="14">
        <v>197</v>
      </c>
      <c r="K100" s="15" t="s">
        <v>97</v>
      </c>
      <c r="L100" s="15" t="s">
        <v>82</v>
      </c>
      <c r="M100" s="15" t="s">
        <v>60</v>
      </c>
      <c r="N100" s="17">
        <v>3</v>
      </c>
      <c r="O100" s="17" t="s">
        <v>62</v>
      </c>
      <c r="P100" s="17" t="s">
        <v>62</v>
      </c>
      <c r="Q100" s="17" t="s">
        <v>62</v>
      </c>
      <c r="R100" s="17" t="s">
        <v>62</v>
      </c>
      <c r="S100" s="17" t="s">
        <v>62</v>
      </c>
      <c r="T100" s="14">
        <v>3</v>
      </c>
      <c r="U100" s="17">
        <v>2</v>
      </c>
      <c r="V100" s="17">
        <v>1</v>
      </c>
      <c r="W100" s="17">
        <v>3</v>
      </c>
      <c r="X100" s="17" t="s">
        <v>62</v>
      </c>
      <c r="Y100" s="14">
        <v>59</v>
      </c>
      <c r="Z100" s="14">
        <v>29</v>
      </c>
      <c r="AA100" s="14">
        <v>88</v>
      </c>
      <c r="AB100" s="14">
        <v>0</v>
      </c>
      <c r="AC100" s="14">
        <v>1</v>
      </c>
      <c r="AD100" s="14">
        <v>2</v>
      </c>
      <c r="AE100" s="14">
        <v>0</v>
      </c>
      <c r="AF100" s="14">
        <v>1</v>
      </c>
      <c r="AG100" s="16" t="s">
        <v>62</v>
      </c>
      <c r="AH100" s="14">
        <v>59</v>
      </c>
      <c r="AI100" s="14">
        <v>0</v>
      </c>
      <c r="AJ100" s="14">
        <v>29</v>
      </c>
      <c r="AK100" s="14">
        <v>0</v>
      </c>
      <c r="AL100" s="14">
        <v>0</v>
      </c>
      <c r="AM100" s="17">
        <v>2</v>
      </c>
      <c r="AN100" s="17">
        <v>1</v>
      </c>
      <c r="AO100" s="17">
        <v>2</v>
      </c>
      <c r="AP100" s="17">
        <v>3</v>
      </c>
      <c r="AQ100" s="17">
        <v>1</v>
      </c>
      <c r="AR100" s="17">
        <v>1</v>
      </c>
      <c r="AS100" s="17">
        <v>1</v>
      </c>
      <c r="AT100" s="17">
        <v>2</v>
      </c>
      <c r="AU100" s="17">
        <v>3</v>
      </c>
      <c r="AV100" s="17">
        <v>3</v>
      </c>
      <c r="AW100" s="17">
        <v>6</v>
      </c>
      <c r="AX100" s="17">
        <v>2</v>
      </c>
      <c r="AY100" s="17">
        <v>0</v>
      </c>
      <c r="AZ100" s="17">
        <v>0</v>
      </c>
      <c r="BA100" s="17">
        <v>0</v>
      </c>
      <c r="BB100" s="17">
        <v>0</v>
      </c>
      <c r="BC100" s="17">
        <v>0</v>
      </c>
      <c r="BD100" s="17">
        <v>0</v>
      </c>
      <c r="BE100" s="17">
        <v>1</v>
      </c>
      <c r="BF100" s="17">
        <v>0</v>
      </c>
      <c r="BG100" s="17">
        <v>9</v>
      </c>
      <c r="BH100" s="17">
        <v>2.6</v>
      </c>
      <c r="BI100" s="17" t="s">
        <v>63</v>
      </c>
      <c r="BJ100" s="17">
        <v>2</v>
      </c>
      <c r="BK100" s="17">
        <v>2</v>
      </c>
      <c r="BL100" s="17">
        <v>2</v>
      </c>
      <c r="BM100" s="17">
        <v>3</v>
      </c>
      <c r="BN100" s="17">
        <v>0</v>
      </c>
      <c r="BO100" s="17">
        <v>2</v>
      </c>
      <c r="BP100" s="17">
        <v>1</v>
      </c>
      <c r="BQ100" s="17">
        <v>1</v>
      </c>
      <c r="BR100" s="17">
        <v>1</v>
      </c>
      <c r="BS100" s="17">
        <v>1</v>
      </c>
      <c r="BT100" s="17">
        <v>5</v>
      </c>
      <c r="BU100" s="17">
        <v>1</v>
      </c>
      <c r="BV100" s="17">
        <v>0</v>
      </c>
      <c r="BW100" s="17">
        <v>2</v>
      </c>
      <c r="BX100" s="17">
        <v>0</v>
      </c>
      <c r="BY100" s="17">
        <v>0</v>
      </c>
      <c r="BZ100" s="17">
        <v>0</v>
      </c>
      <c r="CA100" s="17">
        <v>0</v>
      </c>
      <c r="CB100" s="17">
        <v>0</v>
      </c>
      <c r="CC100" s="17">
        <v>0</v>
      </c>
      <c r="CD100" s="17">
        <v>8</v>
      </c>
      <c r="CE100" s="17">
        <v>2.4</v>
      </c>
      <c r="CF100" s="17" t="s">
        <v>63</v>
      </c>
      <c r="CG100" s="15" t="s">
        <v>66</v>
      </c>
      <c r="CH100" s="15">
        <v>7.4100000000000001E-4</v>
      </c>
      <c r="CI100" s="14">
        <v>1</v>
      </c>
      <c r="CJ100" s="79">
        <v>1</v>
      </c>
      <c r="CK100" s="79">
        <v>1</v>
      </c>
      <c r="CL100" s="79">
        <v>1</v>
      </c>
      <c r="CM100" s="79">
        <v>232.565561</v>
      </c>
      <c r="CN100" s="79">
        <v>1</v>
      </c>
      <c r="CO100" s="79">
        <v>1</v>
      </c>
      <c r="CP100" s="79" t="s">
        <v>224</v>
      </c>
      <c r="CQ100" s="79" t="s">
        <v>224</v>
      </c>
      <c r="CR100" s="12">
        <f>IF(COUNTIF(Incl!A:A,Raw!J100),1, "")</f>
        <v>1</v>
      </c>
    </row>
    <row r="101" spans="1:96" ht="13.5" thickTop="1" thickBot="1" x14ac:dyDescent="0.3">
      <c r="A101" s="13">
        <v>98</v>
      </c>
      <c r="B101" s="14">
        <v>1</v>
      </c>
      <c r="C101" s="15">
        <v>396.34513299999998</v>
      </c>
      <c r="D101" s="14">
        <v>101</v>
      </c>
      <c r="E101" s="14">
        <v>2</v>
      </c>
      <c r="F101" s="14">
        <v>130</v>
      </c>
      <c r="G101" s="16">
        <v>120</v>
      </c>
      <c r="H101" s="14">
        <v>120</v>
      </c>
      <c r="I101" s="14">
        <v>120</v>
      </c>
      <c r="J101" s="14">
        <v>120</v>
      </c>
      <c r="K101" s="15" t="s">
        <v>60</v>
      </c>
      <c r="L101" s="15" t="s">
        <v>97</v>
      </c>
      <c r="M101" s="15" t="s">
        <v>109</v>
      </c>
      <c r="N101" s="16" t="s">
        <v>62</v>
      </c>
      <c r="O101" s="16">
        <v>7</v>
      </c>
      <c r="P101" s="17" t="s">
        <v>62</v>
      </c>
      <c r="Q101" s="17" t="s">
        <v>62</v>
      </c>
      <c r="R101" s="17" t="s">
        <v>62</v>
      </c>
      <c r="S101" s="17" t="s">
        <v>62</v>
      </c>
      <c r="T101" s="14">
        <v>7</v>
      </c>
      <c r="U101" s="16">
        <v>4</v>
      </c>
      <c r="V101" s="16">
        <v>5</v>
      </c>
      <c r="W101" s="16">
        <v>7</v>
      </c>
      <c r="X101" s="17" t="s">
        <v>62</v>
      </c>
      <c r="Y101" s="14">
        <v>57</v>
      </c>
      <c r="Z101" s="14">
        <v>71</v>
      </c>
      <c r="AA101" s="14">
        <v>100</v>
      </c>
      <c r="AB101" s="14">
        <v>0</v>
      </c>
      <c r="AC101" s="14">
        <v>1</v>
      </c>
      <c r="AD101" s="14">
        <v>7</v>
      </c>
      <c r="AE101" s="14">
        <v>7</v>
      </c>
      <c r="AF101" s="14">
        <v>4</v>
      </c>
      <c r="AG101" s="17" t="s">
        <v>62</v>
      </c>
      <c r="AH101" s="14">
        <v>100</v>
      </c>
      <c r="AI101" s="14">
        <v>100</v>
      </c>
      <c r="AJ101" s="14">
        <v>57</v>
      </c>
      <c r="AK101" s="14">
        <v>0</v>
      </c>
      <c r="AL101" s="14">
        <v>2</v>
      </c>
      <c r="AM101" s="16">
        <v>4</v>
      </c>
      <c r="AN101" s="16">
        <v>4</v>
      </c>
      <c r="AO101" s="16">
        <v>6</v>
      </c>
      <c r="AP101" s="16">
        <v>5</v>
      </c>
      <c r="AQ101" s="16">
        <v>5</v>
      </c>
      <c r="AR101" s="16">
        <v>4</v>
      </c>
      <c r="AS101" s="16">
        <v>4</v>
      </c>
      <c r="AT101" s="16">
        <v>5</v>
      </c>
      <c r="AU101" s="16">
        <v>7</v>
      </c>
      <c r="AV101" s="16">
        <v>7</v>
      </c>
      <c r="AW101" s="16">
        <v>7</v>
      </c>
      <c r="AX101" s="16">
        <v>8</v>
      </c>
      <c r="AY101" s="16">
        <v>2</v>
      </c>
      <c r="AZ101" s="16">
        <v>0</v>
      </c>
      <c r="BA101" s="16">
        <v>3</v>
      </c>
      <c r="BB101" s="16">
        <v>0</v>
      </c>
      <c r="BC101" s="16">
        <v>1</v>
      </c>
      <c r="BD101" s="16">
        <v>0</v>
      </c>
      <c r="BE101" s="16">
        <v>0</v>
      </c>
      <c r="BF101" s="16">
        <v>0</v>
      </c>
      <c r="BG101" s="16">
        <v>21</v>
      </c>
      <c r="BH101" s="16">
        <v>3</v>
      </c>
      <c r="BI101" s="15" t="s">
        <v>63</v>
      </c>
      <c r="BJ101" s="16">
        <v>7</v>
      </c>
      <c r="BK101" s="16">
        <v>6</v>
      </c>
      <c r="BL101" s="16">
        <v>7</v>
      </c>
      <c r="BM101" s="16">
        <v>7</v>
      </c>
      <c r="BN101" s="16">
        <v>7</v>
      </c>
      <c r="BO101" s="16">
        <v>7</v>
      </c>
      <c r="BP101" s="16">
        <v>5</v>
      </c>
      <c r="BQ101" s="16">
        <v>3</v>
      </c>
      <c r="BR101" s="16">
        <v>4</v>
      </c>
      <c r="BS101" s="16">
        <v>2</v>
      </c>
      <c r="BT101" s="16">
        <v>7</v>
      </c>
      <c r="BU101" s="16">
        <v>2</v>
      </c>
      <c r="BV101" s="16">
        <v>0</v>
      </c>
      <c r="BW101" s="16">
        <v>1</v>
      </c>
      <c r="BX101" s="16">
        <v>1</v>
      </c>
      <c r="BY101" s="16">
        <v>1</v>
      </c>
      <c r="BZ101" s="16">
        <v>3</v>
      </c>
      <c r="CA101" s="16">
        <v>1</v>
      </c>
      <c r="CB101" s="16">
        <v>0</v>
      </c>
      <c r="CC101" s="16">
        <v>0</v>
      </c>
      <c r="CD101" s="16">
        <v>16</v>
      </c>
      <c r="CE101" s="16">
        <v>2.2999999999999998</v>
      </c>
      <c r="CF101" s="15" t="s">
        <v>63</v>
      </c>
      <c r="CG101" s="15" t="s">
        <v>71</v>
      </c>
      <c r="CH101" s="15">
        <v>1.237E-3</v>
      </c>
      <c r="CI101" s="14">
        <v>3</v>
      </c>
      <c r="CJ101" s="79">
        <v>1</v>
      </c>
      <c r="CK101" s="79">
        <v>1</v>
      </c>
      <c r="CL101" s="79">
        <v>1</v>
      </c>
      <c r="CM101" s="79">
        <v>396.34539000000001</v>
      </c>
      <c r="CN101" s="79">
        <v>1</v>
      </c>
      <c r="CO101" s="79">
        <v>1</v>
      </c>
      <c r="CP101" s="79" t="s">
        <v>224</v>
      </c>
      <c r="CQ101" s="79">
        <v>1</v>
      </c>
      <c r="CR101" s="12">
        <f>IF(COUNTIF(Incl!A:A,Raw!J101),1, "")</f>
        <v>1</v>
      </c>
    </row>
    <row r="102" spans="1:96" ht="13.5" thickTop="1" thickBot="1" x14ac:dyDescent="0.3">
      <c r="A102" s="18">
        <v>99</v>
      </c>
      <c r="B102" s="19">
        <v>1</v>
      </c>
      <c r="C102" s="20">
        <v>421.03714400000001</v>
      </c>
      <c r="D102" s="19">
        <v>102</v>
      </c>
      <c r="E102" s="19">
        <v>1</v>
      </c>
      <c r="F102" s="19">
        <v>131</v>
      </c>
      <c r="G102" s="21">
        <v>87</v>
      </c>
      <c r="H102" s="19">
        <v>87</v>
      </c>
      <c r="I102" s="19">
        <v>87</v>
      </c>
      <c r="J102" s="19">
        <v>87</v>
      </c>
      <c r="K102" s="20" t="s">
        <v>82</v>
      </c>
      <c r="L102" s="20" t="s">
        <v>109</v>
      </c>
      <c r="M102" s="20" t="s">
        <v>97</v>
      </c>
      <c r="N102" s="22">
        <v>19</v>
      </c>
      <c r="O102" s="22" t="s">
        <v>62</v>
      </c>
      <c r="P102" s="21" t="s">
        <v>62</v>
      </c>
      <c r="Q102" s="22">
        <v>1</v>
      </c>
      <c r="R102" s="22" t="s">
        <v>62</v>
      </c>
      <c r="S102" s="22" t="s">
        <v>62</v>
      </c>
      <c r="T102" s="19">
        <v>20</v>
      </c>
      <c r="U102" s="21">
        <v>20</v>
      </c>
      <c r="V102" s="21">
        <v>19</v>
      </c>
      <c r="W102" s="21">
        <v>20</v>
      </c>
      <c r="X102" s="22" t="s">
        <v>62</v>
      </c>
      <c r="Y102" s="19">
        <v>100</v>
      </c>
      <c r="Z102" s="19">
        <v>95</v>
      </c>
      <c r="AA102" s="19">
        <v>100</v>
      </c>
      <c r="AB102" s="19">
        <v>0</v>
      </c>
      <c r="AC102" s="19">
        <v>3</v>
      </c>
      <c r="AD102" s="19">
        <v>15</v>
      </c>
      <c r="AE102" s="19">
        <v>16</v>
      </c>
      <c r="AF102" s="19">
        <v>11</v>
      </c>
      <c r="AG102" s="22" t="s">
        <v>62</v>
      </c>
      <c r="AH102" s="19">
        <v>75</v>
      </c>
      <c r="AI102" s="19">
        <v>80</v>
      </c>
      <c r="AJ102" s="19">
        <v>55</v>
      </c>
      <c r="AK102" s="19">
        <v>0</v>
      </c>
      <c r="AL102" s="19">
        <v>2</v>
      </c>
      <c r="AM102" s="21">
        <v>21</v>
      </c>
      <c r="AN102" s="21">
        <v>21</v>
      </c>
      <c r="AO102" s="21">
        <v>20</v>
      </c>
      <c r="AP102" s="21">
        <v>20</v>
      </c>
      <c r="AQ102" s="21">
        <v>19</v>
      </c>
      <c r="AR102" s="21">
        <v>14</v>
      </c>
      <c r="AS102" s="21">
        <v>13</v>
      </c>
      <c r="AT102" s="21">
        <v>17</v>
      </c>
      <c r="AU102" s="21">
        <v>21</v>
      </c>
      <c r="AV102" s="21">
        <v>21</v>
      </c>
      <c r="AW102" s="21">
        <v>126</v>
      </c>
      <c r="AX102" s="21">
        <v>11</v>
      </c>
      <c r="AY102" s="21">
        <v>5</v>
      </c>
      <c r="AZ102" s="21">
        <v>0</v>
      </c>
      <c r="BA102" s="21">
        <v>1</v>
      </c>
      <c r="BB102" s="21">
        <v>0</v>
      </c>
      <c r="BC102" s="21">
        <v>0</v>
      </c>
      <c r="BD102" s="21">
        <v>0</v>
      </c>
      <c r="BE102" s="21">
        <v>1</v>
      </c>
      <c r="BF102" s="21">
        <v>1</v>
      </c>
      <c r="BG102" s="21">
        <v>145</v>
      </c>
      <c r="BH102" s="21">
        <v>7.3</v>
      </c>
      <c r="BI102" s="20" t="s">
        <v>99</v>
      </c>
      <c r="BJ102" s="21">
        <v>15</v>
      </c>
      <c r="BK102" s="21">
        <v>16</v>
      </c>
      <c r="BL102" s="21">
        <v>14</v>
      </c>
      <c r="BM102" s="21">
        <v>16</v>
      </c>
      <c r="BN102" s="21">
        <v>17</v>
      </c>
      <c r="BO102" s="21">
        <v>16</v>
      </c>
      <c r="BP102" s="21">
        <v>14</v>
      </c>
      <c r="BQ102" s="21">
        <v>15</v>
      </c>
      <c r="BR102" s="21">
        <v>11</v>
      </c>
      <c r="BS102" s="21">
        <v>10</v>
      </c>
      <c r="BT102" s="21">
        <v>54</v>
      </c>
      <c r="BU102" s="21">
        <v>11</v>
      </c>
      <c r="BV102" s="21">
        <v>8</v>
      </c>
      <c r="BW102" s="21">
        <v>4</v>
      </c>
      <c r="BX102" s="21">
        <v>4</v>
      </c>
      <c r="BY102" s="21">
        <v>0</v>
      </c>
      <c r="BZ102" s="21">
        <v>0</v>
      </c>
      <c r="CA102" s="21">
        <v>1</v>
      </c>
      <c r="CB102" s="21">
        <v>0</v>
      </c>
      <c r="CC102" s="21">
        <v>0</v>
      </c>
      <c r="CD102" s="21">
        <v>82</v>
      </c>
      <c r="CE102" s="21">
        <v>4.0999999999999996</v>
      </c>
      <c r="CF102" s="20" t="s">
        <v>67</v>
      </c>
      <c r="CG102" s="20" t="s">
        <v>74</v>
      </c>
      <c r="CH102" s="20">
        <v>1.2700000000000001E-3</v>
      </c>
      <c r="CI102" s="19">
        <v>5</v>
      </c>
      <c r="CJ102" s="78">
        <v>1</v>
      </c>
      <c r="CK102" s="78">
        <v>1</v>
      </c>
      <c r="CL102" s="78">
        <v>1</v>
      </c>
      <c r="CM102" s="78">
        <v>409.276681</v>
      </c>
      <c r="CN102" s="78">
        <v>1</v>
      </c>
      <c r="CO102" s="78">
        <v>1</v>
      </c>
      <c r="CP102" s="78">
        <v>1</v>
      </c>
      <c r="CQ102" s="78" t="s">
        <v>224</v>
      </c>
      <c r="CR102" s="12">
        <f>IF(COUNTIF(Incl!A:A,Raw!J102),1, "")</f>
        <v>1</v>
      </c>
    </row>
    <row r="103" spans="1:96" ht="13.5" thickTop="1" thickBot="1" x14ac:dyDescent="0.3">
      <c r="A103" s="13">
        <v>100</v>
      </c>
      <c r="B103" s="14">
        <v>1</v>
      </c>
      <c r="C103" s="15">
        <v>391.00883700000003</v>
      </c>
      <c r="D103" s="14">
        <v>103</v>
      </c>
      <c r="E103" s="14">
        <v>2</v>
      </c>
      <c r="F103" s="14">
        <v>132</v>
      </c>
      <c r="G103" s="16">
        <v>121</v>
      </c>
      <c r="H103" s="14">
        <v>121</v>
      </c>
      <c r="I103" s="14">
        <v>121</v>
      </c>
      <c r="J103" s="14">
        <v>121</v>
      </c>
      <c r="K103" s="15" t="s">
        <v>110</v>
      </c>
      <c r="L103" s="15" t="s">
        <v>97</v>
      </c>
      <c r="M103" s="15" t="s">
        <v>109</v>
      </c>
      <c r="N103" s="17" t="s">
        <v>62</v>
      </c>
      <c r="O103" s="16">
        <v>13</v>
      </c>
      <c r="P103" s="17" t="s">
        <v>62</v>
      </c>
      <c r="Q103" s="17" t="s">
        <v>62</v>
      </c>
      <c r="R103" s="17" t="s">
        <v>62</v>
      </c>
      <c r="S103" s="17" t="s">
        <v>62</v>
      </c>
      <c r="T103" s="14">
        <v>13</v>
      </c>
      <c r="U103" s="16">
        <v>7</v>
      </c>
      <c r="V103" s="16">
        <v>7</v>
      </c>
      <c r="W103" s="16">
        <v>12</v>
      </c>
      <c r="X103" s="17" t="s">
        <v>62</v>
      </c>
      <c r="Y103" s="14">
        <v>54</v>
      </c>
      <c r="Z103" s="14">
        <v>54</v>
      </c>
      <c r="AA103" s="14">
        <v>92</v>
      </c>
      <c r="AB103" s="14">
        <v>0</v>
      </c>
      <c r="AC103" s="14">
        <v>1</v>
      </c>
      <c r="AD103" s="14">
        <v>11</v>
      </c>
      <c r="AE103" s="14">
        <v>9</v>
      </c>
      <c r="AF103" s="14">
        <v>8</v>
      </c>
      <c r="AG103" s="17" t="s">
        <v>62</v>
      </c>
      <c r="AH103" s="14">
        <v>85</v>
      </c>
      <c r="AI103" s="14">
        <v>69</v>
      </c>
      <c r="AJ103" s="14">
        <v>62</v>
      </c>
      <c r="AK103" s="14">
        <v>0</v>
      </c>
      <c r="AL103" s="14">
        <v>1</v>
      </c>
      <c r="AM103" s="16">
        <v>7</v>
      </c>
      <c r="AN103" s="16">
        <v>8</v>
      </c>
      <c r="AO103" s="16">
        <v>13</v>
      </c>
      <c r="AP103" s="16">
        <v>10</v>
      </c>
      <c r="AQ103" s="16">
        <v>7</v>
      </c>
      <c r="AR103" s="16">
        <v>4</v>
      </c>
      <c r="AS103" s="16">
        <v>4</v>
      </c>
      <c r="AT103" s="16">
        <v>7</v>
      </c>
      <c r="AU103" s="16">
        <v>12</v>
      </c>
      <c r="AV103" s="16">
        <v>12</v>
      </c>
      <c r="AW103" s="16">
        <v>14</v>
      </c>
      <c r="AX103" s="16">
        <v>12</v>
      </c>
      <c r="AY103" s="16">
        <v>3</v>
      </c>
      <c r="AZ103" s="16">
        <v>0</v>
      </c>
      <c r="BA103" s="16">
        <v>2</v>
      </c>
      <c r="BB103" s="16">
        <v>0</v>
      </c>
      <c r="BC103" s="16">
        <v>1</v>
      </c>
      <c r="BD103" s="16">
        <v>0</v>
      </c>
      <c r="BE103" s="16">
        <v>0</v>
      </c>
      <c r="BF103" s="16">
        <v>2</v>
      </c>
      <c r="BG103" s="16">
        <v>34</v>
      </c>
      <c r="BH103" s="16">
        <v>2.6</v>
      </c>
      <c r="BI103" s="15" t="s">
        <v>63</v>
      </c>
      <c r="BJ103" s="16">
        <v>11</v>
      </c>
      <c r="BK103" s="16">
        <v>11</v>
      </c>
      <c r="BL103" s="16">
        <v>11</v>
      </c>
      <c r="BM103" s="16">
        <v>9</v>
      </c>
      <c r="BN103" s="16">
        <v>9</v>
      </c>
      <c r="BO103" s="16">
        <v>8</v>
      </c>
      <c r="BP103" s="16">
        <v>11</v>
      </c>
      <c r="BQ103" s="16">
        <v>9</v>
      </c>
      <c r="BR103" s="16">
        <v>8</v>
      </c>
      <c r="BS103" s="16">
        <v>7</v>
      </c>
      <c r="BT103" s="16">
        <v>10</v>
      </c>
      <c r="BU103" s="16">
        <v>4</v>
      </c>
      <c r="BV103" s="16">
        <v>3</v>
      </c>
      <c r="BW103" s="16">
        <v>3</v>
      </c>
      <c r="BX103" s="16">
        <v>2</v>
      </c>
      <c r="BY103" s="16">
        <v>0</v>
      </c>
      <c r="BZ103" s="16">
        <v>1</v>
      </c>
      <c r="CA103" s="16">
        <v>1</v>
      </c>
      <c r="CB103" s="16">
        <v>0</v>
      </c>
      <c r="CC103" s="16">
        <v>3</v>
      </c>
      <c r="CD103" s="16">
        <v>27</v>
      </c>
      <c r="CE103" s="16">
        <v>2.1</v>
      </c>
      <c r="CF103" s="15" t="s">
        <v>63</v>
      </c>
      <c r="CG103" s="15" t="s">
        <v>71</v>
      </c>
      <c r="CH103" s="15">
        <v>1.219E-3</v>
      </c>
      <c r="CI103" s="14">
        <v>2</v>
      </c>
      <c r="CJ103" s="79">
        <v>1</v>
      </c>
      <c r="CK103" s="79">
        <v>1</v>
      </c>
      <c r="CL103" s="79">
        <v>1</v>
      </c>
      <c r="CM103" s="79">
        <v>391.00862100000001</v>
      </c>
      <c r="CN103" s="79">
        <v>1</v>
      </c>
      <c r="CO103" s="79">
        <v>1</v>
      </c>
      <c r="CP103" s="79" t="s">
        <v>224</v>
      </c>
      <c r="CQ103" s="79" t="s">
        <v>224</v>
      </c>
      <c r="CR103" s="12">
        <f>IF(COUNTIF(Incl!A:A,Raw!J103),1, "")</f>
        <v>1</v>
      </c>
    </row>
    <row r="104" spans="1:96" ht="13.5" thickTop="1" thickBot="1" x14ac:dyDescent="0.3">
      <c r="A104" s="13">
        <v>101</v>
      </c>
      <c r="B104" s="14">
        <v>1</v>
      </c>
      <c r="C104" s="15">
        <v>165.676199</v>
      </c>
      <c r="D104" s="14">
        <v>104</v>
      </c>
      <c r="E104" s="14">
        <v>1</v>
      </c>
      <c r="F104" s="14">
        <v>133</v>
      </c>
      <c r="G104" s="16">
        <v>53</v>
      </c>
      <c r="H104" s="14">
        <v>53</v>
      </c>
      <c r="I104" s="14">
        <v>53</v>
      </c>
      <c r="J104" s="14">
        <v>53</v>
      </c>
      <c r="K104" s="15" t="s">
        <v>69</v>
      </c>
      <c r="L104" s="15" t="s">
        <v>97</v>
      </c>
      <c r="M104" s="15" t="s">
        <v>111</v>
      </c>
      <c r="N104" s="16" t="s">
        <v>62</v>
      </c>
      <c r="O104" s="16">
        <v>8</v>
      </c>
      <c r="P104" s="17" t="s">
        <v>62</v>
      </c>
      <c r="Q104" s="17" t="s">
        <v>62</v>
      </c>
      <c r="R104" s="17" t="s">
        <v>62</v>
      </c>
      <c r="S104" s="17" t="s">
        <v>62</v>
      </c>
      <c r="T104" s="14">
        <v>8</v>
      </c>
      <c r="U104" s="16">
        <v>5</v>
      </c>
      <c r="V104" s="16">
        <v>3</v>
      </c>
      <c r="W104" s="16">
        <v>4</v>
      </c>
      <c r="X104" s="17">
        <v>6</v>
      </c>
      <c r="Y104" s="14">
        <v>61</v>
      </c>
      <c r="Z104" s="14">
        <v>37</v>
      </c>
      <c r="AA104" s="14">
        <v>49</v>
      </c>
      <c r="AB104" s="14">
        <v>73</v>
      </c>
      <c r="AC104" s="14">
        <v>0</v>
      </c>
      <c r="AD104" s="14">
        <v>4</v>
      </c>
      <c r="AE104" s="14">
        <v>5</v>
      </c>
      <c r="AF104" s="14">
        <v>1</v>
      </c>
      <c r="AG104" s="17">
        <v>0</v>
      </c>
      <c r="AH104" s="14">
        <v>49</v>
      </c>
      <c r="AI104" s="14">
        <v>61</v>
      </c>
      <c r="AJ104" s="14">
        <v>12</v>
      </c>
      <c r="AK104" s="14">
        <v>0</v>
      </c>
      <c r="AL104" s="14">
        <v>0</v>
      </c>
      <c r="AM104" s="16" t="s">
        <v>62</v>
      </c>
      <c r="AN104" s="16" t="s">
        <v>62</v>
      </c>
      <c r="AO104" s="16" t="s">
        <v>62</v>
      </c>
      <c r="AP104" s="16" t="s">
        <v>62</v>
      </c>
      <c r="AQ104" s="16" t="s">
        <v>62</v>
      </c>
      <c r="AR104" s="16" t="s">
        <v>62</v>
      </c>
      <c r="AS104" s="16" t="s">
        <v>62</v>
      </c>
      <c r="AT104" s="16" t="s">
        <v>62</v>
      </c>
      <c r="AU104" s="16" t="s">
        <v>62</v>
      </c>
      <c r="AV104" s="16" t="s">
        <v>62</v>
      </c>
      <c r="AW104" s="16" t="s">
        <v>62</v>
      </c>
      <c r="AX104" s="16" t="s">
        <v>62</v>
      </c>
      <c r="AY104" s="16" t="s">
        <v>62</v>
      </c>
      <c r="AZ104" s="16" t="s">
        <v>62</v>
      </c>
      <c r="BA104" s="16" t="s">
        <v>62</v>
      </c>
      <c r="BB104" s="16" t="s">
        <v>62</v>
      </c>
      <c r="BC104" s="16" t="s">
        <v>62</v>
      </c>
      <c r="BD104" s="16" t="s">
        <v>62</v>
      </c>
      <c r="BE104" s="16" t="s">
        <v>62</v>
      </c>
      <c r="BF104" s="16" t="s">
        <v>62</v>
      </c>
      <c r="BG104" s="16" t="s">
        <v>62</v>
      </c>
      <c r="BH104" s="16" t="s">
        <v>62</v>
      </c>
      <c r="BI104" s="15" t="s">
        <v>62</v>
      </c>
      <c r="BJ104" s="16" t="s">
        <v>62</v>
      </c>
      <c r="BK104" s="16" t="s">
        <v>62</v>
      </c>
      <c r="BL104" s="16" t="s">
        <v>62</v>
      </c>
      <c r="BM104" s="16" t="s">
        <v>62</v>
      </c>
      <c r="BN104" s="16" t="s">
        <v>62</v>
      </c>
      <c r="BO104" s="16" t="s">
        <v>62</v>
      </c>
      <c r="BP104" s="16" t="s">
        <v>62</v>
      </c>
      <c r="BQ104" s="16" t="s">
        <v>62</v>
      </c>
      <c r="BR104" s="16" t="s">
        <v>62</v>
      </c>
      <c r="BS104" s="16" t="s">
        <v>62</v>
      </c>
      <c r="BT104" s="16" t="s">
        <v>62</v>
      </c>
      <c r="BU104" s="16" t="s">
        <v>62</v>
      </c>
      <c r="BV104" s="16" t="s">
        <v>62</v>
      </c>
      <c r="BW104" s="16" t="s">
        <v>62</v>
      </c>
      <c r="BX104" s="16" t="s">
        <v>62</v>
      </c>
      <c r="BY104" s="16" t="s">
        <v>62</v>
      </c>
      <c r="BZ104" s="16" t="s">
        <v>62</v>
      </c>
      <c r="CA104" s="16" t="s">
        <v>62</v>
      </c>
      <c r="CB104" s="16" t="s">
        <v>62</v>
      </c>
      <c r="CC104" s="16" t="s">
        <v>62</v>
      </c>
      <c r="CD104" s="16" t="s">
        <v>62</v>
      </c>
      <c r="CE104" s="16" t="s">
        <v>62</v>
      </c>
      <c r="CF104" s="15" t="s">
        <v>62</v>
      </c>
      <c r="CG104" s="15" t="s">
        <v>71</v>
      </c>
      <c r="CH104" s="15">
        <v>5.1800000000000001E-4</v>
      </c>
      <c r="CI104" s="14">
        <v>0</v>
      </c>
      <c r="CJ104" s="79">
        <v>3</v>
      </c>
      <c r="CK104" s="79" t="s">
        <v>224</v>
      </c>
      <c r="CL104" s="79" t="s">
        <v>224</v>
      </c>
      <c r="CM104" s="79">
        <v>165.67617100000001</v>
      </c>
      <c r="CN104" s="79">
        <v>2</v>
      </c>
      <c r="CO104" s="79" t="s">
        <v>224</v>
      </c>
      <c r="CP104" s="79" t="s">
        <v>224</v>
      </c>
      <c r="CQ104" s="79" t="s">
        <v>224</v>
      </c>
      <c r="CR104" s="12" t="str">
        <f>IF(COUNTIF(Incl!A:A,Raw!J104),1, "")</f>
        <v/>
      </c>
    </row>
    <row r="105" spans="1:96" ht="13.5" thickTop="1" thickBot="1" x14ac:dyDescent="0.3">
      <c r="A105" s="18">
        <v>102</v>
      </c>
      <c r="B105" s="19">
        <v>1</v>
      </c>
      <c r="C105" s="20">
        <v>457.98910799999999</v>
      </c>
      <c r="D105" s="19">
        <v>105</v>
      </c>
      <c r="E105" s="19">
        <v>1</v>
      </c>
      <c r="F105" s="19">
        <v>134</v>
      </c>
      <c r="G105" s="21">
        <v>54</v>
      </c>
      <c r="H105" s="19">
        <v>54</v>
      </c>
      <c r="I105" s="19">
        <v>54</v>
      </c>
      <c r="J105" s="19">
        <v>54</v>
      </c>
      <c r="K105" s="20" t="s">
        <v>69</v>
      </c>
      <c r="L105" s="20" t="s">
        <v>109</v>
      </c>
      <c r="M105" s="20" t="s">
        <v>97</v>
      </c>
      <c r="N105" s="22" t="s">
        <v>62</v>
      </c>
      <c r="O105" s="21">
        <v>17</v>
      </c>
      <c r="P105" s="22" t="s">
        <v>62</v>
      </c>
      <c r="Q105" s="22" t="s">
        <v>62</v>
      </c>
      <c r="R105" s="22" t="s">
        <v>62</v>
      </c>
      <c r="S105" s="22" t="s">
        <v>62</v>
      </c>
      <c r="T105" s="19">
        <v>17</v>
      </c>
      <c r="U105" s="21">
        <v>14</v>
      </c>
      <c r="V105" s="21">
        <v>13</v>
      </c>
      <c r="W105" s="21">
        <v>12</v>
      </c>
      <c r="X105" s="22">
        <v>12</v>
      </c>
      <c r="Y105" s="19">
        <v>80</v>
      </c>
      <c r="Z105" s="19">
        <v>75</v>
      </c>
      <c r="AA105" s="19">
        <v>69</v>
      </c>
      <c r="AB105" s="19">
        <v>69</v>
      </c>
      <c r="AC105" s="19">
        <v>2</v>
      </c>
      <c r="AD105" s="19">
        <v>13</v>
      </c>
      <c r="AE105" s="19">
        <v>12</v>
      </c>
      <c r="AF105" s="19">
        <v>10</v>
      </c>
      <c r="AG105" s="22">
        <v>10</v>
      </c>
      <c r="AH105" s="19">
        <v>75</v>
      </c>
      <c r="AI105" s="19">
        <v>69</v>
      </c>
      <c r="AJ105" s="19">
        <v>57</v>
      </c>
      <c r="AK105" s="19">
        <v>57</v>
      </c>
      <c r="AL105" s="19">
        <v>1</v>
      </c>
      <c r="AM105" s="21" t="s">
        <v>62</v>
      </c>
      <c r="AN105" s="21" t="s">
        <v>62</v>
      </c>
      <c r="AO105" s="21" t="s">
        <v>62</v>
      </c>
      <c r="AP105" s="21" t="s">
        <v>62</v>
      </c>
      <c r="AQ105" s="21" t="s">
        <v>62</v>
      </c>
      <c r="AR105" s="21" t="s">
        <v>62</v>
      </c>
      <c r="AS105" s="21" t="s">
        <v>62</v>
      </c>
      <c r="AT105" s="21" t="s">
        <v>62</v>
      </c>
      <c r="AU105" s="21" t="s">
        <v>62</v>
      </c>
      <c r="AV105" s="21" t="s">
        <v>62</v>
      </c>
      <c r="AW105" s="21" t="s">
        <v>62</v>
      </c>
      <c r="AX105" s="21" t="s">
        <v>62</v>
      </c>
      <c r="AY105" s="21" t="s">
        <v>62</v>
      </c>
      <c r="AZ105" s="21" t="s">
        <v>62</v>
      </c>
      <c r="BA105" s="21" t="s">
        <v>62</v>
      </c>
      <c r="BB105" s="21" t="s">
        <v>62</v>
      </c>
      <c r="BC105" s="21" t="s">
        <v>62</v>
      </c>
      <c r="BD105" s="21" t="s">
        <v>62</v>
      </c>
      <c r="BE105" s="21" t="s">
        <v>62</v>
      </c>
      <c r="BF105" s="21" t="s">
        <v>62</v>
      </c>
      <c r="BG105" s="21" t="s">
        <v>62</v>
      </c>
      <c r="BH105" s="21" t="s">
        <v>62</v>
      </c>
      <c r="BI105" s="20" t="s">
        <v>62</v>
      </c>
      <c r="BJ105" s="21" t="s">
        <v>62</v>
      </c>
      <c r="BK105" s="21" t="s">
        <v>62</v>
      </c>
      <c r="BL105" s="21" t="s">
        <v>62</v>
      </c>
      <c r="BM105" s="21" t="s">
        <v>62</v>
      </c>
      <c r="BN105" s="21" t="s">
        <v>62</v>
      </c>
      <c r="BO105" s="21" t="s">
        <v>62</v>
      </c>
      <c r="BP105" s="21" t="s">
        <v>62</v>
      </c>
      <c r="BQ105" s="21" t="s">
        <v>62</v>
      </c>
      <c r="BR105" s="21" t="s">
        <v>62</v>
      </c>
      <c r="BS105" s="21" t="s">
        <v>62</v>
      </c>
      <c r="BT105" s="21" t="s">
        <v>62</v>
      </c>
      <c r="BU105" s="21" t="s">
        <v>62</v>
      </c>
      <c r="BV105" s="21" t="s">
        <v>62</v>
      </c>
      <c r="BW105" s="21" t="s">
        <v>62</v>
      </c>
      <c r="BX105" s="21" t="s">
        <v>62</v>
      </c>
      <c r="BY105" s="21" t="s">
        <v>62</v>
      </c>
      <c r="BZ105" s="21" t="s">
        <v>62</v>
      </c>
      <c r="CA105" s="21" t="s">
        <v>62</v>
      </c>
      <c r="CB105" s="21" t="s">
        <v>62</v>
      </c>
      <c r="CC105" s="21" t="s">
        <v>62</v>
      </c>
      <c r="CD105" s="21" t="s">
        <v>62</v>
      </c>
      <c r="CE105" s="21" t="s">
        <v>62</v>
      </c>
      <c r="CF105" s="20" t="s">
        <v>62</v>
      </c>
      <c r="CG105" s="20" t="s">
        <v>74</v>
      </c>
      <c r="CH105" s="20">
        <v>1.4599999999999999E-3</v>
      </c>
      <c r="CI105" s="19">
        <v>3</v>
      </c>
      <c r="CJ105" s="78">
        <v>3</v>
      </c>
      <c r="CK105" s="78" t="s">
        <v>224</v>
      </c>
      <c r="CL105" s="78" t="s">
        <v>224</v>
      </c>
      <c r="CM105" s="78">
        <v>468.82912800000003</v>
      </c>
      <c r="CN105" s="78">
        <v>2</v>
      </c>
      <c r="CO105" s="78" t="s">
        <v>224</v>
      </c>
      <c r="CP105" s="78" t="s">
        <v>224</v>
      </c>
      <c r="CQ105" s="78" t="s">
        <v>224</v>
      </c>
      <c r="CR105" s="12" t="str">
        <f>IF(COUNTIF(Incl!A:A,Raw!J105),1, "")</f>
        <v/>
      </c>
    </row>
    <row r="106" spans="1:96" ht="13.5" thickTop="1" thickBot="1" x14ac:dyDescent="0.3">
      <c r="A106" s="18">
        <v>103</v>
      </c>
      <c r="B106" s="19">
        <v>1</v>
      </c>
      <c r="C106" s="20">
        <v>225.49266600000001</v>
      </c>
      <c r="D106" s="19">
        <v>106</v>
      </c>
      <c r="E106" s="19">
        <v>1</v>
      </c>
      <c r="F106" s="19">
        <v>135</v>
      </c>
      <c r="G106" s="21">
        <v>55</v>
      </c>
      <c r="H106" s="19">
        <v>55</v>
      </c>
      <c r="I106" s="19">
        <v>55</v>
      </c>
      <c r="J106" s="19">
        <v>55</v>
      </c>
      <c r="K106" s="20" t="s">
        <v>69</v>
      </c>
      <c r="L106" s="22" t="s">
        <v>111</v>
      </c>
      <c r="M106" s="20" t="s">
        <v>109</v>
      </c>
      <c r="N106" s="22" t="s">
        <v>62</v>
      </c>
      <c r="O106" s="21">
        <v>11</v>
      </c>
      <c r="P106" s="22" t="s">
        <v>62</v>
      </c>
      <c r="Q106" s="22" t="s">
        <v>62</v>
      </c>
      <c r="R106" s="22" t="s">
        <v>62</v>
      </c>
      <c r="S106" s="22" t="s">
        <v>62</v>
      </c>
      <c r="T106" s="19">
        <v>11</v>
      </c>
      <c r="U106" s="21">
        <v>6</v>
      </c>
      <c r="V106" s="21">
        <v>8</v>
      </c>
      <c r="W106" s="21">
        <v>6</v>
      </c>
      <c r="X106" s="22">
        <v>9</v>
      </c>
      <c r="Y106" s="19">
        <v>57</v>
      </c>
      <c r="Z106" s="19">
        <v>76</v>
      </c>
      <c r="AA106" s="19">
        <v>57</v>
      </c>
      <c r="AB106" s="19">
        <v>86</v>
      </c>
      <c r="AC106" s="19">
        <v>2</v>
      </c>
      <c r="AD106" s="19">
        <v>5</v>
      </c>
      <c r="AE106" s="19">
        <v>4</v>
      </c>
      <c r="AF106" s="19">
        <v>6</v>
      </c>
      <c r="AG106" s="22">
        <v>4</v>
      </c>
      <c r="AH106" s="19">
        <v>48</v>
      </c>
      <c r="AI106" s="19">
        <v>38</v>
      </c>
      <c r="AJ106" s="19">
        <v>57</v>
      </c>
      <c r="AK106" s="19">
        <v>38</v>
      </c>
      <c r="AL106" s="19">
        <v>0</v>
      </c>
      <c r="AM106" s="21" t="s">
        <v>62</v>
      </c>
      <c r="AN106" s="21" t="s">
        <v>62</v>
      </c>
      <c r="AO106" s="21" t="s">
        <v>62</v>
      </c>
      <c r="AP106" s="21" t="s">
        <v>62</v>
      </c>
      <c r="AQ106" s="21" t="s">
        <v>62</v>
      </c>
      <c r="AR106" s="21" t="s">
        <v>62</v>
      </c>
      <c r="AS106" s="21" t="s">
        <v>62</v>
      </c>
      <c r="AT106" s="21" t="s">
        <v>62</v>
      </c>
      <c r="AU106" s="21" t="s">
        <v>62</v>
      </c>
      <c r="AV106" s="21" t="s">
        <v>62</v>
      </c>
      <c r="AW106" s="21" t="s">
        <v>62</v>
      </c>
      <c r="AX106" s="21" t="s">
        <v>62</v>
      </c>
      <c r="AY106" s="21" t="s">
        <v>62</v>
      </c>
      <c r="AZ106" s="21" t="s">
        <v>62</v>
      </c>
      <c r="BA106" s="21" t="s">
        <v>62</v>
      </c>
      <c r="BB106" s="21" t="s">
        <v>62</v>
      </c>
      <c r="BC106" s="21" t="s">
        <v>62</v>
      </c>
      <c r="BD106" s="21" t="s">
        <v>62</v>
      </c>
      <c r="BE106" s="21" t="s">
        <v>62</v>
      </c>
      <c r="BF106" s="21" t="s">
        <v>62</v>
      </c>
      <c r="BG106" s="21" t="s">
        <v>62</v>
      </c>
      <c r="BH106" s="21" t="s">
        <v>62</v>
      </c>
      <c r="BI106" s="20" t="s">
        <v>62</v>
      </c>
      <c r="BJ106" s="21" t="s">
        <v>62</v>
      </c>
      <c r="BK106" s="21" t="s">
        <v>62</v>
      </c>
      <c r="BL106" s="21" t="s">
        <v>62</v>
      </c>
      <c r="BM106" s="21" t="s">
        <v>62</v>
      </c>
      <c r="BN106" s="21" t="s">
        <v>62</v>
      </c>
      <c r="BO106" s="21" t="s">
        <v>62</v>
      </c>
      <c r="BP106" s="21" t="s">
        <v>62</v>
      </c>
      <c r="BQ106" s="21" t="s">
        <v>62</v>
      </c>
      <c r="BR106" s="21" t="s">
        <v>62</v>
      </c>
      <c r="BS106" s="21" t="s">
        <v>62</v>
      </c>
      <c r="BT106" s="21" t="s">
        <v>62</v>
      </c>
      <c r="BU106" s="21" t="s">
        <v>62</v>
      </c>
      <c r="BV106" s="21" t="s">
        <v>62</v>
      </c>
      <c r="BW106" s="21" t="s">
        <v>62</v>
      </c>
      <c r="BX106" s="21" t="s">
        <v>62</v>
      </c>
      <c r="BY106" s="21" t="s">
        <v>62</v>
      </c>
      <c r="BZ106" s="21" t="s">
        <v>62</v>
      </c>
      <c r="CA106" s="21" t="s">
        <v>62</v>
      </c>
      <c r="CB106" s="21" t="s">
        <v>62</v>
      </c>
      <c r="CC106" s="21" t="s">
        <v>62</v>
      </c>
      <c r="CD106" s="21" t="s">
        <v>62</v>
      </c>
      <c r="CE106" s="21" t="s">
        <v>62</v>
      </c>
      <c r="CF106" s="20" t="s">
        <v>62</v>
      </c>
      <c r="CG106" s="20" t="s">
        <v>71</v>
      </c>
      <c r="CH106" s="20">
        <v>7.0100000000000002E-4</v>
      </c>
      <c r="CI106" s="19">
        <v>2</v>
      </c>
      <c r="CJ106" s="78">
        <v>3</v>
      </c>
      <c r="CK106" s="78" t="s">
        <v>224</v>
      </c>
      <c r="CL106" s="78" t="s">
        <v>224</v>
      </c>
      <c r="CM106" s="78">
        <v>225.492651</v>
      </c>
      <c r="CN106" s="78">
        <v>2</v>
      </c>
      <c r="CO106" s="78" t="s">
        <v>224</v>
      </c>
      <c r="CP106" s="78" t="s">
        <v>224</v>
      </c>
      <c r="CQ106" s="78">
        <v>1</v>
      </c>
      <c r="CR106" s="12" t="str">
        <f>IF(COUNTIF(Incl!A:A,Raw!J106),1, "")</f>
        <v/>
      </c>
    </row>
    <row r="107" spans="1:96" ht="13.5" thickTop="1" thickBot="1" x14ac:dyDescent="0.3">
      <c r="A107" s="13">
        <v>104</v>
      </c>
      <c r="B107" s="14">
        <v>1</v>
      </c>
      <c r="C107" s="15">
        <v>418.15272199999998</v>
      </c>
      <c r="D107" s="14">
        <v>107</v>
      </c>
      <c r="E107" s="14">
        <v>1</v>
      </c>
      <c r="F107" s="14">
        <v>136</v>
      </c>
      <c r="G107" s="16">
        <v>86</v>
      </c>
      <c r="H107" s="14">
        <v>86</v>
      </c>
      <c r="I107" s="14">
        <v>86</v>
      </c>
      <c r="J107" s="14">
        <v>86</v>
      </c>
      <c r="K107" s="15" t="s">
        <v>82</v>
      </c>
      <c r="L107" s="15" t="s">
        <v>97</v>
      </c>
      <c r="M107" s="17" t="s">
        <v>109</v>
      </c>
      <c r="N107" s="17">
        <v>35</v>
      </c>
      <c r="O107" s="16" t="s">
        <v>62</v>
      </c>
      <c r="P107" s="17" t="s">
        <v>62</v>
      </c>
      <c r="Q107" s="17" t="s">
        <v>62</v>
      </c>
      <c r="R107" s="17" t="s">
        <v>62</v>
      </c>
      <c r="S107" s="17" t="s">
        <v>62</v>
      </c>
      <c r="T107" s="14">
        <v>35</v>
      </c>
      <c r="U107" s="16">
        <v>31</v>
      </c>
      <c r="V107" s="16">
        <v>31</v>
      </c>
      <c r="W107" s="16">
        <v>34</v>
      </c>
      <c r="X107" s="17" t="s">
        <v>62</v>
      </c>
      <c r="Y107" s="14">
        <v>89</v>
      </c>
      <c r="Z107" s="14">
        <v>89</v>
      </c>
      <c r="AA107" s="14">
        <v>97</v>
      </c>
      <c r="AB107" s="14">
        <v>0</v>
      </c>
      <c r="AC107" s="14">
        <v>3</v>
      </c>
      <c r="AD107" s="14">
        <v>19</v>
      </c>
      <c r="AE107" s="14">
        <v>21</v>
      </c>
      <c r="AF107" s="14">
        <v>28</v>
      </c>
      <c r="AG107" s="17" t="s">
        <v>62</v>
      </c>
      <c r="AH107" s="14">
        <v>54</v>
      </c>
      <c r="AI107" s="14">
        <v>60</v>
      </c>
      <c r="AJ107" s="14">
        <v>80</v>
      </c>
      <c r="AK107" s="14">
        <v>0</v>
      </c>
      <c r="AL107" s="14">
        <v>1</v>
      </c>
      <c r="AM107" s="16">
        <v>31</v>
      </c>
      <c r="AN107" s="16">
        <v>33</v>
      </c>
      <c r="AO107" s="16">
        <v>34</v>
      </c>
      <c r="AP107" s="16">
        <v>34</v>
      </c>
      <c r="AQ107" s="16">
        <v>31</v>
      </c>
      <c r="AR107" s="16">
        <v>19</v>
      </c>
      <c r="AS107" s="16">
        <v>22</v>
      </c>
      <c r="AT107" s="16">
        <v>27</v>
      </c>
      <c r="AU107" s="16">
        <v>34</v>
      </c>
      <c r="AV107" s="16">
        <v>33</v>
      </c>
      <c r="AW107" s="16">
        <v>184</v>
      </c>
      <c r="AX107" s="16">
        <v>21</v>
      </c>
      <c r="AY107" s="16">
        <v>5</v>
      </c>
      <c r="AZ107" s="16">
        <v>1</v>
      </c>
      <c r="BA107" s="16">
        <v>1</v>
      </c>
      <c r="BB107" s="16">
        <v>0</v>
      </c>
      <c r="BC107" s="16">
        <v>2</v>
      </c>
      <c r="BD107" s="16">
        <v>2</v>
      </c>
      <c r="BE107" s="16">
        <v>2</v>
      </c>
      <c r="BF107" s="16">
        <v>0</v>
      </c>
      <c r="BG107" s="16">
        <v>218</v>
      </c>
      <c r="BH107" s="16">
        <v>6.2</v>
      </c>
      <c r="BI107" s="15" t="s">
        <v>99</v>
      </c>
      <c r="BJ107" s="16">
        <v>19</v>
      </c>
      <c r="BK107" s="16">
        <v>26</v>
      </c>
      <c r="BL107" s="16">
        <v>23</v>
      </c>
      <c r="BM107" s="16">
        <v>19</v>
      </c>
      <c r="BN107" s="16">
        <v>21</v>
      </c>
      <c r="BO107" s="16">
        <v>20</v>
      </c>
      <c r="BP107" s="16">
        <v>22</v>
      </c>
      <c r="BQ107" s="16">
        <v>27</v>
      </c>
      <c r="BR107" s="16">
        <v>28</v>
      </c>
      <c r="BS107" s="16">
        <v>19</v>
      </c>
      <c r="BT107" s="16">
        <v>116</v>
      </c>
      <c r="BU107" s="16">
        <v>17</v>
      </c>
      <c r="BV107" s="16">
        <v>12</v>
      </c>
      <c r="BW107" s="16">
        <v>4</v>
      </c>
      <c r="BX107" s="16">
        <v>3</v>
      </c>
      <c r="BY107" s="16">
        <v>0</v>
      </c>
      <c r="BZ107" s="16">
        <v>1</v>
      </c>
      <c r="CA107" s="16">
        <v>0</v>
      </c>
      <c r="CB107" s="16">
        <v>0</v>
      </c>
      <c r="CC107" s="16">
        <v>0</v>
      </c>
      <c r="CD107" s="16">
        <v>153</v>
      </c>
      <c r="CE107" s="16">
        <v>4.4000000000000004</v>
      </c>
      <c r="CF107" s="15" t="s">
        <v>67</v>
      </c>
      <c r="CG107" s="15" t="s">
        <v>71</v>
      </c>
      <c r="CH107" s="15">
        <v>1.3209999999999999E-3</v>
      </c>
      <c r="CI107" s="14">
        <v>4</v>
      </c>
      <c r="CJ107" s="79">
        <v>1</v>
      </c>
      <c r="CK107" s="79">
        <v>1</v>
      </c>
      <c r="CL107" s="79">
        <v>1</v>
      </c>
      <c r="CM107" s="79">
        <v>424.26000199999999</v>
      </c>
      <c r="CN107" s="79">
        <v>1</v>
      </c>
      <c r="CO107" s="79">
        <v>1</v>
      </c>
      <c r="CP107" s="79">
        <v>1</v>
      </c>
      <c r="CQ107" s="79" t="s">
        <v>224</v>
      </c>
      <c r="CR107" s="12">
        <f>IF(COUNTIF(Incl!A:A,Raw!J107),1, "")</f>
        <v>1</v>
      </c>
    </row>
    <row r="108" spans="1:96" ht="13.5" thickTop="1" thickBot="1" x14ac:dyDescent="0.3">
      <c r="A108" s="13">
        <v>105</v>
      </c>
      <c r="B108" s="14">
        <v>1</v>
      </c>
      <c r="C108" s="15">
        <v>166.44190599999999</v>
      </c>
      <c r="D108" s="14">
        <v>108</v>
      </c>
      <c r="E108" s="14">
        <v>1</v>
      </c>
      <c r="F108" s="14">
        <v>137</v>
      </c>
      <c r="G108" s="16">
        <v>206</v>
      </c>
      <c r="H108" s="14">
        <v>206</v>
      </c>
      <c r="I108" s="14">
        <v>206</v>
      </c>
      <c r="J108" s="14">
        <v>206</v>
      </c>
      <c r="K108" s="15" t="s">
        <v>109</v>
      </c>
      <c r="L108" s="15" t="s">
        <v>82</v>
      </c>
      <c r="M108" s="15" t="s">
        <v>69</v>
      </c>
      <c r="N108" s="16">
        <v>1</v>
      </c>
      <c r="O108" s="17">
        <v>6</v>
      </c>
      <c r="P108" s="17" t="s">
        <v>62</v>
      </c>
      <c r="Q108" s="17" t="s">
        <v>62</v>
      </c>
      <c r="R108" s="17" t="s">
        <v>62</v>
      </c>
      <c r="S108" s="17" t="s">
        <v>62</v>
      </c>
      <c r="T108" s="14">
        <v>7</v>
      </c>
      <c r="U108" s="17">
        <v>5</v>
      </c>
      <c r="V108" s="17">
        <v>3</v>
      </c>
      <c r="W108" s="17">
        <v>7</v>
      </c>
      <c r="X108" s="17" t="s">
        <v>62</v>
      </c>
      <c r="Y108" s="14">
        <v>72</v>
      </c>
      <c r="Z108" s="14">
        <v>43</v>
      </c>
      <c r="AA108" s="14">
        <v>101</v>
      </c>
      <c r="AB108" s="14">
        <v>0</v>
      </c>
      <c r="AC108" s="14">
        <v>1</v>
      </c>
      <c r="AD108" s="14">
        <v>6</v>
      </c>
      <c r="AE108" s="14">
        <v>7</v>
      </c>
      <c r="AF108" s="14">
        <v>7</v>
      </c>
      <c r="AG108" s="17" t="s">
        <v>62</v>
      </c>
      <c r="AH108" s="14">
        <v>87</v>
      </c>
      <c r="AI108" s="14">
        <v>101</v>
      </c>
      <c r="AJ108" s="14">
        <v>101</v>
      </c>
      <c r="AK108" s="14">
        <v>0</v>
      </c>
      <c r="AL108" s="14">
        <v>3</v>
      </c>
      <c r="AM108" s="16">
        <v>5</v>
      </c>
      <c r="AN108" s="16">
        <v>7</v>
      </c>
      <c r="AO108" s="16">
        <v>7</v>
      </c>
      <c r="AP108" s="16">
        <v>6</v>
      </c>
      <c r="AQ108" s="16">
        <v>3</v>
      </c>
      <c r="AR108" s="16">
        <v>6</v>
      </c>
      <c r="AS108" s="16">
        <v>5</v>
      </c>
      <c r="AT108" s="16">
        <v>5</v>
      </c>
      <c r="AU108" s="16">
        <v>7</v>
      </c>
      <c r="AV108" s="16">
        <v>7</v>
      </c>
      <c r="AW108" s="16">
        <v>14</v>
      </c>
      <c r="AX108" s="16">
        <v>11</v>
      </c>
      <c r="AY108" s="16">
        <v>4</v>
      </c>
      <c r="AZ108" s="16">
        <v>0</v>
      </c>
      <c r="BA108" s="16">
        <v>2</v>
      </c>
      <c r="BB108" s="16">
        <v>0</v>
      </c>
      <c r="BC108" s="16">
        <v>0</v>
      </c>
      <c r="BD108" s="16">
        <v>0</v>
      </c>
      <c r="BE108" s="16">
        <v>0</v>
      </c>
      <c r="BF108" s="16">
        <v>0</v>
      </c>
      <c r="BG108" s="16">
        <v>31</v>
      </c>
      <c r="BH108" s="16">
        <v>4.5</v>
      </c>
      <c r="BI108" s="15" t="s">
        <v>67</v>
      </c>
      <c r="BJ108" s="16">
        <v>6</v>
      </c>
      <c r="BK108" s="16">
        <v>6</v>
      </c>
      <c r="BL108" s="16">
        <v>6</v>
      </c>
      <c r="BM108" s="16">
        <v>5</v>
      </c>
      <c r="BN108" s="16">
        <v>7</v>
      </c>
      <c r="BO108" s="16">
        <v>7</v>
      </c>
      <c r="BP108" s="16">
        <v>6</v>
      </c>
      <c r="BQ108" s="16">
        <v>7</v>
      </c>
      <c r="BR108" s="16">
        <v>7</v>
      </c>
      <c r="BS108" s="16">
        <v>4</v>
      </c>
      <c r="BT108" s="16">
        <v>18</v>
      </c>
      <c r="BU108" s="16">
        <v>5</v>
      </c>
      <c r="BV108" s="16">
        <v>4</v>
      </c>
      <c r="BW108" s="16">
        <v>0</v>
      </c>
      <c r="BX108" s="16">
        <v>3</v>
      </c>
      <c r="BY108" s="16">
        <v>1</v>
      </c>
      <c r="BZ108" s="16">
        <v>0</v>
      </c>
      <c r="CA108" s="16">
        <v>0</v>
      </c>
      <c r="CB108" s="16">
        <v>0</v>
      </c>
      <c r="CC108" s="16">
        <v>0</v>
      </c>
      <c r="CD108" s="16">
        <v>31</v>
      </c>
      <c r="CE108" s="16">
        <v>4.5</v>
      </c>
      <c r="CF108" s="15" t="s">
        <v>67</v>
      </c>
      <c r="CG108" s="15" t="s">
        <v>64</v>
      </c>
      <c r="CH108" s="15">
        <v>5.7300000000000005E-4</v>
      </c>
      <c r="CI108" s="14">
        <v>4</v>
      </c>
      <c r="CJ108" s="79">
        <v>1</v>
      </c>
      <c r="CK108" s="79">
        <v>1</v>
      </c>
      <c r="CL108" s="79">
        <v>1</v>
      </c>
      <c r="CM108" s="79">
        <v>183.60808299999999</v>
      </c>
      <c r="CN108" s="79">
        <v>1</v>
      </c>
      <c r="CO108" s="79">
        <v>1</v>
      </c>
      <c r="CP108" s="79" t="s">
        <v>224</v>
      </c>
      <c r="CQ108" s="79" t="s">
        <v>224</v>
      </c>
      <c r="CR108" s="12">
        <f>IF(COUNTIF(Incl!A:A,Raw!J108),1, "")</f>
        <v>1</v>
      </c>
    </row>
    <row r="109" spans="1:96" ht="13.5" thickTop="1" thickBot="1" x14ac:dyDescent="0.3">
      <c r="A109" s="18">
        <v>106</v>
      </c>
      <c r="B109" s="19">
        <v>1</v>
      </c>
      <c r="C109" s="20">
        <v>208.95998599999999</v>
      </c>
      <c r="D109" s="19">
        <v>109</v>
      </c>
      <c r="E109" s="19">
        <v>1</v>
      </c>
      <c r="F109" s="19">
        <v>138</v>
      </c>
      <c r="G109" s="21">
        <v>208</v>
      </c>
      <c r="H109" s="19">
        <v>208</v>
      </c>
      <c r="I109" s="19">
        <v>208</v>
      </c>
      <c r="J109" s="19">
        <v>208</v>
      </c>
      <c r="K109" s="20" t="s">
        <v>109</v>
      </c>
      <c r="L109" s="20" t="s">
        <v>82</v>
      </c>
      <c r="M109" s="20" t="s">
        <v>60</v>
      </c>
      <c r="N109" s="21">
        <v>4</v>
      </c>
      <c r="O109" s="21" t="s">
        <v>62</v>
      </c>
      <c r="P109" s="22" t="s">
        <v>62</v>
      </c>
      <c r="Q109" s="22" t="s">
        <v>62</v>
      </c>
      <c r="R109" s="22" t="s">
        <v>62</v>
      </c>
      <c r="S109" s="22" t="s">
        <v>62</v>
      </c>
      <c r="T109" s="19">
        <v>4</v>
      </c>
      <c r="U109" s="21">
        <v>4</v>
      </c>
      <c r="V109" s="21">
        <v>4</v>
      </c>
      <c r="W109" s="21">
        <v>4</v>
      </c>
      <c r="X109" s="22" t="s">
        <v>62</v>
      </c>
      <c r="Y109" s="19">
        <v>111</v>
      </c>
      <c r="Z109" s="19">
        <v>111</v>
      </c>
      <c r="AA109" s="19">
        <v>111</v>
      </c>
      <c r="AB109" s="19">
        <v>0</v>
      </c>
      <c r="AC109" s="19">
        <v>3</v>
      </c>
      <c r="AD109" s="19">
        <v>4</v>
      </c>
      <c r="AE109" s="19">
        <v>4</v>
      </c>
      <c r="AF109" s="19">
        <v>4</v>
      </c>
      <c r="AG109" s="22" t="s">
        <v>62</v>
      </c>
      <c r="AH109" s="19">
        <v>111</v>
      </c>
      <c r="AI109" s="19">
        <v>111</v>
      </c>
      <c r="AJ109" s="19">
        <v>111</v>
      </c>
      <c r="AK109" s="19">
        <v>0</v>
      </c>
      <c r="AL109" s="19">
        <v>3</v>
      </c>
      <c r="AM109" s="21">
        <v>4</v>
      </c>
      <c r="AN109" s="21">
        <v>4</v>
      </c>
      <c r="AO109" s="21">
        <v>4</v>
      </c>
      <c r="AP109" s="21">
        <v>4</v>
      </c>
      <c r="AQ109" s="21">
        <v>4</v>
      </c>
      <c r="AR109" s="21">
        <v>4</v>
      </c>
      <c r="AS109" s="21">
        <v>4</v>
      </c>
      <c r="AT109" s="21">
        <v>4</v>
      </c>
      <c r="AU109" s="21">
        <v>4</v>
      </c>
      <c r="AV109" s="21">
        <v>4</v>
      </c>
      <c r="AW109" s="21">
        <v>1</v>
      </c>
      <c r="AX109" s="21">
        <v>3</v>
      </c>
      <c r="AY109" s="21">
        <v>0</v>
      </c>
      <c r="AZ109" s="21">
        <v>0</v>
      </c>
      <c r="BA109" s="21">
        <v>3</v>
      </c>
      <c r="BB109" s="21">
        <v>0</v>
      </c>
      <c r="BC109" s="21">
        <v>0</v>
      </c>
      <c r="BD109" s="21">
        <v>1</v>
      </c>
      <c r="BE109" s="21">
        <v>0</v>
      </c>
      <c r="BF109" s="21">
        <v>1</v>
      </c>
      <c r="BG109" s="21">
        <v>9</v>
      </c>
      <c r="BH109" s="21">
        <v>2.5</v>
      </c>
      <c r="BI109" s="20" t="s">
        <v>63</v>
      </c>
      <c r="BJ109" s="21">
        <v>4</v>
      </c>
      <c r="BK109" s="21">
        <v>4</v>
      </c>
      <c r="BL109" s="21">
        <v>4</v>
      </c>
      <c r="BM109" s="21">
        <v>4</v>
      </c>
      <c r="BN109" s="21">
        <v>4</v>
      </c>
      <c r="BO109" s="21">
        <v>4</v>
      </c>
      <c r="BP109" s="21">
        <v>4</v>
      </c>
      <c r="BQ109" s="21">
        <v>4</v>
      </c>
      <c r="BR109" s="21">
        <v>4</v>
      </c>
      <c r="BS109" s="21">
        <v>4</v>
      </c>
      <c r="BT109" s="21">
        <v>3</v>
      </c>
      <c r="BU109" s="21">
        <v>2</v>
      </c>
      <c r="BV109" s="21">
        <v>1</v>
      </c>
      <c r="BW109" s="21">
        <v>0</v>
      </c>
      <c r="BX109" s="21">
        <v>0</v>
      </c>
      <c r="BY109" s="21">
        <v>1</v>
      </c>
      <c r="BZ109" s="21">
        <v>1</v>
      </c>
      <c r="CA109" s="21">
        <v>1</v>
      </c>
      <c r="CB109" s="21">
        <v>1</v>
      </c>
      <c r="CC109" s="21">
        <v>0</v>
      </c>
      <c r="CD109" s="21">
        <v>10</v>
      </c>
      <c r="CE109" s="21">
        <v>2.8</v>
      </c>
      <c r="CF109" s="20" t="s">
        <v>63</v>
      </c>
      <c r="CG109" s="20" t="s">
        <v>64</v>
      </c>
      <c r="CH109" s="20">
        <v>6.5099999999999999E-4</v>
      </c>
      <c r="CI109" s="19">
        <v>6</v>
      </c>
      <c r="CJ109" s="78">
        <v>1</v>
      </c>
      <c r="CK109" s="78">
        <v>1</v>
      </c>
      <c r="CL109" s="78">
        <v>1</v>
      </c>
      <c r="CM109" s="78">
        <v>208.95988</v>
      </c>
      <c r="CN109" s="78">
        <v>1</v>
      </c>
      <c r="CO109" s="78">
        <v>1</v>
      </c>
      <c r="CP109" s="78" t="s">
        <v>224</v>
      </c>
      <c r="CQ109" s="78" t="s">
        <v>224</v>
      </c>
      <c r="CR109" s="12">
        <f>IF(COUNTIF(Incl!A:A,Raw!J109),1, "")</f>
        <v>1</v>
      </c>
    </row>
    <row r="110" spans="1:96" ht="13.5" thickTop="1" thickBot="1" x14ac:dyDescent="0.3">
      <c r="A110" s="13">
        <v>107</v>
      </c>
      <c r="B110" s="14">
        <v>1</v>
      </c>
      <c r="C110" s="15">
        <v>554.065517</v>
      </c>
      <c r="D110" s="14">
        <v>110</v>
      </c>
      <c r="E110" s="14">
        <v>1</v>
      </c>
      <c r="F110" s="14">
        <v>139</v>
      </c>
      <c r="G110" s="16">
        <v>198</v>
      </c>
      <c r="H110" s="14">
        <v>198</v>
      </c>
      <c r="I110" s="14">
        <v>198</v>
      </c>
      <c r="J110" s="14">
        <v>198</v>
      </c>
      <c r="K110" s="15" t="s">
        <v>111</v>
      </c>
      <c r="L110" s="15" t="s">
        <v>69</v>
      </c>
      <c r="M110" s="15" t="s">
        <v>95</v>
      </c>
      <c r="N110" s="17" t="s">
        <v>62</v>
      </c>
      <c r="O110" s="16" t="s">
        <v>62</v>
      </c>
      <c r="P110" s="17" t="s">
        <v>62</v>
      </c>
      <c r="Q110" s="17" t="s">
        <v>62</v>
      </c>
      <c r="R110" s="17" t="s">
        <v>62</v>
      </c>
      <c r="S110" s="17">
        <v>22</v>
      </c>
      <c r="T110" s="14">
        <v>22</v>
      </c>
      <c r="U110" s="16">
        <v>7</v>
      </c>
      <c r="V110" s="16">
        <v>8</v>
      </c>
      <c r="W110" s="16">
        <v>8</v>
      </c>
      <c r="X110" s="17">
        <v>11</v>
      </c>
      <c r="Y110" s="14">
        <v>32</v>
      </c>
      <c r="Z110" s="14">
        <v>36</v>
      </c>
      <c r="AA110" s="14">
        <v>36</v>
      </c>
      <c r="AB110" s="14">
        <v>50</v>
      </c>
      <c r="AC110" s="14">
        <v>0</v>
      </c>
      <c r="AD110" s="14">
        <v>5</v>
      </c>
      <c r="AE110" s="14">
        <v>9</v>
      </c>
      <c r="AF110" s="14">
        <v>7</v>
      </c>
      <c r="AG110" s="17">
        <v>9</v>
      </c>
      <c r="AH110" s="14">
        <v>23</v>
      </c>
      <c r="AI110" s="14">
        <v>41</v>
      </c>
      <c r="AJ110" s="14">
        <v>32</v>
      </c>
      <c r="AK110" s="14">
        <v>41</v>
      </c>
      <c r="AL110" s="14">
        <v>0</v>
      </c>
      <c r="AM110" s="16" t="s">
        <v>62</v>
      </c>
      <c r="AN110" s="16" t="s">
        <v>62</v>
      </c>
      <c r="AO110" s="16" t="s">
        <v>62</v>
      </c>
      <c r="AP110" s="16" t="s">
        <v>62</v>
      </c>
      <c r="AQ110" s="16" t="s">
        <v>62</v>
      </c>
      <c r="AR110" s="16" t="s">
        <v>62</v>
      </c>
      <c r="AS110" s="16" t="s">
        <v>62</v>
      </c>
      <c r="AT110" s="16" t="s">
        <v>62</v>
      </c>
      <c r="AU110" s="16" t="s">
        <v>62</v>
      </c>
      <c r="AV110" s="16" t="s">
        <v>62</v>
      </c>
      <c r="AW110" s="16" t="s">
        <v>62</v>
      </c>
      <c r="AX110" s="16" t="s">
        <v>62</v>
      </c>
      <c r="AY110" s="16" t="s">
        <v>62</v>
      </c>
      <c r="AZ110" s="16" t="s">
        <v>62</v>
      </c>
      <c r="BA110" s="16" t="s">
        <v>62</v>
      </c>
      <c r="BB110" s="16" t="s">
        <v>62</v>
      </c>
      <c r="BC110" s="16" t="s">
        <v>62</v>
      </c>
      <c r="BD110" s="16" t="s">
        <v>62</v>
      </c>
      <c r="BE110" s="16" t="s">
        <v>62</v>
      </c>
      <c r="BF110" s="16" t="s">
        <v>62</v>
      </c>
      <c r="BG110" s="16" t="s">
        <v>62</v>
      </c>
      <c r="BH110" s="16" t="s">
        <v>62</v>
      </c>
      <c r="BI110" s="15" t="s">
        <v>62</v>
      </c>
      <c r="BJ110" s="16" t="s">
        <v>62</v>
      </c>
      <c r="BK110" s="16" t="s">
        <v>62</v>
      </c>
      <c r="BL110" s="16" t="s">
        <v>62</v>
      </c>
      <c r="BM110" s="16" t="s">
        <v>62</v>
      </c>
      <c r="BN110" s="16" t="s">
        <v>62</v>
      </c>
      <c r="BO110" s="16" t="s">
        <v>62</v>
      </c>
      <c r="BP110" s="16" t="s">
        <v>62</v>
      </c>
      <c r="BQ110" s="16" t="s">
        <v>62</v>
      </c>
      <c r="BR110" s="16" t="s">
        <v>62</v>
      </c>
      <c r="BS110" s="16" t="s">
        <v>62</v>
      </c>
      <c r="BT110" s="16" t="s">
        <v>62</v>
      </c>
      <c r="BU110" s="16" t="s">
        <v>62</v>
      </c>
      <c r="BV110" s="16" t="s">
        <v>62</v>
      </c>
      <c r="BW110" s="16" t="s">
        <v>62</v>
      </c>
      <c r="BX110" s="16" t="s">
        <v>62</v>
      </c>
      <c r="BY110" s="16" t="s">
        <v>62</v>
      </c>
      <c r="BZ110" s="16" t="s">
        <v>62</v>
      </c>
      <c r="CA110" s="16" t="s">
        <v>62</v>
      </c>
      <c r="CB110" s="16" t="s">
        <v>62</v>
      </c>
      <c r="CC110" s="16" t="s">
        <v>62</v>
      </c>
      <c r="CD110" s="16" t="s">
        <v>62</v>
      </c>
      <c r="CE110" s="16" t="s">
        <v>62</v>
      </c>
      <c r="CF110" s="15" t="s">
        <v>62</v>
      </c>
      <c r="CG110" s="15" t="s">
        <v>64</v>
      </c>
      <c r="CH110" s="15">
        <v>1.6980000000000001E-3</v>
      </c>
      <c r="CI110" s="14">
        <v>0</v>
      </c>
      <c r="CJ110" s="79">
        <v>3</v>
      </c>
      <c r="CK110" s="79" t="s">
        <v>224</v>
      </c>
      <c r="CL110" s="79" t="s">
        <v>224</v>
      </c>
      <c r="CM110" s="79">
        <v>554.06553699999995</v>
      </c>
      <c r="CN110" s="79">
        <v>2</v>
      </c>
      <c r="CO110" s="79" t="s">
        <v>224</v>
      </c>
      <c r="CP110" s="79" t="s">
        <v>224</v>
      </c>
      <c r="CQ110" s="79" t="s">
        <v>224</v>
      </c>
      <c r="CR110" s="12" t="str">
        <f>IF(COUNTIF(Incl!A:A,Raw!J110),1, "")</f>
        <v/>
      </c>
    </row>
    <row r="111" spans="1:96" ht="13.5" thickTop="1" thickBot="1" x14ac:dyDescent="0.3">
      <c r="A111" s="18">
        <v>108</v>
      </c>
      <c r="B111" s="19">
        <v>1</v>
      </c>
      <c r="C111" s="20">
        <v>590.39293799999996</v>
      </c>
      <c r="D111" s="19">
        <v>111</v>
      </c>
      <c r="E111" s="19">
        <v>1</v>
      </c>
      <c r="F111" s="19">
        <v>140</v>
      </c>
      <c r="G111" s="21">
        <v>199</v>
      </c>
      <c r="H111" s="19">
        <v>199</v>
      </c>
      <c r="I111" s="19">
        <v>199</v>
      </c>
      <c r="J111" s="19">
        <v>199</v>
      </c>
      <c r="K111" s="20" t="s">
        <v>111</v>
      </c>
      <c r="L111" s="20" t="s">
        <v>95</v>
      </c>
      <c r="M111" s="20" t="s">
        <v>69</v>
      </c>
      <c r="N111" s="22" t="s">
        <v>62</v>
      </c>
      <c r="O111" s="21" t="s">
        <v>62</v>
      </c>
      <c r="P111" s="22" t="s">
        <v>62</v>
      </c>
      <c r="Q111" s="22" t="s">
        <v>62</v>
      </c>
      <c r="R111" s="22" t="s">
        <v>62</v>
      </c>
      <c r="S111" s="22">
        <v>19</v>
      </c>
      <c r="T111" s="19">
        <v>19</v>
      </c>
      <c r="U111" s="21">
        <v>11</v>
      </c>
      <c r="V111" s="22">
        <v>8</v>
      </c>
      <c r="W111" s="21">
        <v>10</v>
      </c>
      <c r="X111" s="22">
        <v>8</v>
      </c>
      <c r="Y111" s="19">
        <v>57</v>
      </c>
      <c r="Z111" s="19">
        <v>41</v>
      </c>
      <c r="AA111" s="19">
        <v>51</v>
      </c>
      <c r="AB111" s="19">
        <v>41</v>
      </c>
      <c r="AC111" s="19">
        <v>0</v>
      </c>
      <c r="AD111" s="19">
        <v>6</v>
      </c>
      <c r="AE111" s="19">
        <v>8</v>
      </c>
      <c r="AF111" s="19">
        <v>7</v>
      </c>
      <c r="AG111" s="22">
        <v>8</v>
      </c>
      <c r="AH111" s="19">
        <v>31</v>
      </c>
      <c r="AI111" s="19">
        <v>41</v>
      </c>
      <c r="AJ111" s="19">
        <v>36</v>
      </c>
      <c r="AK111" s="19">
        <v>41</v>
      </c>
      <c r="AL111" s="19">
        <v>0</v>
      </c>
      <c r="AM111" s="21" t="s">
        <v>62</v>
      </c>
      <c r="AN111" s="21" t="s">
        <v>62</v>
      </c>
      <c r="AO111" s="21" t="s">
        <v>62</v>
      </c>
      <c r="AP111" s="21" t="s">
        <v>62</v>
      </c>
      <c r="AQ111" s="21" t="s">
        <v>62</v>
      </c>
      <c r="AR111" s="21" t="s">
        <v>62</v>
      </c>
      <c r="AS111" s="21" t="s">
        <v>62</v>
      </c>
      <c r="AT111" s="21" t="s">
        <v>62</v>
      </c>
      <c r="AU111" s="21" t="s">
        <v>62</v>
      </c>
      <c r="AV111" s="21" t="s">
        <v>62</v>
      </c>
      <c r="AW111" s="21" t="s">
        <v>62</v>
      </c>
      <c r="AX111" s="21" t="s">
        <v>62</v>
      </c>
      <c r="AY111" s="21" t="s">
        <v>62</v>
      </c>
      <c r="AZ111" s="21" t="s">
        <v>62</v>
      </c>
      <c r="BA111" s="21" t="s">
        <v>62</v>
      </c>
      <c r="BB111" s="21" t="s">
        <v>62</v>
      </c>
      <c r="BC111" s="21" t="s">
        <v>62</v>
      </c>
      <c r="BD111" s="21" t="s">
        <v>62</v>
      </c>
      <c r="BE111" s="21" t="s">
        <v>62</v>
      </c>
      <c r="BF111" s="21" t="s">
        <v>62</v>
      </c>
      <c r="BG111" s="21" t="s">
        <v>62</v>
      </c>
      <c r="BH111" s="21" t="s">
        <v>62</v>
      </c>
      <c r="BI111" s="20" t="s">
        <v>62</v>
      </c>
      <c r="BJ111" s="21" t="s">
        <v>62</v>
      </c>
      <c r="BK111" s="21" t="s">
        <v>62</v>
      </c>
      <c r="BL111" s="21" t="s">
        <v>62</v>
      </c>
      <c r="BM111" s="21" t="s">
        <v>62</v>
      </c>
      <c r="BN111" s="21" t="s">
        <v>62</v>
      </c>
      <c r="BO111" s="21" t="s">
        <v>62</v>
      </c>
      <c r="BP111" s="21" t="s">
        <v>62</v>
      </c>
      <c r="BQ111" s="21" t="s">
        <v>62</v>
      </c>
      <c r="BR111" s="21" t="s">
        <v>62</v>
      </c>
      <c r="BS111" s="21" t="s">
        <v>62</v>
      </c>
      <c r="BT111" s="21" t="s">
        <v>62</v>
      </c>
      <c r="BU111" s="21" t="s">
        <v>62</v>
      </c>
      <c r="BV111" s="21" t="s">
        <v>62</v>
      </c>
      <c r="BW111" s="21" t="s">
        <v>62</v>
      </c>
      <c r="BX111" s="21" t="s">
        <v>62</v>
      </c>
      <c r="BY111" s="21" t="s">
        <v>62</v>
      </c>
      <c r="BZ111" s="21" t="s">
        <v>62</v>
      </c>
      <c r="CA111" s="21" t="s">
        <v>62</v>
      </c>
      <c r="CB111" s="21" t="s">
        <v>62</v>
      </c>
      <c r="CC111" s="21" t="s">
        <v>62</v>
      </c>
      <c r="CD111" s="21" t="s">
        <v>62</v>
      </c>
      <c r="CE111" s="21" t="s">
        <v>62</v>
      </c>
      <c r="CF111" s="20" t="s">
        <v>62</v>
      </c>
      <c r="CG111" s="20" t="s">
        <v>66</v>
      </c>
      <c r="CH111" s="20">
        <v>1.8129999999999999E-3</v>
      </c>
      <c r="CI111" s="19">
        <v>0</v>
      </c>
      <c r="CJ111" s="78">
        <v>3</v>
      </c>
      <c r="CK111" s="78" t="s">
        <v>224</v>
      </c>
      <c r="CL111" s="78" t="s">
        <v>224</v>
      </c>
      <c r="CM111" s="78">
        <v>590.39288799999997</v>
      </c>
      <c r="CN111" s="78">
        <v>2</v>
      </c>
      <c r="CO111" s="78" t="s">
        <v>224</v>
      </c>
      <c r="CP111" s="78" t="s">
        <v>224</v>
      </c>
      <c r="CQ111" s="78" t="s">
        <v>224</v>
      </c>
      <c r="CR111" s="12" t="str">
        <f>IF(COUNTIF(Incl!A:A,Raw!J111),1, "")</f>
        <v/>
      </c>
    </row>
    <row r="112" spans="1:96" ht="13.5" thickTop="1" thickBot="1" x14ac:dyDescent="0.3">
      <c r="A112" s="13">
        <v>109</v>
      </c>
      <c r="B112" s="14">
        <v>1</v>
      </c>
      <c r="C112" s="15">
        <v>172.50140500000001</v>
      </c>
      <c r="D112" s="14">
        <v>112</v>
      </c>
      <c r="E112" s="14">
        <v>1</v>
      </c>
      <c r="F112" s="14">
        <v>141</v>
      </c>
      <c r="G112" s="16">
        <v>28</v>
      </c>
      <c r="H112" s="14">
        <v>28</v>
      </c>
      <c r="I112" s="14">
        <v>28</v>
      </c>
      <c r="J112" s="14">
        <v>28</v>
      </c>
      <c r="K112" s="15" t="s">
        <v>95</v>
      </c>
      <c r="L112" s="15" t="s">
        <v>109</v>
      </c>
      <c r="M112" s="15" t="s">
        <v>111</v>
      </c>
      <c r="N112" s="16" t="s">
        <v>62</v>
      </c>
      <c r="O112" s="17" t="s">
        <v>62</v>
      </c>
      <c r="P112" s="17" t="s">
        <v>62</v>
      </c>
      <c r="Q112" s="17" t="s">
        <v>62</v>
      </c>
      <c r="R112" s="17" t="s">
        <v>62</v>
      </c>
      <c r="S112" s="17">
        <v>11</v>
      </c>
      <c r="T112" s="14">
        <v>11</v>
      </c>
      <c r="U112" s="17">
        <v>2</v>
      </c>
      <c r="V112" s="17">
        <v>2</v>
      </c>
      <c r="W112" s="16">
        <v>2</v>
      </c>
      <c r="X112" s="17">
        <v>1</v>
      </c>
      <c r="Y112" s="14">
        <v>18</v>
      </c>
      <c r="Z112" s="14">
        <v>18</v>
      </c>
      <c r="AA112" s="14">
        <v>18</v>
      </c>
      <c r="AB112" s="14">
        <v>9</v>
      </c>
      <c r="AC112" s="14">
        <v>0</v>
      </c>
      <c r="AD112" s="14">
        <v>2</v>
      </c>
      <c r="AE112" s="14">
        <v>1</v>
      </c>
      <c r="AF112" s="14">
        <v>2</v>
      </c>
      <c r="AG112" s="17">
        <v>2</v>
      </c>
      <c r="AH112" s="14">
        <v>18</v>
      </c>
      <c r="AI112" s="14">
        <v>9</v>
      </c>
      <c r="AJ112" s="14">
        <v>18</v>
      </c>
      <c r="AK112" s="14">
        <v>18</v>
      </c>
      <c r="AL112" s="14">
        <v>0</v>
      </c>
      <c r="AM112" s="16" t="s">
        <v>62</v>
      </c>
      <c r="AN112" s="16" t="s">
        <v>62</v>
      </c>
      <c r="AO112" s="16" t="s">
        <v>62</v>
      </c>
      <c r="AP112" s="16" t="s">
        <v>62</v>
      </c>
      <c r="AQ112" s="16" t="s">
        <v>62</v>
      </c>
      <c r="AR112" s="16" t="s">
        <v>62</v>
      </c>
      <c r="AS112" s="16" t="s">
        <v>62</v>
      </c>
      <c r="AT112" s="16" t="s">
        <v>62</v>
      </c>
      <c r="AU112" s="16" t="s">
        <v>62</v>
      </c>
      <c r="AV112" s="16" t="s">
        <v>62</v>
      </c>
      <c r="AW112" s="16" t="s">
        <v>62</v>
      </c>
      <c r="AX112" s="16" t="s">
        <v>62</v>
      </c>
      <c r="AY112" s="16" t="s">
        <v>62</v>
      </c>
      <c r="AZ112" s="16" t="s">
        <v>62</v>
      </c>
      <c r="BA112" s="16" t="s">
        <v>62</v>
      </c>
      <c r="BB112" s="16" t="s">
        <v>62</v>
      </c>
      <c r="BC112" s="16" t="s">
        <v>62</v>
      </c>
      <c r="BD112" s="16" t="s">
        <v>62</v>
      </c>
      <c r="BE112" s="16" t="s">
        <v>62</v>
      </c>
      <c r="BF112" s="16" t="s">
        <v>62</v>
      </c>
      <c r="BG112" s="16" t="s">
        <v>62</v>
      </c>
      <c r="BH112" s="16" t="s">
        <v>62</v>
      </c>
      <c r="BI112" s="15" t="s">
        <v>62</v>
      </c>
      <c r="BJ112" s="16" t="s">
        <v>62</v>
      </c>
      <c r="BK112" s="16" t="s">
        <v>62</v>
      </c>
      <c r="BL112" s="16" t="s">
        <v>62</v>
      </c>
      <c r="BM112" s="16" t="s">
        <v>62</v>
      </c>
      <c r="BN112" s="16" t="s">
        <v>62</v>
      </c>
      <c r="BO112" s="16" t="s">
        <v>62</v>
      </c>
      <c r="BP112" s="16" t="s">
        <v>62</v>
      </c>
      <c r="BQ112" s="16" t="s">
        <v>62</v>
      </c>
      <c r="BR112" s="16" t="s">
        <v>62</v>
      </c>
      <c r="BS112" s="16" t="s">
        <v>62</v>
      </c>
      <c r="BT112" s="16" t="s">
        <v>62</v>
      </c>
      <c r="BU112" s="16" t="s">
        <v>62</v>
      </c>
      <c r="BV112" s="16" t="s">
        <v>62</v>
      </c>
      <c r="BW112" s="16" t="s">
        <v>62</v>
      </c>
      <c r="BX112" s="16" t="s">
        <v>62</v>
      </c>
      <c r="BY112" s="16" t="s">
        <v>62</v>
      </c>
      <c r="BZ112" s="16" t="s">
        <v>62</v>
      </c>
      <c r="CA112" s="16" t="s">
        <v>62</v>
      </c>
      <c r="CB112" s="16" t="s">
        <v>62</v>
      </c>
      <c r="CC112" s="16" t="s">
        <v>62</v>
      </c>
      <c r="CD112" s="16" t="s">
        <v>62</v>
      </c>
      <c r="CE112" s="16" t="s">
        <v>62</v>
      </c>
      <c r="CF112" s="15" t="s">
        <v>62</v>
      </c>
      <c r="CG112" s="15" t="s">
        <v>74</v>
      </c>
      <c r="CH112" s="15">
        <v>5.1599999999999997E-4</v>
      </c>
      <c r="CI112" s="14">
        <v>0</v>
      </c>
      <c r="CJ112" s="79">
        <v>3</v>
      </c>
      <c r="CK112" s="79" t="s">
        <v>224</v>
      </c>
      <c r="CL112" s="79" t="s">
        <v>224</v>
      </c>
      <c r="CM112" s="79">
        <v>172.50135399999999</v>
      </c>
      <c r="CN112" s="79">
        <v>2</v>
      </c>
      <c r="CO112" s="79" t="s">
        <v>224</v>
      </c>
      <c r="CP112" s="79" t="s">
        <v>224</v>
      </c>
      <c r="CQ112" s="79" t="s">
        <v>224</v>
      </c>
      <c r="CR112" s="12" t="str">
        <f>IF(COUNTIF(Incl!A:A,Raw!J112),1, "")</f>
        <v/>
      </c>
    </row>
    <row r="113" spans="1:96" ht="13.5" thickTop="1" thickBot="1" x14ac:dyDescent="0.3">
      <c r="A113" s="18">
        <v>110</v>
      </c>
      <c r="B113" s="19">
        <v>1</v>
      </c>
      <c r="C113" s="20">
        <v>565.12635899999998</v>
      </c>
      <c r="D113" s="19">
        <v>113</v>
      </c>
      <c r="E113" s="19">
        <v>1</v>
      </c>
      <c r="F113" s="19">
        <v>142</v>
      </c>
      <c r="G113" s="21">
        <v>204</v>
      </c>
      <c r="H113" s="19">
        <v>204</v>
      </c>
      <c r="I113" s="19">
        <v>204</v>
      </c>
      <c r="J113" s="19">
        <v>204</v>
      </c>
      <c r="K113" s="20" t="s">
        <v>109</v>
      </c>
      <c r="L113" s="20" t="s">
        <v>95</v>
      </c>
      <c r="M113" s="20" t="s">
        <v>69</v>
      </c>
      <c r="N113" s="22" t="s">
        <v>62</v>
      </c>
      <c r="O113" s="21">
        <v>23</v>
      </c>
      <c r="P113" s="22" t="s">
        <v>62</v>
      </c>
      <c r="Q113" s="22" t="s">
        <v>62</v>
      </c>
      <c r="R113" s="22" t="s">
        <v>62</v>
      </c>
      <c r="S113" s="22" t="s">
        <v>62</v>
      </c>
      <c r="T113" s="19">
        <v>23</v>
      </c>
      <c r="U113" s="21">
        <v>15</v>
      </c>
      <c r="V113" s="21">
        <v>8</v>
      </c>
      <c r="W113" s="21">
        <v>10</v>
      </c>
      <c r="X113" s="22">
        <v>15</v>
      </c>
      <c r="Y113" s="19">
        <v>66</v>
      </c>
      <c r="Z113" s="19">
        <v>35</v>
      </c>
      <c r="AA113" s="19">
        <v>44</v>
      </c>
      <c r="AB113" s="19">
        <v>66</v>
      </c>
      <c r="AC113" s="19">
        <v>0</v>
      </c>
      <c r="AD113" s="19">
        <v>13</v>
      </c>
      <c r="AE113" s="19">
        <v>7</v>
      </c>
      <c r="AF113" s="19">
        <v>12</v>
      </c>
      <c r="AG113" s="22">
        <v>11</v>
      </c>
      <c r="AH113" s="19">
        <v>58</v>
      </c>
      <c r="AI113" s="19">
        <v>31</v>
      </c>
      <c r="AJ113" s="19">
        <v>53</v>
      </c>
      <c r="AK113" s="19">
        <v>49</v>
      </c>
      <c r="AL113" s="19">
        <v>0</v>
      </c>
      <c r="AM113" s="21" t="s">
        <v>62</v>
      </c>
      <c r="AN113" s="21" t="s">
        <v>62</v>
      </c>
      <c r="AO113" s="21" t="s">
        <v>62</v>
      </c>
      <c r="AP113" s="21" t="s">
        <v>62</v>
      </c>
      <c r="AQ113" s="21" t="s">
        <v>62</v>
      </c>
      <c r="AR113" s="21" t="s">
        <v>62</v>
      </c>
      <c r="AS113" s="21" t="s">
        <v>62</v>
      </c>
      <c r="AT113" s="21" t="s">
        <v>62</v>
      </c>
      <c r="AU113" s="21" t="s">
        <v>62</v>
      </c>
      <c r="AV113" s="21" t="s">
        <v>62</v>
      </c>
      <c r="AW113" s="21" t="s">
        <v>62</v>
      </c>
      <c r="AX113" s="21" t="s">
        <v>62</v>
      </c>
      <c r="AY113" s="21" t="s">
        <v>62</v>
      </c>
      <c r="AZ113" s="21" t="s">
        <v>62</v>
      </c>
      <c r="BA113" s="21" t="s">
        <v>62</v>
      </c>
      <c r="BB113" s="21" t="s">
        <v>62</v>
      </c>
      <c r="BC113" s="21" t="s">
        <v>62</v>
      </c>
      <c r="BD113" s="21" t="s">
        <v>62</v>
      </c>
      <c r="BE113" s="21" t="s">
        <v>62</v>
      </c>
      <c r="BF113" s="21" t="s">
        <v>62</v>
      </c>
      <c r="BG113" s="21" t="s">
        <v>62</v>
      </c>
      <c r="BH113" s="21" t="s">
        <v>62</v>
      </c>
      <c r="BI113" s="20" t="s">
        <v>62</v>
      </c>
      <c r="BJ113" s="21" t="s">
        <v>62</v>
      </c>
      <c r="BK113" s="21" t="s">
        <v>62</v>
      </c>
      <c r="BL113" s="21" t="s">
        <v>62</v>
      </c>
      <c r="BM113" s="21" t="s">
        <v>62</v>
      </c>
      <c r="BN113" s="21" t="s">
        <v>62</v>
      </c>
      <c r="BO113" s="21" t="s">
        <v>62</v>
      </c>
      <c r="BP113" s="21" t="s">
        <v>62</v>
      </c>
      <c r="BQ113" s="21" t="s">
        <v>62</v>
      </c>
      <c r="BR113" s="21" t="s">
        <v>62</v>
      </c>
      <c r="BS113" s="21" t="s">
        <v>62</v>
      </c>
      <c r="BT113" s="21" t="s">
        <v>62</v>
      </c>
      <c r="BU113" s="21" t="s">
        <v>62</v>
      </c>
      <c r="BV113" s="21" t="s">
        <v>62</v>
      </c>
      <c r="BW113" s="21" t="s">
        <v>62</v>
      </c>
      <c r="BX113" s="21" t="s">
        <v>62</v>
      </c>
      <c r="BY113" s="21" t="s">
        <v>62</v>
      </c>
      <c r="BZ113" s="21" t="s">
        <v>62</v>
      </c>
      <c r="CA113" s="21" t="s">
        <v>62</v>
      </c>
      <c r="CB113" s="21" t="s">
        <v>62</v>
      </c>
      <c r="CC113" s="21" t="s">
        <v>62</v>
      </c>
      <c r="CD113" s="21" t="s">
        <v>62</v>
      </c>
      <c r="CE113" s="21" t="s">
        <v>62</v>
      </c>
      <c r="CF113" s="20" t="s">
        <v>62</v>
      </c>
      <c r="CG113" s="20" t="s">
        <v>64</v>
      </c>
      <c r="CH113" s="20">
        <v>1.7279999999999999E-3</v>
      </c>
      <c r="CI113" s="19">
        <v>0</v>
      </c>
      <c r="CJ113" s="78">
        <v>3</v>
      </c>
      <c r="CK113" s="78" t="s">
        <v>224</v>
      </c>
      <c r="CL113" s="78" t="s">
        <v>224</v>
      </c>
      <c r="CM113" s="78">
        <v>565.12646400000006</v>
      </c>
      <c r="CN113" s="78">
        <v>2</v>
      </c>
      <c r="CO113" s="78" t="s">
        <v>224</v>
      </c>
      <c r="CP113" s="78" t="s">
        <v>224</v>
      </c>
      <c r="CQ113" s="78" t="s">
        <v>224</v>
      </c>
      <c r="CR113" s="12" t="str">
        <f>IF(COUNTIF(Incl!A:A,Raw!J113),1, "")</f>
        <v/>
      </c>
    </row>
    <row r="114" spans="1:96" ht="13.5" thickTop="1" thickBot="1" x14ac:dyDescent="0.3">
      <c r="A114" s="13">
        <v>111</v>
      </c>
      <c r="B114" s="14">
        <v>1</v>
      </c>
      <c r="C114" s="15">
        <v>635.10632599999997</v>
      </c>
      <c r="D114" s="14">
        <v>114</v>
      </c>
      <c r="E114" s="14">
        <v>1</v>
      </c>
      <c r="F114" s="14">
        <v>143</v>
      </c>
      <c r="G114" s="16">
        <v>205</v>
      </c>
      <c r="H114" s="14">
        <v>205</v>
      </c>
      <c r="I114" s="14">
        <v>205</v>
      </c>
      <c r="J114" s="14">
        <v>205</v>
      </c>
      <c r="K114" s="15" t="s">
        <v>109</v>
      </c>
      <c r="L114" s="15" t="s">
        <v>95</v>
      </c>
      <c r="M114" s="15" t="s">
        <v>69</v>
      </c>
      <c r="N114" s="17" t="s">
        <v>62</v>
      </c>
      <c r="O114" s="16">
        <v>23</v>
      </c>
      <c r="P114" s="17" t="s">
        <v>62</v>
      </c>
      <c r="Q114" s="17" t="s">
        <v>62</v>
      </c>
      <c r="R114" s="17" t="s">
        <v>62</v>
      </c>
      <c r="S114" s="17" t="s">
        <v>62</v>
      </c>
      <c r="T114" s="14">
        <v>23</v>
      </c>
      <c r="U114" s="16">
        <v>13</v>
      </c>
      <c r="V114" s="16">
        <v>11</v>
      </c>
      <c r="W114" s="16">
        <v>6</v>
      </c>
      <c r="X114" s="17">
        <v>16</v>
      </c>
      <c r="Y114" s="14">
        <v>57</v>
      </c>
      <c r="Z114" s="14">
        <v>48</v>
      </c>
      <c r="AA114" s="14">
        <v>26</v>
      </c>
      <c r="AB114" s="14">
        <v>70</v>
      </c>
      <c r="AC114" s="14">
        <v>0</v>
      </c>
      <c r="AD114" s="14">
        <v>7</v>
      </c>
      <c r="AE114" s="14">
        <v>7</v>
      </c>
      <c r="AF114" s="14">
        <v>4</v>
      </c>
      <c r="AG114" s="17">
        <v>5</v>
      </c>
      <c r="AH114" s="14">
        <v>30</v>
      </c>
      <c r="AI114" s="14">
        <v>30</v>
      </c>
      <c r="AJ114" s="14">
        <v>17</v>
      </c>
      <c r="AK114" s="14">
        <v>22</v>
      </c>
      <c r="AL114" s="14">
        <v>0</v>
      </c>
      <c r="AM114" s="16" t="s">
        <v>62</v>
      </c>
      <c r="AN114" s="16" t="s">
        <v>62</v>
      </c>
      <c r="AO114" s="16" t="s">
        <v>62</v>
      </c>
      <c r="AP114" s="16" t="s">
        <v>62</v>
      </c>
      <c r="AQ114" s="16" t="s">
        <v>62</v>
      </c>
      <c r="AR114" s="16" t="s">
        <v>62</v>
      </c>
      <c r="AS114" s="16" t="s">
        <v>62</v>
      </c>
      <c r="AT114" s="16" t="s">
        <v>62</v>
      </c>
      <c r="AU114" s="16" t="s">
        <v>62</v>
      </c>
      <c r="AV114" s="16" t="s">
        <v>62</v>
      </c>
      <c r="AW114" s="16" t="s">
        <v>62</v>
      </c>
      <c r="AX114" s="16" t="s">
        <v>62</v>
      </c>
      <c r="AY114" s="16" t="s">
        <v>62</v>
      </c>
      <c r="AZ114" s="16" t="s">
        <v>62</v>
      </c>
      <c r="BA114" s="16" t="s">
        <v>62</v>
      </c>
      <c r="BB114" s="16" t="s">
        <v>62</v>
      </c>
      <c r="BC114" s="16" t="s">
        <v>62</v>
      </c>
      <c r="BD114" s="16" t="s">
        <v>62</v>
      </c>
      <c r="BE114" s="16" t="s">
        <v>62</v>
      </c>
      <c r="BF114" s="16" t="s">
        <v>62</v>
      </c>
      <c r="BG114" s="16" t="s">
        <v>62</v>
      </c>
      <c r="BH114" s="16" t="s">
        <v>62</v>
      </c>
      <c r="BI114" s="15" t="s">
        <v>62</v>
      </c>
      <c r="BJ114" s="16" t="s">
        <v>62</v>
      </c>
      <c r="BK114" s="16" t="s">
        <v>62</v>
      </c>
      <c r="BL114" s="16" t="s">
        <v>62</v>
      </c>
      <c r="BM114" s="16" t="s">
        <v>62</v>
      </c>
      <c r="BN114" s="16" t="s">
        <v>62</v>
      </c>
      <c r="BO114" s="16" t="s">
        <v>62</v>
      </c>
      <c r="BP114" s="16" t="s">
        <v>62</v>
      </c>
      <c r="BQ114" s="16" t="s">
        <v>62</v>
      </c>
      <c r="BR114" s="16" t="s">
        <v>62</v>
      </c>
      <c r="BS114" s="16" t="s">
        <v>62</v>
      </c>
      <c r="BT114" s="16" t="s">
        <v>62</v>
      </c>
      <c r="BU114" s="16" t="s">
        <v>62</v>
      </c>
      <c r="BV114" s="16" t="s">
        <v>62</v>
      </c>
      <c r="BW114" s="16" t="s">
        <v>62</v>
      </c>
      <c r="BX114" s="16" t="s">
        <v>62</v>
      </c>
      <c r="BY114" s="16" t="s">
        <v>62</v>
      </c>
      <c r="BZ114" s="16" t="s">
        <v>62</v>
      </c>
      <c r="CA114" s="16" t="s">
        <v>62</v>
      </c>
      <c r="CB114" s="16" t="s">
        <v>62</v>
      </c>
      <c r="CC114" s="16" t="s">
        <v>62</v>
      </c>
      <c r="CD114" s="16" t="s">
        <v>62</v>
      </c>
      <c r="CE114" s="16" t="s">
        <v>62</v>
      </c>
      <c r="CF114" s="15" t="s">
        <v>62</v>
      </c>
      <c r="CG114" s="15" t="s">
        <v>66</v>
      </c>
      <c r="CH114" s="15">
        <v>1.9480000000000001E-3</v>
      </c>
      <c r="CI114" s="14">
        <v>0</v>
      </c>
      <c r="CJ114" s="79">
        <v>3</v>
      </c>
      <c r="CK114" s="79" t="s">
        <v>224</v>
      </c>
      <c r="CL114" s="79" t="s">
        <v>224</v>
      </c>
      <c r="CM114" s="79">
        <v>635.10630500000002</v>
      </c>
      <c r="CN114" s="79">
        <v>2</v>
      </c>
      <c r="CO114" s="79" t="s">
        <v>224</v>
      </c>
      <c r="CP114" s="79" t="s">
        <v>224</v>
      </c>
      <c r="CQ114" s="79" t="s">
        <v>224</v>
      </c>
      <c r="CR114" s="12" t="str">
        <f>IF(COUNTIF(Incl!A:A,Raw!J114),1, "")</f>
        <v/>
      </c>
    </row>
    <row r="115" spans="1:96" ht="13.5" thickTop="1" thickBot="1" x14ac:dyDescent="0.3">
      <c r="A115" s="13">
        <v>112</v>
      </c>
      <c r="B115" s="14">
        <v>1</v>
      </c>
      <c r="C115" s="15">
        <v>211.77331899999999</v>
      </c>
      <c r="D115" s="14">
        <v>115</v>
      </c>
      <c r="E115" s="14">
        <v>1</v>
      </c>
      <c r="F115" s="14">
        <v>144</v>
      </c>
      <c r="G115" s="16">
        <v>30</v>
      </c>
      <c r="H115" s="14">
        <v>30</v>
      </c>
      <c r="I115" s="14">
        <v>30</v>
      </c>
      <c r="J115" s="14">
        <v>30</v>
      </c>
      <c r="K115" s="15" t="s">
        <v>95</v>
      </c>
      <c r="L115" s="15" t="s">
        <v>112</v>
      </c>
      <c r="M115" s="15" t="s">
        <v>109</v>
      </c>
      <c r="N115" s="17" t="s">
        <v>62</v>
      </c>
      <c r="O115" s="17" t="s">
        <v>62</v>
      </c>
      <c r="P115" s="17" t="s">
        <v>62</v>
      </c>
      <c r="Q115" s="17" t="s">
        <v>62</v>
      </c>
      <c r="R115" s="17" t="s">
        <v>62</v>
      </c>
      <c r="S115" s="17">
        <v>13</v>
      </c>
      <c r="T115" s="14">
        <v>13</v>
      </c>
      <c r="U115" s="17">
        <v>8</v>
      </c>
      <c r="V115" s="17">
        <v>7</v>
      </c>
      <c r="W115" s="17">
        <v>7</v>
      </c>
      <c r="X115" s="17">
        <v>7</v>
      </c>
      <c r="Y115" s="14">
        <v>64</v>
      </c>
      <c r="Z115" s="14">
        <v>56</v>
      </c>
      <c r="AA115" s="14">
        <v>56</v>
      </c>
      <c r="AB115" s="14">
        <v>56</v>
      </c>
      <c r="AC115" s="14">
        <v>0</v>
      </c>
      <c r="AD115" s="14">
        <v>6</v>
      </c>
      <c r="AE115" s="14">
        <v>4</v>
      </c>
      <c r="AF115" s="14">
        <v>4</v>
      </c>
      <c r="AG115" s="17">
        <v>4</v>
      </c>
      <c r="AH115" s="14">
        <v>48</v>
      </c>
      <c r="AI115" s="14">
        <v>32</v>
      </c>
      <c r="AJ115" s="14">
        <v>32</v>
      </c>
      <c r="AK115" s="14">
        <v>32</v>
      </c>
      <c r="AL115" s="14">
        <v>0</v>
      </c>
      <c r="AM115" s="16" t="s">
        <v>62</v>
      </c>
      <c r="AN115" s="16" t="s">
        <v>62</v>
      </c>
      <c r="AO115" s="16" t="s">
        <v>62</v>
      </c>
      <c r="AP115" s="16" t="s">
        <v>62</v>
      </c>
      <c r="AQ115" s="16" t="s">
        <v>62</v>
      </c>
      <c r="AR115" s="16" t="s">
        <v>62</v>
      </c>
      <c r="AS115" s="16" t="s">
        <v>62</v>
      </c>
      <c r="AT115" s="16" t="s">
        <v>62</v>
      </c>
      <c r="AU115" s="16" t="s">
        <v>62</v>
      </c>
      <c r="AV115" s="16" t="s">
        <v>62</v>
      </c>
      <c r="AW115" s="16" t="s">
        <v>62</v>
      </c>
      <c r="AX115" s="16" t="s">
        <v>62</v>
      </c>
      <c r="AY115" s="16" t="s">
        <v>62</v>
      </c>
      <c r="AZ115" s="16" t="s">
        <v>62</v>
      </c>
      <c r="BA115" s="16" t="s">
        <v>62</v>
      </c>
      <c r="BB115" s="16" t="s">
        <v>62</v>
      </c>
      <c r="BC115" s="16" t="s">
        <v>62</v>
      </c>
      <c r="BD115" s="16" t="s">
        <v>62</v>
      </c>
      <c r="BE115" s="16" t="s">
        <v>62</v>
      </c>
      <c r="BF115" s="16" t="s">
        <v>62</v>
      </c>
      <c r="BG115" s="16" t="s">
        <v>62</v>
      </c>
      <c r="BH115" s="16" t="s">
        <v>62</v>
      </c>
      <c r="BI115" s="15" t="s">
        <v>62</v>
      </c>
      <c r="BJ115" s="16" t="s">
        <v>62</v>
      </c>
      <c r="BK115" s="16" t="s">
        <v>62</v>
      </c>
      <c r="BL115" s="16" t="s">
        <v>62</v>
      </c>
      <c r="BM115" s="16" t="s">
        <v>62</v>
      </c>
      <c r="BN115" s="16" t="s">
        <v>62</v>
      </c>
      <c r="BO115" s="16" t="s">
        <v>62</v>
      </c>
      <c r="BP115" s="16" t="s">
        <v>62</v>
      </c>
      <c r="BQ115" s="16" t="s">
        <v>62</v>
      </c>
      <c r="BR115" s="16" t="s">
        <v>62</v>
      </c>
      <c r="BS115" s="16" t="s">
        <v>62</v>
      </c>
      <c r="BT115" s="16" t="s">
        <v>62</v>
      </c>
      <c r="BU115" s="16" t="s">
        <v>62</v>
      </c>
      <c r="BV115" s="16" t="s">
        <v>62</v>
      </c>
      <c r="BW115" s="16" t="s">
        <v>62</v>
      </c>
      <c r="BX115" s="16" t="s">
        <v>62</v>
      </c>
      <c r="BY115" s="16" t="s">
        <v>62</v>
      </c>
      <c r="BZ115" s="16" t="s">
        <v>62</v>
      </c>
      <c r="CA115" s="16" t="s">
        <v>62</v>
      </c>
      <c r="CB115" s="16" t="s">
        <v>62</v>
      </c>
      <c r="CC115" s="16" t="s">
        <v>62</v>
      </c>
      <c r="CD115" s="16" t="s">
        <v>62</v>
      </c>
      <c r="CE115" s="16" t="s">
        <v>62</v>
      </c>
      <c r="CF115" s="15" t="s">
        <v>62</v>
      </c>
      <c r="CG115" s="15" t="s">
        <v>74</v>
      </c>
      <c r="CH115" s="15">
        <v>6.4700000000000001E-4</v>
      </c>
      <c r="CI115" s="14">
        <v>0</v>
      </c>
      <c r="CJ115" s="79">
        <v>3</v>
      </c>
      <c r="CK115" s="79" t="s">
        <v>224</v>
      </c>
      <c r="CL115" s="79" t="s">
        <v>224</v>
      </c>
      <c r="CM115" s="79">
        <v>211.773606</v>
      </c>
      <c r="CN115" s="79">
        <v>2</v>
      </c>
      <c r="CO115" s="79" t="s">
        <v>224</v>
      </c>
      <c r="CP115" s="79" t="s">
        <v>224</v>
      </c>
      <c r="CQ115" s="79" t="s">
        <v>224</v>
      </c>
      <c r="CR115" s="12" t="str">
        <f>IF(COUNTIF(Incl!A:A,Raw!J115),1, "")</f>
        <v/>
      </c>
    </row>
    <row r="116" spans="1:96" ht="13.5" thickTop="1" thickBot="1" x14ac:dyDescent="0.3">
      <c r="A116" s="18">
        <v>113</v>
      </c>
      <c r="B116" s="19">
        <v>1</v>
      </c>
      <c r="C116" s="20">
        <v>620.31437500000004</v>
      </c>
      <c r="D116" s="19">
        <v>116</v>
      </c>
      <c r="E116" s="19">
        <v>1</v>
      </c>
      <c r="F116" s="19">
        <v>145</v>
      </c>
      <c r="G116" s="21">
        <v>212</v>
      </c>
      <c r="H116" s="19">
        <v>212</v>
      </c>
      <c r="I116" s="19">
        <v>212</v>
      </c>
      <c r="J116" s="19">
        <v>212</v>
      </c>
      <c r="K116" s="20" t="s">
        <v>112</v>
      </c>
      <c r="L116" s="20" t="s">
        <v>69</v>
      </c>
      <c r="M116" s="20" t="s">
        <v>95</v>
      </c>
      <c r="N116" s="21" t="s">
        <v>62</v>
      </c>
      <c r="O116" s="22">
        <v>23</v>
      </c>
      <c r="P116" s="21" t="s">
        <v>62</v>
      </c>
      <c r="Q116" s="22" t="s">
        <v>62</v>
      </c>
      <c r="R116" s="22" t="s">
        <v>62</v>
      </c>
      <c r="S116" s="22" t="s">
        <v>62</v>
      </c>
      <c r="T116" s="19">
        <v>23</v>
      </c>
      <c r="U116" s="21">
        <v>17</v>
      </c>
      <c r="V116" s="21">
        <v>19</v>
      </c>
      <c r="W116" s="21">
        <v>20</v>
      </c>
      <c r="X116" s="22">
        <v>18</v>
      </c>
      <c r="Y116" s="19">
        <v>74</v>
      </c>
      <c r="Z116" s="19">
        <v>83</v>
      </c>
      <c r="AA116" s="19">
        <v>88</v>
      </c>
      <c r="AB116" s="19">
        <v>79</v>
      </c>
      <c r="AC116" s="19">
        <v>3</v>
      </c>
      <c r="AD116" s="19">
        <v>12</v>
      </c>
      <c r="AE116" s="19">
        <v>12</v>
      </c>
      <c r="AF116" s="19">
        <v>15</v>
      </c>
      <c r="AG116" s="22">
        <v>19</v>
      </c>
      <c r="AH116" s="19">
        <v>53</v>
      </c>
      <c r="AI116" s="19">
        <v>53</v>
      </c>
      <c r="AJ116" s="19">
        <v>66</v>
      </c>
      <c r="AK116" s="19">
        <v>83</v>
      </c>
      <c r="AL116" s="19">
        <v>1</v>
      </c>
      <c r="AM116" s="21" t="s">
        <v>62</v>
      </c>
      <c r="AN116" s="21" t="s">
        <v>62</v>
      </c>
      <c r="AO116" s="21" t="s">
        <v>62</v>
      </c>
      <c r="AP116" s="21" t="s">
        <v>62</v>
      </c>
      <c r="AQ116" s="21" t="s">
        <v>62</v>
      </c>
      <c r="AR116" s="21" t="s">
        <v>62</v>
      </c>
      <c r="AS116" s="21" t="s">
        <v>62</v>
      </c>
      <c r="AT116" s="21" t="s">
        <v>62</v>
      </c>
      <c r="AU116" s="21" t="s">
        <v>62</v>
      </c>
      <c r="AV116" s="21" t="s">
        <v>62</v>
      </c>
      <c r="AW116" s="21" t="s">
        <v>62</v>
      </c>
      <c r="AX116" s="21" t="s">
        <v>62</v>
      </c>
      <c r="AY116" s="21" t="s">
        <v>62</v>
      </c>
      <c r="AZ116" s="21" t="s">
        <v>62</v>
      </c>
      <c r="BA116" s="21" t="s">
        <v>62</v>
      </c>
      <c r="BB116" s="21" t="s">
        <v>62</v>
      </c>
      <c r="BC116" s="21" t="s">
        <v>62</v>
      </c>
      <c r="BD116" s="21" t="s">
        <v>62</v>
      </c>
      <c r="BE116" s="21" t="s">
        <v>62</v>
      </c>
      <c r="BF116" s="21" t="s">
        <v>62</v>
      </c>
      <c r="BG116" s="21" t="s">
        <v>62</v>
      </c>
      <c r="BH116" s="21" t="s">
        <v>62</v>
      </c>
      <c r="BI116" s="20" t="s">
        <v>62</v>
      </c>
      <c r="BJ116" s="21" t="s">
        <v>62</v>
      </c>
      <c r="BK116" s="21" t="s">
        <v>62</v>
      </c>
      <c r="BL116" s="21" t="s">
        <v>62</v>
      </c>
      <c r="BM116" s="21" t="s">
        <v>62</v>
      </c>
      <c r="BN116" s="21" t="s">
        <v>62</v>
      </c>
      <c r="BO116" s="21" t="s">
        <v>62</v>
      </c>
      <c r="BP116" s="21" t="s">
        <v>62</v>
      </c>
      <c r="BQ116" s="21" t="s">
        <v>62</v>
      </c>
      <c r="BR116" s="21" t="s">
        <v>62</v>
      </c>
      <c r="BS116" s="21" t="s">
        <v>62</v>
      </c>
      <c r="BT116" s="21" t="s">
        <v>62</v>
      </c>
      <c r="BU116" s="21" t="s">
        <v>62</v>
      </c>
      <c r="BV116" s="21" t="s">
        <v>62</v>
      </c>
      <c r="BW116" s="21" t="s">
        <v>62</v>
      </c>
      <c r="BX116" s="21" t="s">
        <v>62</v>
      </c>
      <c r="BY116" s="21" t="s">
        <v>62</v>
      </c>
      <c r="BZ116" s="21" t="s">
        <v>62</v>
      </c>
      <c r="CA116" s="21" t="s">
        <v>62</v>
      </c>
      <c r="CB116" s="21" t="s">
        <v>62</v>
      </c>
      <c r="CC116" s="21" t="s">
        <v>62</v>
      </c>
      <c r="CD116" s="21" t="s">
        <v>62</v>
      </c>
      <c r="CE116" s="21" t="s">
        <v>62</v>
      </c>
      <c r="CF116" s="20" t="s">
        <v>62</v>
      </c>
      <c r="CG116" s="20" t="s">
        <v>64</v>
      </c>
      <c r="CH116" s="20">
        <v>1.9449999999999999E-3</v>
      </c>
      <c r="CI116" s="19">
        <v>4</v>
      </c>
      <c r="CJ116" s="78">
        <v>3</v>
      </c>
      <c r="CK116" s="78" t="s">
        <v>224</v>
      </c>
      <c r="CL116" s="78" t="s">
        <v>224</v>
      </c>
      <c r="CM116" s="78">
        <v>620.31429000000003</v>
      </c>
      <c r="CN116" s="78">
        <v>2</v>
      </c>
      <c r="CO116" s="78" t="s">
        <v>224</v>
      </c>
      <c r="CP116" s="78" t="s">
        <v>224</v>
      </c>
      <c r="CQ116" s="78" t="s">
        <v>224</v>
      </c>
      <c r="CR116" s="12" t="str">
        <f>IF(COUNTIF(Incl!A:A,Raw!J116),1, "")</f>
        <v/>
      </c>
    </row>
    <row r="117" spans="1:96" ht="13.5" thickTop="1" thickBot="1" x14ac:dyDescent="0.3">
      <c r="A117" s="18">
        <v>114</v>
      </c>
      <c r="B117" s="19">
        <v>1</v>
      </c>
      <c r="C117" s="20">
        <v>234.178291</v>
      </c>
      <c r="D117" s="19">
        <v>117</v>
      </c>
      <c r="E117" s="19">
        <v>1</v>
      </c>
      <c r="F117" s="19">
        <v>146</v>
      </c>
      <c r="G117" s="21">
        <v>56</v>
      </c>
      <c r="H117" s="19">
        <v>56</v>
      </c>
      <c r="I117" s="19">
        <v>56</v>
      </c>
      <c r="J117" s="19">
        <v>56</v>
      </c>
      <c r="K117" s="20" t="s">
        <v>69</v>
      </c>
      <c r="L117" s="20" t="s">
        <v>109</v>
      </c>
      <c r="M117" s="20" t="s">
        <v>112</v>
      </c>
      <c r="N117" s="21" t="s">
        <v>62</v>
      </c>
      <c r="O117" s="22">
        <v>11</v>
      </c>
      <c r="P117" s="22" t="s">
        <v>62</v>
      </c>
      <c r="Q117" s="22" t="s">
        <v>62</v>
      </c>
      <c r="R117" s="22" t="s">
        <v>62</v>
      </c>
      <c r="S117" s="22" t="s">
        <v>62</v>
      </c>
      <c r="T117" s="19">
        <v>11</v>
      </c>
      <c r="U117" s="21">
        <v>11</v>
      </c>
      <c r="V117" s="21">
        <v>10</v>
      </c>
      <c r="W117" s="22">
        <v>13</v>
      </c>
      <c r="X117" s="22">
        <v>9</v>
      </c>
      <c r="Y117" s="19">
        <v>101</v>
      </c>
      <c r="Z117" s="19">
        <v>92</v>
      </c>
      <c r="AA117" s="19">
        <v>119</v>
      </c>
      <c r="AB117" s="19">
        <v>83</v>
      </c>
      <c r="AC117" s="19">
        <v>4</v>
      </c>
      <c r="AD117" s="19">
        <v>11</v>
      </c>
      <c r="AE117" s="19">
        <v>11</v>
      </c>
      <c r="AF117" s="19">
        <v>9</v>
      </c>
      <c r="AG117" s="22">
        <v>9</v>
      </c>
      <c r="AH117" s="19">
        <v>101</v>
      </c>
      <c r="AI117" s="19">
        <v>101</v>
      </c>
      <c r="AJ117" s="19">
        <v>83</v>
      </c>
      <c r="AK117" s="19">
        <v>83</v>
      </c>
      <c r="AL117" s="19">
        <v>4</v>
      </c>
      <c r="AM117" s="21" t="s">
        <v>62</v>
      </c>
      <c r="AN117" s="21" t="s">
        <v>62</v>
      </c>
      <c r="AO117" s="21" t="s">
        <v>62</v>
      </c>
      <c r="AP117" s="21" t="s">
        <v>62</v>
      </c>
      <c r="AQ117" s="21" t="s">
        <v>62</v>
      </c>
      <c r="AR117" s="21" t="s">
        <v>62</v>
      </c>
      <c r="AS117" s="21" t="s">
        <v>62</v>
      </c>
      <c r="AT117" s="21" t="s">
        <v>62</v>
      </c>
      <c r="AU117" s="21" t="s">
        <v>62</v>
      </c>
      <c r="AV117" s="21" t="s">
        <v>62</v>
      </c>
      <c r="AW117" s="21" t="s">
        <v>62</v>
      </c>
      <c r="AX117" s="21" t="s">
        <v>62</v>
      </c>
      <c r="AY117" s="21" t="s">
        <v>62</v>
      </c>
      <c r="AZ117" s="21" t="s">
        <v>62</v>
      </c>
      <c r="BA117" s="21" t="s">
        <v>62</v>
      </c>
      <c r="BB117" s="21" t="s">
        <v>62</v>
      </c>
      <c r="BC117" s="21" t="s">
        <v>62</v>
      </c>
      <c r="BD117" s="21" t="s">
        <v>62</v>
      </c>
      <c r="BE117" s="21" t="s">
        <v>62</v>
      </c>
      <c r="BF117" s="21" t="s">
        <v>62</v>
      </c>
      <c r="BG117" s="21" t="s">
        <v>62</v>
      </c>
      <c r="BH117" s="21" t="s">
        <v>62</v>
      </c>
      <c r="BI117" s="20" t="s">
        <v>62</v>
      </c>
      <c r="BJ117" s="21" t="s">
        <v>62</v>
      </c>
      <c r="BK117" s="21" t="s">
        <v>62</v>
      </c>
      <c r="BL117" s="21" t="s">
        <v>62</v>
      </c>
      <c r="BM117" s="21" t="s">
        <v>62</v>
      </c>
      <c r="BN117" s="21" t="s">
        <v>62</v>
      </c>
      <c r="BO117" s="21" t="s">
        <v>62</v>
      </c>
      <c r="BP117" s="21" t="s">
        <v>62</v>
      </c>
      <c r="BQ117" s="21" t="s">
        <v>62</v>
      </c>
      <c r="BR117" s="21" t="s">
        <v>62</v>
      </c>
      <c r="BS117" s="21" t="s">
        <v>62</v>
      </c>
      <c r="BT117" s="21" t="s">
        <v>62</v>
      </c>
      <c r="BU117" s="21" t="s">
        <v>62</v>
      </c>
      <c r="BV117" s="21" t="s">
        <v>62</v>
      </c>
      <c r="BW117" s="21" t="s">
        <v>62</v>
      </c>
      <c r="BX117" s="21" t="s">
        <v>62</v>
      </c>
      <c r="BY117" s="21" t="s">
        <v>62</v>
      </c>
      <c r="BZ117" s="21" t="s">
        <v>62</v>
      </c>
      <c r="CA117" s="21" t="s">
        <v>62</v>
      </c>
      <c r="CB117" s="21" t="s">
        <v>62</v>
      </c>
      <c r="CC117" s="21" t="s">
        <v>62</v>
      </c>
      <c r="CD117" s="21" t="s">
        <v>62</v>
      </c>
      <c r="CE117" s="21" t="s">
        <v>62</v>
      </c>
      <c r="CF117" s="20" t="s">
        <v>62</v>
      </c>
      <c r="CG117" s="20" t="s">
        <v>71</v>
      </c>
      <c r="CH117" s="20">
        <v>7.2900000000000005E-4</v>
      </c>
      <c r="CI117" s="19">
        <v>8</v>
      </c>
      <c r="CJ117" s="78">
        <v>3</v>
      </c>
      <c r="CK117" s="78" t="s">
        <v>224</v>
      </c>
      <c r="CL117" s="78" t="s">
        <v>224</v>
      </c>
      <c r="CM117" s="78">
        <v>234.178403</v>
      </c>
      <c r="CN117" s="78">
        <v>2</v>
      </c>
      <c r="CO117" s="78" t="s">
        <v>224</v>
      </c>
      <c r="CP117" s="78" t="s">
        <v>224</v>
      </c>
      <c r="CQ117" s="78" t="s">
        <v>224</v>
      </c>
      <c r="CR117" s="12" t="str">
        <f>IF(COUNTIF(Incl!A:A,Raw!J117),1, "")</f>
        <v/>
      </c>
    </row>
    <row r="118" spans="1:96" ht="13.5" thickTop="1" thickBot="1" x14ac:dyDescent="0.3">
      <c r="A118" s="18">
        <v>115</v>
      </c>
      <c r="B118" s="19">
        <v>1</v>
      </c>
      <c r="C118" s="20">
        <v>323.54890799999998</v>
      </c>
      <c r="D118" s="19">
        <v>118</v>
      </c>
      <c r="E118" s="19">
        <v>1</v>
      </c>
      <c r="F118" s="19">
        <v>147</v>
      </c>
      <c r="G118" s="21">
        <v>57</v>
      </c>
      <c r="H118" s="19">
        <v>57</v>
      </c>
      <c r="I118" s="19">
        <v>57</v>
      </c>
      <c r="J118" s="19">
        <v>57</v>
      </c>
      <c r="K118" s="20" t="s">
        <v>69</v>
      </c>
      <c r="L118" s="20" t="s">
        <v>112</v>
      </c>
      <c r="M118" s="20" t="s">
        <v>109</v>
      </c>
      <c r="N118" s="22" t="s">
        <v>62</v>
      </c>
      <c r="O118" s="22">
        <v>11</v>
      </c>
      <c r="P118" s="21" t="s">
        <v>62</v>
      </c>
      <c r="Q118" s="22" t="s">
        <v>62</v>
      </c>
      <c r="R118" s="22" t="s">
        <v>62</v>
      </c>
      <c r="S118" s="22" t="s">
        <v>62</v>
      </c>
      <c r="T118" s="19">
        <v>11</v>
      </c>
      <c r="U118" s="21">
        <v>10</v>
      </c>
      <c r="V118" s="21">
        <v>9</v>
      </c>
      <c r="W118" s="21">
        <v>10</v>
      </c>
      <c r="X118" s="22">
        <v>9</v>
      </c>
      <c r="Y118" s="19">
        <v>91</v>
      </c>
      <c r="Z118" s="19">
        <v>82</v>
      </c>
      <c r="AA118" s="19">
        <v>91</v>
      </c>
      <c r="AB118" s="19">
        <v>82</v>
      </c>
      <c r="AC118" s="19">
        <v>4</v>
      </c>
      <c r="AD118" s="19">
        <v>7</v>
      </c>
      <c r="AE118" s="19">
        <v>7</v>
      </c>
      <c r="AF118" s="19">
        <v>9</v>
      </c>
      <c r="AG118" s="22">
        <v>10</v>
      </c>
      <c r="AH118" s="19">
        <v>64</v>
      </c>
      <c r="AI118" s="19">
        <v>64</v>
      </c>
      <c r="AJ118" s="19">
        <v>82</v>
      </c>
      <c r="AK118" s="19">
        <v>91</v>
      </c>
      <c r="AL118" s="19">
        <v>2</v>
      </c>
      <c r="AM118" s="21" t="s">
        <v>62</v>
      </c>
      <c r="AN118" s="21" t="s">
        <v>62</v>
      </c>
      <c r="AO118" s="21" t="s">
        <v>62</v>
      </c>
      <c r="AP118" s="21" t="s">
        <v>62</v>
      </c>
      <c r="AQ118" s="21" t="s">
        <v>62</v>
      </c>
      <c r="AR118" s="21" t="s">
        <v>62</v>
      </c>
      <c r="AS118" s="21" t="s">
        <v>62</v>
      </c>
      <c r="AT118" s="21" t="s">
        <v>62</v>
      </c>
      <c r="AU118" s="21" t="s">
        <v>62</v>
      </c>
      <c r="AV118" s="21" t="s">
        <v>62</v>
      </c>
      <c r="AW118" s="21" t="s">
        <v>62</v>
      </c>
      <c r="AX118" s="21" t="s">
        <v>62</v>
      </c>
      <c r="AY118" s="21" t="s">
        <v>62</v>
      </c>
      <c r="AZ118" s="21" t="s">
        <v>62</v>
      </c>
      <c r="BA118" s="21" t="s">
        <v>62</v>
      </c>
      <c r="BB118" s="21" t="s">
        <v>62</v>
      </c>
      <c r="BC118" s="21" t="s">
        <v>62</v>
      </c>
      <c r="BD118" s="21" t="s">
        <v>62</v>
      </c>
      <c r="BE118" s="21" t="s">
        <v>62</v>
      </c>
      <c r="BF118" s="21" t="s">
        <v>62</v>
      </c>
      <c r="BG118" s="21" t="s">
        <v>62</v>
      </c>
      <c r="BH118" s="21" t="s">
        <v>62</v>
      </c>
      <c r="BI118" s="20" t="s">
        <v>62</v>
      </c>
      <c r="BJ118" s="21" t="s">
        <v>62</v>
      </c>
      <c r="BK118" s="21" t="s">
        <v>62</v>
      </c>
      <c r="BL118" s="21" t="s">
        <v>62</v>
      </c>
      <c r="BM118" s="21" t="s">
        <v>62</v>
      </c>
      <c r="BN118" s="21" t="s">
        <v>62</v>
      </c>
      <c r="BO118" s="21" t="s">
        <v>62</v>
      </c>
      <c r="BP118" s="21" t="s">
        <v>62</v>
      </c>
      <c r="BQ118" s="21" t="s">
        <v>62</v>
      </c>
      <c r="BR118" s="21" t="s">
        <v>62</v>
      </c>
      <c r="BS118" s="21" t="s">
        <v>62</v>
      </c>
      <c r="BT118" s="21" t="s">
        <v>62</v>
      </c>
      <c r="BU118" s="21" t="s">
        <v>62</v>
      </c>
      <c r="BV118" s="21" t="s">
        <v>62</v>
      </c>
      <c r="BW118" s="21" t="s">
        <v>62</v>
      </c>
      <c r="BX118" s="21" t="s">
        <v>62</v>
      </c>
      <c r="BY118" s="21" t="s">
        <v>62</v>
      </c>
      <c r="BZ118" s="21" t="s">
        <v>62</v>
      </c>
      <c r="CA118" s="21" t="s">
        <v>62</v>
      </c>
      <c r="CB118" s="21" t="s">
        <v>62</v>
      </c>
      <c r="CC118" s="21" t="s">
        <v>62</v>
      </c>
      <c r="CD118" s="21" t="s">
        <v>62</v>
      </c>
      <c r="CE118" s="21" t="s">
        <v>62</v>
      </c>
      <c r="CF118" s="20" t="s">
        <v>62</v>
      </c>
      <c r="CG118" s="20" t="s">
        <v>74</v>
      </c>
      <c r="CH118" s="20">
        <v>1.003E-3</v>
      </c>
      <c r="CI118" s="19">
        <v>6</v>
      </c>
      <c r="CJ118" s="78">
        <v>1</v>
      </c>
      <c r="CK118" s="78">
        <v>1</v>
      </c>
      <c r="CL118" s="78">
        <v>1</v>
      </c>
      <c r="CM118" s="78">
        <v>323.548922</v>
      </c>
      <c r="CN118" s="78">
        <v>2</v>
      </c>
      <c r="CO118" s="78">
        <v>1</v>
      </c>
      <c r="CP118" s="78" t="s">
        <v>224</v>
      </c>
      <c r="CQ118" s="78" t="s">
        <v>224</v>
      </c>
      <c r="CR118" s="12">
        <f>IF(COUNTIF(Incl!A:A,Raw!J118),1, "")</f>
        <v>1</v>
      </c>
    </row>
    <row r="119" spans="1:96" ht="13.5" thickTop="1" thickBot="1" x14ac:dyDescent="0.3">
      <c r="A119" s="13">
        <v>116</v>
      </c>
      <c r="B119" s="14">
        <v>1</v>
      </c>
      <c r="C119" s="15">
        <v>185.02323000000001</v>
      </c>
      <c r="D119" s="14">
        <v>119</v>
      </c>
      <c r="E119" s="14">
        <v>1</v>
      </c>
      <c r="F119" s="14">
        <v>148</v>
      </c>
      <c r="G119" s="16">
        <v>216</v>
      </c>
      <c r="H119" s="14">
        <v>216</v>
      </c>
      <c r="I119" s="14">
        <v>216</v>
      </c>
      <c r="J119" s="14">
        <v>216</v>
      </c>
      <c r="K119" s="15" t="s">
        <v>112</v>
      </c>
      <c r="L119" s="15" t="s">
        <v>69</v>
      </c>
      <c r="M119" s="15" t="s">
        <v>82</v>
      </c>
      <c r="N119" s="16" t="s">
        <v>62</v>
      </c>
      <c r="O119" s="17">
        <v>6</v>
      </c>
      <c r="P119" s="17" t="s">
        <v>62</v>
      </c>
      <c r="Q119" s="17" t="s">
        <v>62</v>
      </c>
      <c r="R119" s="17" t="s">
        <v>62</v>
      </c>
      <c r="S119" s="17" t="s">
        <v>62</v>
      </c>
      <c r="T119" s="14">
        <v>6</v>
      </c>
      <c r="U119" s="16">
        <v>6</v>
      </c>
      <c r="V119" s="16">
        <v>4</v>
      </c>
      <c r="W119" s="16">
        <v>6</v>
      </c>
      <c r="X119" s="17" t="s">
        <v>62</v>
      </c>
      <c r="Y119" s="14">
        <v>100</v>
      </c>
      <c r="Z119" s="14">
        <v>67</v>
      </c>
      <c r="AA119" s="14">
        <v>100</v>
      </c>
      <c r="AB119" s="14">
        <v>0</v>
      </c>
      <c r="AC119" s="14">
        <v>2</v>
      </c>
      <c r="AD119" s="14">
        <v>0</v>
      </c>
      <c r="AE119" s="14">
        <v>0</v>
      </c>
      <c r="AF119" s="14">
        <v>0</v>
      </c>
      <c r="AG119" s="17" t="s">
        <v>62</v>
      </c>
      <c r="AH119" s="14">
        <v>0</v>
      </c>
      <c r="AI119" s="14">
        <v>0</v>
      </c>
      <c r="AJ119" s="14">
        <v>0</v>
      </c>
      <c r="AK119" s="14">
        <v>0</v>
      </c>
      <c r="AL119" s="14">
        <v>0</v>
      </c>
      <c r="AM119" s="16">
        <v>6</v>
      </c>
      <c r="AN119" s="16">
        <v>6</v>
      </c>
      <c r="AO119" s="16">
        <v>6</v>
      </c>
      <c r="AP119" s="16">
        <v>5</v>
      </c>
      <c r="AQ119" s="16">
        <v>4</v>
      </c>
      <c r="AR119" s="16">
        <v>3</v>
      </c>
      <c r="AS119" s="16">
        <v>3</v>
      </c>
      <c r="AT119" s="16">
        <v>4</v>
      </c>
      <c r="AU119" s="16">
        <v>6</v>
      </c>
      <c r="AV119" s="16">
        <v>5</v>
      </c>
      <c r="AW119" s="16">
        <v>21</v>
      </c>
      <c r="AX119" s="16">
        <v>3</v>
      </c>
      <c r="AY119" s="16">
        <v>2</v>
      </c>
      <c r="AZ119" s="16">
        <v>0</v>
      </c>
      <c r="BA119" s="16">
        <v>0</v>
      </c>
      <c r="BB119" s="16">
        <v>0</v>
      </c>
      <c r="BC119" s="16">
        <v>1</v>
      </c>
      <c r="BD119" s="16">
        <v>1</v>
      </c>
      <c r="BE119" s="16">
        <v>0</v>
      </c>
      <c r="BF119" s="16">
        <v>0</v>
      </c>
      <c r="BG119" s="16">
        <v>28</v>
      </c>
      <c r="BH119" s="16">
        <v>4.7</v>
      </c>
      <c r="BI119" s="15" t="s">
        <v>67</v>
      </c>
      <c r="BJ119" s="16">
        <v>0</v>
      </c>
      <c r="BK119" s="16">
        <v>0</v>
      </c>
      <c r="BL119" s="16">
        <v>0</v>
      </c>
      <c r="BM119" s="16">
        <v>0</v>
      </c>
      <c r="BN119" s="16">
        <v>0</v>
      </c>
      <c r="BO119" s="16">
        <v>0</v>
      </c>
      <c r="BP119" s="16">
        <v>0</v>
      </c>
      <c r="BQ119" s="16">
        <v>0</v>
      </c>
      <c r="BR119" s="16">
        <v>0</v>
      </c>
      <c r="BS119" s="16">
        <v>0</v>
      </c>
      <c r="BT119" s="16">
        <v>0</v>
      </c>
      <c r="BU119" s="16">
        <v>0</v>
      </c>
      <c r="BV119" s="16">
        <v>0</v>
      </c>
      <c r="BW119" s="16">
        <v>0</v>
      </c>
      <c r="BX119" s="16">
        <v>0</v>
      </c>
      <c r="BY119" s="16">
        <v>0</v>
      </c>
      <c r="BZ119" s="16">
        <v>0</v>
      </c>
      <c r="CA119" s="16">
        <v>0</v>
      </c>
      <c r="CB119" s="16">
        <v>0</v>
      </c>
      <c r="CC119" s="16">
        <v>0</v>
      </c>
      <c r="CD119" s="16">
        <v>0</v>
      </c>
      <c r="CE119" s="16">
        <v>0</v>
      </c>
      <c r="CF119" s="15" t="s">
        <v>77</v>
      </c>
      <c r="CG119" s="15" t="s">
        <v>64</v>
      </c>
      <c r="CH119" s="15">
        <v>5.7499999999999999E-4</v>
      </c>
      <c r="CI119" s="14">
        <v>2</v>
      </c>
      <c r="CJ119" s="79">
        <v>1</v>
      </c>
      <c r="CK119" s="79">
        <v>1</v>
      </c>
      <c r="CL119" s="79">
        <v>1</v>
      </c>
      <c r="CM119" s="79">
        <v>185.023292</v>
      </c>
      <c r="CN119" s="79">
        <v>1</v>
      </c>
      <c r="CO119" s="79">
        <v>1</v>
      </c>
      <c r="CP119" s="79" t="s">
        <v>224</v>
      </c>
      <c r="CQ119" s="79">
        <v>1</v>
      </c>
      <c r="CR119" s="12">
        <f>IF(COUNTIF(Incl!A:A,Raw!J119),1, "")</f>
        <v>1</v>
      </c>
    </row>
    <row r="120" spans="1:96" ht="13.5" thickTop="1" thickBot="1" x14ac:dyDescent="0.3">
      <c r="A120" s="13">
        <v>117</v>
      </c>
      <c r="B120" s="14">
        <v>1</v>
      </c>
      <c r="C120" s="15">
        <v>286.54209600000002</v>
      </c>
      <c r="D120" s="14">
        <v>120</v>
      </c>
      <c r="E120" s="14">
        <v>1</v>
      </c>
      <c r="F120" s="14">
        <v>149</v>
      </c>
      <c r="G120" s="16">
        <v>88</v>
      </c>
      <c r="H120" s="14">
        <v>88</v>
      </c>
      <c r="I120" s="14">
        <v>88</v>
      </c>
      <c r="J120" s="14">
        <v>88</v>
      </c>
      <c r="K120" s="15" t="s">
        <v>82</v>
      </c>
      <c r="L120" s="15" t="s">
        <v>109</v>
      </c>
      <c r="M120" s="15" t="s">
        <v>112</v>
      </c>
      <c r="N120" s="16">
        <v>15</v>
      </c>
      <c r="O120" s="17" t="s">
        <v>62</v>
      </c>
      <c r="P120" s="17" t="s">
        <v>62</v>
      </c>
      <c r="Q120" s="17" t="s">
        <v>62</v>
      </c>
      <c r="R120" s="17" t="s">
        <v>62</v>
      </c>
      <c r="S120" s="17" t="s">
        <v>62</v>
      </c>
      <c r="T120" s="14">
        <v>15</v>
      </c>
      <c r="U120" s="16">
        <v>14</v>
      </c>
      <c r="V120" s="16">
        <v>15</v>
      </c>
      <c r="W120" s="16">
        <v>15</v>
      </c>
      <c r="X120" s="17" t="s">
        <v>62</v>
      </c>
      <c r="Y120" s="14">
        <v>93</v>
      </c>
      <c r="Z120" s="14">
        <v>100</v>
      </c>
      <c r="AA120" s="14">
        <v>100</v>
      </c>
      <c r="AB120" s="14">
        <v>0</v>
      </c>
      <c r="AC120" s="14">
        <v>3</v>
      </c>
      <c r="AD120" s="14">
        <v>7</v>
      </c>
      <c r="AE120" s="14">
        <v>12</v>
      </c>
      <c r="AF120" s="14">
        <v>14</v>
      </c>
      <c r="AG120" s="17" t="s">
        <v>62</v>
      </c>
      <c r="AH120" s="14">
        <v>47</v>
      </c>
      <c r="AI120" s="14">
        <v>80</v>
      </c>
      <c r="AJ120" s="14">
        <v>93</v>
      </c>
      <c r="AK120" s="14">
        <v>0</v>
      </c>
      <c r="AL120" s="14">
        <v>2</v>
      </c>
      <c r="AM120" s="16">
        <v>14</v>
      </c>
      <c r="AN120" s="16">
        <v>15</v>
      </c>
      <c r="AO120" s="16">
        <v>13</v>
      </c>
      <c r="AP120" s="16">
        <v>15</v>
      </c>
      <c r="AQ120" s="16">
        <v>15</v>
      </c>
      <c r="AR120" s="16">
        <v>10</v>
      </c>
      <c r="AS120" s="16">
        <v>9</v>
      </c>
      <c r="AT120" s="16">
        <v>14</v>
      </c>
      <c r="AU120" s="16">
        <v>15</v>
      </c>
      <c r="AV120" s="16">
        <v>15</v>
      </c>
      <c r="AW120" s="16">
        <v>96</v>
      </c>
      <c r="AX120" s="16">
        <v>15</v>
      </c>
      <c r="AY120" s="16">
        <v>3</v>
      </c>
      <c r="AZ120" s="16">
        <v>0</v>
      </c>
      <c r="BA120" s="16">
        <v>0</v>
      </c>
      <c r="BB120" s="16">
        <v>0</v>
      </c>
      <c r="BC120" s="16">
        <v>0</v>
      </c>
      <c r="BD120" s="16">
        <v>0</v>
      </c>
      <c r="BE120" s="16">
        <v>0</v>
      </c>
      <c r="BF120" s="16">
        <v>0</v>
      </c>
      <c r="BG120" s="16">
        <v>114</v>
      </c>
      <c r="BH120" s="16">
        <v>7.6</v>
      </c>
      <c r="BI120" s="15" t="s">
        <v>99</v>
      </c>
      <c r="BJ120" s="16">
        <v>7</v>
      </c>
      <c r="BK120" s="16">
        <v>9</v>
      </c>
      <c r="BL120" s="16">
        <v>13</v>
      </c>
      <c r="BM120" s="16">
        <v>11</v>
      </c>
      <c r="BN120" s="16">
        <v>12</v>
      </c>
      <c r="BO120" s="16">
        <v>13</v>
      </c>
      <c r="BP120" s="16">
        <v>14</v>
      </c>
      <c r="BQ120" s="16">
        <v>15</v>
      </c>
      <c r="BR120" s="16">
        <v>14</v>
      </c>
      <c r="BS120" s="16">
        <v>10</v>
      </c>
      <c r="BT120" s="16">
        <v>57</v>
      </c>
      <c r="BU120" s="16">
        <v>9</v>
      </c>
      <c r="BV120" s="16">
        <v>3</v>
      </c>
      <c r="BW120" s="16">
        <v>6</v>
      </c>
      <c r="BX120" s="16">
        <v>2</v>
      </c>
      <c r="BY120" s="16">
        <v>0</v>
      </c>
      <c r="BZ120" s="16">
        <v>0</v>
      </c>
      <c r="CA120" s="16">
        <v>0</v>
      </c>
      <c r="CB120" s="16">
        <v>0</v>
      </c>
      <c r="CC120" s="16">
        <v>0</v>
      </c>
      <c r="CD120" s="16">
        <v>77</v>
      </c>
      <c r="CE120" s="16">
        <v>5.0999999999999996</v>
      </c>
      <c r="CF120" s="15" t="s">
        <v>102</v>
      </c>
      <c r="CG120" s="15" t="s">
        <v>71</v>
      </c>
      <c r="CH120" s="15">
        <v>8.8699999999999998E-4</v>
      </c>
      <c r="CI120" s="14">
        <v>5</v>
      </c>
      <c r="CJ120" s="79">
        <v>1</v>
      </c>
      <c r="CK120" s="79">
        <v>1</v>
      </c>
      <c r="CL120" s="79">
        <v>1</v>
      </c>
      <c r="CM120" s="79">
        <v>286.54202199999997</v>
      </c>
      <c r="CN120" s="79">
        <v>1</v>
      </c>
      <c r="CO120" s="79">
        <v>1</v>
      </c>
      <c r="CP120" s="79">
        <v>1</v>
      </c>
      <c r="CQ120" s="79">
        <v>1</v>
      </c>
      <c r="CR120" s="12">
        <f>IF(COUNTIF(Incl!A:A,Raw!J120),1, "")</f>
        <v>1</v>
      </c>
    </row>
    <row r="121" spans="1:96" ht="13.5" thickTop="1" thickBot="1" x14ac:dyDescent="0.3">
      <c r="A121" s="13">
        <v>118</v>
      </c>
      <c r="B121" s="14">
        <v>1</v>
      </c>
      <c r="C121" s="15">
        <v>301.75414699999999</v>
      </c>
      <c r="D121" s="14">
        <v>121</v>
      </c>
      <c r="E121" s="14">
        <v>2</v>
      </c>
      <c r="F121" s="14">
        <v>150</v>
      </c>
      <c r="G121" s="16">
        <v>89</v>
      </c>
      <c r="H121" s="14">
        <v>89</v>
      </c>
      <c r="I121" s="14">
        <v>89</v>
      </c>
      <c r="J121" s="14">
        <v>89</v>
      </c>
      <c r="K121" s="15" t="s">
        <v>82</v>
      </c>
      <c r="L121" s="15" t="s">
        <v>112</v>
      </c>
      <c r="M121" s="15" t="s">
        <v>109</v>
      </c>
      <c r="N121" s="17">
        <v>18</v>
      </c>
      <c r="O121" s="16" t="s">
        <v>62</v>
      </c>
      <c r="P121" s="17" t="s">
        <v>62</v>
      </c>
      <c r="Q121" s="17" t="s">
        <v>62</v>
      </c>
      <c r="R121" s="17" t="s">
        <v>62</v>
      </c>
      <c r="S121" s="17" t="s">
        <v>62</v>
      </c>
      <c r="T121" s="14">
        <v>18</v>
      </c>
      <c r="U121" s="16">
        <v>17</v>
      </c>
      <c r="V121" s="16">
        <v>16</v>
      </c>
      <c r="W121" s="16">
        <v>18</v>
      </c>
      <c r="X121" s="17" t="s">
        <v>62</v>
      </c>
      <c r="Y121" s="14">
        <v>94</v>
      </c>
      <c r="Z121" s="14">
        <v>89</v>
      </c>
      <c r="AA121" s="14">
        <v>100</v>
      </c>
      <c r="AB121" s="14">
        <v>0</v>
      </c>
      <c r="AC121" s="14">
        <v>3</v>
      </c>
      <c r="AD121" s="14">
        <v>10</v>
      </c>
      <c r="AE121" s="14">
        <v>12</v>
      </c>
      <c r="AF121" s="14">
        <v>15</v>
      </c>
      <c r="AG121" s="17" t="s">
        <v>62</v>
      </c>
      <c r="AH121" s="14">
        <v>56</v>
      </c>
      <c r="AI121" s="14">
        <v>67</v>
      </c>
      <c r="AJ121" s="14">
        <v>83</v>
      </c>
      <c r="AK121" s="14">
        <v>0</v>
      </c>
      <c r="AL121" s="14">
        <v>1</v>
      </c>
      <c r="AM121" s="16">
        <v>17</v>
      </c>
      <c r="AN121" s="16">
        <v>16</v>
      </c>
      <c r="AO121" s="16">
        <v>17</v>
      </c>
      <c r="AP121" s="16">
        <v>17</v>
      </c>
      <c r="AQ121" s="16">
        <v>16</v>
      </c>
      <c r="AR121" s="16">
        <v>12</v>
      </c>
      <c r="AS121" s="16">
        <v>16</v>
      </c>
      <c r="AT121" s="16">
        <v>18</v>
      </c>
      <c r="AU121" s="16">
        <v>18</v>
      </c>
      <c r="AV121" s="16">
        <v>18</v>
      </c>
      <c r="AW121" s="16">
        <v>102</v>
      </c>
      <c r="AX121" s="16">
        <v>20</v>
      </c>
      <c r="AY121" s="16">
        <v>6</v>
      </c>
      <c r="AZ121" s="16">
        <v>0</v>
      </c>
      <c r="BA121" s="16">
        <v>1</v>
      </c>
      <c r="BB121" s="16">
        <v>0</v>
      </c>
      <c r="BC121" s="16">
        <v>0</v>
      </c>
      <c r="BD121" s="16">
        <v>0</v>
      </c>
      <c r="BE121" s="16">
        <v>0</v>
      </c>
      <c r="BF121" s="16">
        <v>0</v>
      </c>
      <c r="BG121" s="16">
        <v>129</v>
      </c>
      <c r="BH121" s="16">
        <v>7.2</v>
      </c>
      <c r="BI121" s="15" t="s">
        <v>99</v>
      </c>
      <c r="BJ121" s="16">
        <v>10</v>
      </c>
      <c r="BK121" s="16">
        <v>15</v>
      </c>
      <c r="BL121" s="16">
        <v>17</v>
      </c>
      <c r="BM121" s="16">
        <v>17</v>
      </c>
      <c r="BN121" s="16">
        <v>12</v>
      </c>
      <c r="BO121" s="16">
        <v>16</v>
      </c>
      <c r="BP121" s="16">
        <v>17</v>
      </c>
      <c r="BQ121" s="16">
        <v>14</v>
      </c>
      <c r="BR121" s="16">
        <v>15</v>
      </c>
      <c r="BS121" s="16">
        <v>10</v>
      </c>
      <c r="BT121" s="16">
        <v>103</v>
      </c>
      <c r="BU121" s="16">
        <v>9</v>
      </c>
      <c r="BV121" s="16">
        <v>3</v>
      </c>
      <c r="BW121" s="16">
        <v>2</v>
      </c>
      <c r="BX121" s="16">
        <v>1</v>
      </c>
      <c r="BY121" s="16">
        <v>0</v>
      </c>
      <c r="BZ121" s="16">
        <v>0</v>
      </c>
      <c r="CA121" s="16">
        <v>0</v>
      </c>
      <c r="CB121" s="16">
        <v>0</v>
      </c>
      <c r="CC121" s="16">
        <v>0</v>
      </c>
      <c r="CD121" s="16">
        <v>118</v>
      </c>
      <c r="CE121" s="16">
        <v>6.6</v>
      </c>
      <c r="CF121" s="15" t="s">
        <v>99</v>
      </c>
      <c r="CG121" s="15" t="s">
        <v>74</v>
      </c>
      <c r="CH121" s="15">
        <v>9.3800000000000003E-4</v>
      </c>
      <c r="CI121" s="14">
        <v>4</v>
      </c>
      <c r="CJ121" s="79">
        <v>1</v>
      </c>
      <c r="CK121" s="79">
        <v>1</v>
      </c>
      <c r="CL121" s="79">
        <v>1</v>
      </c>
      <c r="CM121" s="79">
        <v>301.20207299999998</v>
      </c>
      <c r="CN121" s="79">
        <v>1</v>
      </c>
      <c r="CO121" s="79">
        <v>1</v>
      </c>
      <c r="CP121" s="79">
        <v>1</v>
      </c>
      <c r="CQ121" s="79" t="s">
        <v>224</v>
      </c>
      <c r="CR121" s="12">
        <f>IF(COUNTIF(Incl!A:A,Raw!J121),1, "")</f>
        <v>1</v>
      </c>
    </row>
    <row r="122" spans="1:96" ht="13.5" thickTop="1" thickBot="1" x14ac:dyDescent="0.3">
      <c r="A122" s="13">
        <v>119</v>
      </c>
      <c r="B122" s="14">
        <v>1</v>
      </c>
      <c r="C122" s="15">
        <v>209.200129</v>
      </c>
      <c r="D122" s="14">
        <v>122</v>
      </c>
      <c r="E122" s="14">
        <v>1</v>
      </c>
      <c r="F122" s="14">
        <v>151</v>
      </c>
      <c r="G122" s="16">
        <v>209</v>
      </c>
      <c r="H122" s="14">
        <v>209</v>
      </c>
      <c r="I122" s="14">
        <v>209</v>
      </c>
      <c r="J122" s="14">
        <v>209</v>
      </c>
      <c r="K122" s="15" t="s">
        <v>109</v>
      </c>
      <c r="L122" s="15" t="s">
        <v>82</v>
      </c>
      <c r="M122" s="15" t="s">
        <v>60</v>
      </c>
      <c r="N122" s="17">
        <v>5</v>
      </c>
      <c r="O122" s="16" t="s">
        <v>62</v>
      </c>
      <c r="P122" s="17" t="s">
        <v>62</v>
      </c>
      <c r="Q122" s="17" t="s">
        <v>62</v>
      </c>
      <c r="R122" s="17" t="s">
        <v>62</v>
      </c>
      <c r="S122" s="17" t="s">
        <v>62</v>
      </c>
      <c r="T122" s="14">
        <v>5</v>
      </c>
      <c r="U122" s="16">
        <v>5</v>
      </c>
      <c r="V122" s="16">
        <v>5</v>
      </c>
      <c r="W122" s="16">
        <v>5</v>
      </c>
      <c r="X122" s="17" t="s">
        <v>62</v>
      </c>
      <c r="Y122" s="14">
        <v>100</v>
      </c>
      <c r="Z122" s="14">
        <v>100</v>
      </c>
      <c r="AA122" s="14">
        <v>100</v>
      </c>
      <c r="AB122" s="14">
        <v>0</v>
      </c>
      <c r="AC122" s="14">
        <v>3</v>
      </c>
      <c r="AD122" s="14">
        <v>4</v>
      </c>
      <c r="AE122" s="14">
        <v>4</v>
      </c>
      <c r="AF122" s="14">
        <v>5</v>
      </c>
      <c r="AG122" s="17" t="s">
        <v>62</v>
      </c>
      <c r="AH122" s="14">
        <v>80</v>
      </c>
      <c r="AI122" s="14">
        <v>80</v>
      </c>
      <c r="AJ122" s="14">
        <v>100</v>
      </c>
      <c r="AK122" s="14">
        <v>0</v>
      </c>
      <c r="AL122" s="14">
        <v>3</v>
      </c>
      <c r="AM122" s="16">
        <v>5</v>
      </c>
      <c r="AN122" s="16">
        <v>5</v>
      </c>
      <c r="AO122" s="16">
        <v>5</v>
      </c>
      <c r="AP122" s="16">
        <v>5</v>
      </c>
      <c r="AQ122" s="16">
        <v>5</v>
      </c>
      <c r="AR122" s="16">
        <v>5</v>
      </c>
      <c r="AS122" s="16">
        <v>5</v>
      </c>
      <c r="AT122" s="16">
        <v>5</v>
      </c>
      <c r="AU122" s="16">
        <v>5</v>
      </c>
      <c r="AV122" s="16">
        <v>5</v>
      </c>
      <c r="AW122" s="16">
        <v>1</v>
      </c>
      <c r="AX122" s="16">
        <v>5</v>
      </c>
      <c r="AY122" s="16">
        <v>3</v>
      </c>
      <c r="AZ122" s="16">
        <v>0</v>
      </c>
      <c r="BA122" s="16">
        <v>1</v>
      </c>
      <c r="BB122" s="16">
        <v>0</v>
      </c>
      <c r="BC122" s="16">
        <v>1</v>
      </c>
      <c r="BD122" s="16">
        <v>1</v>
      </c>
      <c r="BE122" s="16">
        <v>0</v>
      </c>
      <c r="BF122" s="16">
        <v>1</v>
      </c>
      <c r="BG122" s="16">
        <v>13</v>
      </c>
      <c r="BH122" s="16">
        <v>2.6</v>
      </c>
      <c r="BI122" s="15" t="s">
        <v>63</v>
      </c>
      <c r="BJ122" s="16">
        <v>4</v>
      </c>
      <c r="BK122" s="16">
        <v>4</v>
      </c>
      <c r="BL122" s="16">
        <v>5</v>
      </c>
      <c r="BM122" s="16">
        <v>4</v>
      </c>
      <c r="BN122" s="16">
        <v>4</v>
      </c>
      <c r="BO122" s="16">
        <v>5</v>
      </c>
      <c r="BP122" s="16">
        <v>4</v>
      </c>
      <c r="BQ122" s="16">
        <v>4</v>
      </c>
      <c r="BR122" s="16">
        <v>5</v>
      </c>
      <c r="BS122" s="16">
        <v>5</v>
      </c>
      <c r="BT122" s="16">
        <v>5</v>
      </c>
      <c r="BU122" s="16">
        <v>3</v>
      </c>
      <c r="BV122" s="16">
        <v>1</v>
      </c>
      <c r="BW122" s="16">
        <v>0</v>
      </c>
      <c r="BX122" s="16">
        <v>0</v>
      </c>
      <c r="BY122" s="16">
        <v>0</v>
      </c>
      <c r="BZ122" s="16">
        <v>0</v>
      </c>
      <c r="CA122" s="16">
        <v>0</v>
      </c>
      <c r="CB122" s="16">
        <v>0</v>
      </c>
      <c r="CC122" s="16">
        <v>3</v>
      </c>
      <c r="CD122" s="16">
        <v>12</v>
      </c>
      <c r="CE122" s="16">
        <v>2.4</v>
      </c>
      <c r="CF122" s="15" t="s">
        <v>63</v>
      </c>
      <c r="CG122" s="15" t="s">
        <v>66</v>
      </c>
      <c r="CH122" s="15">
        <v>6.5499999999999998E-4</v>
      </c>
      <c r="CI122" s="14">
        <v>6</v>
      </c>
      <c r="CJ122" s="79">
        <v>1</v>
      </c>
      <c r="CK122" s="79">
        <v>1</v>
      </c>
      <c r="CL122" s="79">
        <v>1</v>
      </c>
      <c r="CM122" s="79">
        <v>209.20031299999999</v>
      </c>
      <c r="CN122" s="79">
        <v>1</v>
      </c>
      <c r="CO122" s="79">
        <v>1</v>
      </c>
      <c r="CP122" s="79" t="s">
        <v>224</v>
      </c>
      <c r="CQ122" s="79" t="s">
        <v>224</v>
      </c>
      <c r="CR122" s="12">
        <f>IF(COUNTIF(Incl!A:A,Raw!J122),1, "")</f>
        <v>1</v>
      </c>
    </row>
    <row r="123" spans="1:96" ht="13.5" thickTop="1" thickBot="1" x14ac:dyDescent="0.3">
      <c r="A123" s="18">
        <v>120</v>
      </c>
      <c r="B123" s="19">
        <v>1</v>
      </c>
      <c r="C123" s="20">
        <v>218.86668</v>
      </c>
      <c r="D123" s="19">
        <v>123</v>
      </c>
      <c r="E123" s="19">
        <v>1</v>
      </c>
      <c r="F123" s="19">
        <v>152</v>
      </c>
      <c r="G123" s="21">
        <v>218</v>
      </c>
      <c r="H123" s="19">
        <v>218</v>
      </c>
      <c r="I123" s="19">
        <v>218</v>
      </c>
      <c r="J123" s="19">
        <v>218</v>
      </c>
      <c r="K123" s="20" t="s">
        <v>112</v>
      </c>
      <c r="L123" s="20" t="s">
        <v>60</v>
      </c>
      <c r="M123" s="20" t="s">
        <v>82</v>
      </c>
      <c r="N123" s="21" t="s">
        <v>62</v>
      </c>
      <c r="O123" s="22">
        <v>8</v>
      </c>
      <c r="P123" s="22" t="s">
        <v>62</v>
      </c>
      <c r="Q123" s="22" t="s">
        <v>62</v>
      </c>
      <c r="R123" s="22" t="s">
        <v>62</v>
      </c>
      <c r="S123" s="22" t="s">
        <v>62</v>
      </c>
      <c r="T123" s="19">
        <v>8</v>
      </c>
      <c r="U123" s="21">
        <v>8</v>
      </c>
      <c r="V123" s="21">
        <v>7</v>
      </c>
      <c r="W123" s="21">
        <v>8</v>
      </c>
      <c r="X123" s="22" t="s">
        <v>62</v>
      </c>
      <c r="Y123" s="19">
        <v>100</v>
      </c>
      <c r="Z123" s="19">
        <v>88</v>
      </c>
      <c r="AA123" s="19">
        <v>100</v>
      </c>
      <c r="AB123" s="19">
        <v>0</v>
      </c>
      <c r="AC123" s="19">
        <v>3</v>
      </c>
      <c r="AD123" s="19">
        <v>5</v>
      </c>
      <c r="AE123" s="19">
        <v>6</v>
      </c>
      <c r="AF123" s="19">
        <v>7</v>
      </c>
      <c r="AG123" s="22" t="s">
        <v>62</v>
      </c>
      <c r="AH123" s="19">
        <v>63</v>
      </c>
      <c r="AI123" s="19">
        <v>75</v>
      </c>
      <c r="AJ123" s="19">
        <v>88</v>
      </c>
      <c r="AK123" s="19">
        <v>0</v>
      </c>
      <c r="AL123" s="19">
        <v>2</v>
      </c>
      <c r="AM123" s="21">
        <v>8</v>
      </c>
      <c r="AN123" s="21">
        <v>8</v>
      </c>
      <c r="AO123" s="21">
        <v>8</v>
      </c>
      <c r="AP123" s="21">
        <v>8</v>
      </c>
      <c r="AQ123" s="21">
        <v>7</v>
      </c>
      <c r="AR123" s="21">
        <v>8</v>
      </c>
      <c r="AS123" s="21">
        <v>8</v>
      </c>
      <c r="AT123" s="21">
        <v>8</v>
      </c>
      <c r="AU123" s="21">
        <v>8</v>
      </c>
      <c r="AV123" s="21">
        <v>8</v>
      </c>
      <c r="AW123" s="21">
        <v>6</v>
      </c>
      <c r="AX123" s="21">
        <v>8</v>
      </c>
      <c r="AY123" s="21">
        <v>5</v>
      </c>
      <c r="AZ123" s="21">
        <v>0</v>
      </c>
      <c r="BA123" s="21">
        <v>7</v>
      </c>
      <c r="BB123" s="21">
        <v>0</v>
      </c>
      <c r="BC123" s="21">
        <v>1</v>
      </c>
      <c r="BD123" s="21">
        <v>0</v>
      </c>
      <c r="BE123" s="21">
        <v>0</v>
      </c>
      <c r="BF123" s="21">
        <v>0</v>
      </c>
      <c r="BG123" s="21">
        <v>27</v>
      </c>
      <c r="BH123" s="21">
        <v>3.4</v>
      </c>
      <c r="BI123" s="20" t="s">
        <v>65</v>
      </c>
      <c r="BJ123" s="21">
        <v>5</v>
      </c>
      <c r="BK123" s="21">
        <v>8</v>
      </c>
      <c r="BL123" s="21">
        <v>8</v>
      </c>
      <c r="BM123" s="21">
        <v>7</v>
      </c>
      <c r="BN123" s="21">
        <v>6</v>
      </c>
      <c r="BO123" s="21">
        <v>8</v>
      </c>
      <c r="BP123" s="21">
        <v>7</v>
      </c>
      <c r="BQ123" s="21">
        <v>7</v>
      </c>
      <c r="BR123" s="21">
        <v>7</v>
      </c>
      <c r="BS123" s="21">
        <v>7</v>
      </c>
      <c r="BT123" s="21">
        <v>21</v>
      </c>
      <c r="BU123" s="21">
        <v>3</v>
      </c>
      <c r="BV123" s="21">
        <v>5</v>
      </c>
      <c r="BW123" s="21">
        <v>0</v>
      </c>
      <c r="BX123" s="21">
        <v>2</v>
      </c>
      <c r="BY123" s="21">
        <v>0</v>
      </c>
      <c r="BZ123" s="21">
        <v>0</v>
      </c>
      <c r="CA123" s="21">
        <v>0</v>
      </c>
      <c r="CB123" s="21">
        <v>2</v>
      </c>
      <c r="CC123" s="21">
        <v>0</v>
      </c>
      <c r="CD123" s="21">
        <v>33</v>
      </c>
      <c r="CE123" s="21">
        <v>4.0999999999999996</v>
      </c>
      <c r="CF123" s="20" t="s">
        <v>67</v>
      </c>
      <c r="CG123" s="20" t="s">
        <v>64</v>
      </c>
      <c r="CH123" s="20">
        <v>5.9599999999999996E-4</v>
      </c>
      <c r="CI123" s="19">
        <v>5</v>
      </c>
      <c r="CJ123" s="78">
        <v>1</v>
      </c>
      <c r="CK123" s="78">
        <v>1</v>
      </c>
      <c r="CL123" s="78">
        <v>1</v>
      </c>
      <c r="CM123" s="78">
        <v>190.885231</v>
      </c>
      <c r="CN123" s="78">
        <v>1</v>
      </c>
      <c r="CO123" s="78">
        <v>1</v>
      </c>
      <c r="CP123" s="78" t="s">
        <v>224</v>
      </c>
      <c r="CQ123" s="78" t="s">
        <v>224</v>
      </c>
      <c r="CR123" s="12">
        <f>IF(COUNTIF(Incl!A:A,Raw!J123),1, "")</f>
        <v>1</v>
      </c>
    </row>
    <row r="124" spans="1:96" ht="13.5" thickTop="1" thickBot="1" x14ac:dyDescent="0.3">
      <c r="A124" s="18">
        <v>121</v>
      </c>
      <c r="B124" s="19">
        <v>1</v>
      </c>
      <c r="C124" s="20">
        <v>274.03579100000002</v>
      </c>
      <c r="D124" s="19">
        <v>124</v>
      </c>
      <c r="E124" s="19">
        <v>2</v>
      </c>
      <c r="F124" s="19">
        <v>153</v>
      </c>
      <c r="G124" s="21">
        <v>123</v>
      </c>
      <c r="H124" s="19">
        <v>123</v>
      </c>
      <c r="I124" s="19">
        <v>123</v>
      </c>
      <c r="J124" s="19">
        <v>123</v>
      </c>
      <c r="K124" s="20" t="s">
        <v>60</v>
      </c>
      <c r="L124" s="20" t="s">
        <v>109</v>
      </c>
      <c r="M124" s="20" t="s">
        <v>112</v>
      </c>
      <c r="N124" s="21">
        <v>12</v>
      </c>
      <c r="O124" s="22" t="s">
        <v>62</v>
      </c>
      <c r="P124" s="22" t="s">
        <v>62</v>
      </c>
      <c r="Q124" s="21">
        <v>1</v>
      </c>
      <c r="R124" s="22" t="s">
        <v>62</v>
      </c>
      <c r="S124" s="22" t="s">
        <v>62</v>
      </c>
      <c r="T124" s="19">
        <v>13</v>
      </c>
      <c r="U124" s="21">
        <v>11</v>
      </c>
      <c r="V124" s="21">
        <v>9</v>
      </c>
      <c r="W124" s="21">
        <v>12</v>
      </c>
      <c r="X124" s="22" t="s">
        <v>62</v>
      </c>
      <c r="Y124" s="19">
        <v>85</v>
      </c>
      <c r="Z124" s="19">
        <v>69</v>
      </c>
      <c r="AA124" s="19">
        <v>92</v>
      </c>
      <c r="AB124" s="19">
        <v>0</v>
      </c>
      <c r="AC124" s="19">
        <v>2</v>
      </c>
      <c r="AD124" s="19">
        <v>10</v>
      </c>
      <c r="AE124" s="19">
        <v>6</v>
      </c>
      <c r="AF124" s="19">
        <v>10</v>
      </c>
      <c r="AG124" s="22" t="s">
        <v>62</v>
      </c>
      <c r="AH124" s="19">
        <v>77</v>
      </c>
      <c r="AI124" s="19">
        <v>46</v>
      </c>
      <c r="AJ124" s="19">
        <v>77</v>
      </c>
      <c r="AK124" s="19">
        <v>0</v>
      </c>
      <c r="AL124" s="19">
        <v>2</v>
      </c>
      <c r="AM124" s="21">
        <v>11</v>
      </c>
      <c r="AN124" s="21">
        <v>12</v>
      </c>
      <c r="AO124" s="21">
        <v>12</v>
      </c>
      <c r="AP124" s="21">
        <v>9</v>
      </c>
      <c r="AQ124" s="21">
        <v>9</v>
      </c>
      <c r="AR124" s="21">
        <v>10</v>
      </c>
      <c r="AS124" s="21">
        <v>10</v>
      </c>
      <c r="AT124" s="21">
        <v>12</v>
      </c>
      <c r="AU124" s="21">
        <v>12</v>
      </c>
      <c r="AV124" s="21">
        <v>12</v>
      </c>
      <c r="AW124" s="21">
        <v>17</v>
      </c>
      <c r="AX124" s="21">
        <v>13</v>
      </c>
      <c r="AY124" s="21">
        <v>10</v>
      </c>
      <c r="AZ124" s="21">
        <v>0</v>
      </c>
      <c r="BA124" s="21">
        <v>4</v>
      </c>
      <c r="BB124" s="21">
        <v>0</v>
      </c>
      <c r="BC124" s="21">
        <v>1</v>
      </c>
      <c r="BD124" s="21">
        <v>0</v>
      </c>
      <c r="BE124" s="21">
        <v>1</v>
      </c>
      <c r="BF124" s="21">
        <v>0</v>
      </c>
      <c r="BG124" s="21">
        <v>46</v>
      </c>
      <c r="BH124" s="21">
        <v>3.5</v>
      </c>
      <c r="BI124" s="20" t="s">
        <v>65</v>
      </c>
      <c r="BJ124" s="21">
        <v>10</v>
      </c>
      <c r="BK124" s="21">
        <v>6</v>
      </c>
      <c r="BL124" s="21">
        <v>10</v>
      </c>
      <c r="BM124" s="21">
        <v>9</v>
      </c>
      <c r="BN124" s="21">
        <v>6</v>
      </c>
      <c r="BO124" s="21">
        <v>6</v>
      </c>
      <c r="BP124" s="21">
        <v>7</v>
      </c>
      <c r="BQ124" s="21">
        <v>10</v>
      </c>
      <c r="BR124" s="21">
        <v>10</v>
      </c>
      <c r="BS124" s="21">
        <v>5</v>
      </c>
      <c r="BT124" s="21">
        <v>17</v>
      </c>
      <c r="BU124" s="21">
        <v>6</v>
      </c>
      <c r="BV124" s="21">
        <v>5</v>
      </c>
      <c r="BW124" s="21">
        <v>2</v>
      </c>
      <c r="BX124" s="21">
        <v>0</v>
      </c>
      <c r="BY124" s="21">
        <v>1</v>
      </c>
      <c r="BZ124" s="21">
        <v>3</v>
      </c>
      <c r="CA124" s="21">
        <v>0</v>
      </c>
      <c r="CB124" s="21">
        <v>0</v>
      </c>
      <c r="CC124" s="21">
        <v>0</v>
      </c>
      <c r="CD124" s="21">
        <v>34</v>
      </c>
      <c r="CE124" s="21">
        <v>2.6</v>
      </c>
      <c r="CF124" s="20" t="s">
        <v>63</v>
      </c>
      <c r="CG124" s="20" t="s">
        <v>71</v>
      </c>
      <c r="CH124" s="20">
        <v>8.5300000000000003E-4</v>
      </c>
      <c r="CI124" s="19">
        <v>4</v>
      </c>
      <c r="CJ124" s="78">
        <v>1</v>
      </c>
      <c r="CK124" s="78">
        <v>1</v>
      </c>
      <c r="CL124" s="78">
        <v>1</v>
      </c>
      <c r="CM124" s="78">
        <v>274.03573999999998</v>
      </c>
      <c r="CN124" s="78">
        <v>1</v>
      </c>
      <c r="CO124" s="78">
        <v>1</v>
      </c>
      <c r="CP124" s="78" t="s">
        <v>224</v>
      </c>
      <c r="CQ124" s="78" t="s">
        <v>224</v>
      </c>
      <c r="CR124" s="12">
        <f>IF(COUNTIF(Incl!A:A,Raw!J124),1, "")</f>
        <v>1</v>
      </c>
    </row>
    <row r="125" spans="1:96" ht="13.5" thickTop="1" thickBot="1" x14ac:dyDescent="0.3">
      <c r="A125" s="13">
        <v>122</v>
      </c>
      <c r="B125" s="14">
        <v>1</v>
      </c>
      <c r="C125" s="15">
        <v>285.47499099999999</v>
      </c>
      <c r="D125" s="14">
        <v>125</v>
      </c>
      <c r="E125" s="14">
        <v>2</v>
      </c>
      <c r="F125" s="14">
        <v>154</v>
      </c>
      <c r="G125" s="16">
        <v>124</v>
      </c>
      <c r="H125" s="14">
        <v>124</v>
      </c>
      <c r="I125" s="14">
        <v>124</v>
      </c>
      <c r="J125" s="14">
        <v>124</v>
      </c>
      <c r="K125" s="15" t="s">
        <v>110</v>
      </c>
      <c r="L125" s="15" t="s">
        <v>109</v>
      </c>
      <c r="M125" s="15" t="s">
        <v>112</v>
      </c>
      <c r="N125" s="16">
        <v>10</v>
      </c>
      <c r="O125" s="17" t="s">
        <v>62</v>
      </c>
      <c r="P125" s="17" t="s">
        <v>62</v>
      </c>
      <c r="Q125" s="17" t="s">
        <v>62</v>
      </c>
      <c r="R125" s="17" t="s">
        <v>62</v>
      </c>
      <c r="S125" s="17" t="s">
        <v>62</v>
      </c>
      <c r="T125" s="14">
        <v>10</v>
      </c>
      <c r="U125" s="16">
        <v>10</v>
      </c>
      <c r="V125" s="16">
        <v>10</v>
      </c>
      <c r="W125" s="16">
        <v>10</v>
      </c>
      <c r="X125" s="17" t="s">
        <v>62</v>
      </c>
      <c r="Y125" s="14">
        <v>100</v>
      </c>
      <c r="Z125" s="14">
        <v>100</v>
      </c>
      <c r="AA125" s="14">
        <v>100</v>
      </c>
      <c r="AB125" s="14">
        <v>0</v>
      </c>
      <c r="AC125" s="14">
        <v>3</v>
      </c>
      <c r="AD125" s="14">
        <v>9</v>
      </c>
      <c r="AE125" s="14">
        <v>10</v>
      </c>
      <c r="AF125" s="14">
        <v>9</v>
      </c>
      <c r="AG125" s="17" t="s">
        <v>62</v>
      </c>
      <c r="AH125" s="14">
        <v>90</v>
      </c>
      <c r="AI125" s="14">
        <v>100</v>
      </c>
      <c r="AJ125" s="14">
        <v>90</v>
      </c>
      <c r="AK125" s="14">
        <v>0</v>
      </c>
      <c r="AL125" s="14">
        <v>3</v>
      </c>
      <c r="AM125" s="16">
        <v>10</v>
      </c>
      <c r="AN125" s="16">
        <v>10</v>
      </c>
      <c r="AO125" s="16">
        <v>10</v>
      </c>
      <c r="AP125" s="16">
        <v>10</v>
      </c>
      <c r="AQ125" s="16">
        <v>10</v>
      </c>
      <c r="AR125" s="16">
        <v>10</v>
      </c>
      <c r="AS125" s="16">
        <v>10</v>
      </c>
      <c r="AT125" s="16">
        <v>10</v>
      </c>
      <c r="AU125" s="16">
        <v>10</v>
      </c>
      <c r="AV125" s="16">
        <v>10</v>
      </c>
      <c r="AW125" s="16">
        <v>6</v>
      </c>
      <c r="AX125" s="16">
        <v>9</v>
      </c>
      <c r="AY125" s="16">
        <v>2</v>
      </c>
      <c r="AZ125" s="16">
        <v>0</v>
      </c>
      <c r="BA125" s="16">
        <v>9</v>
      </c>
      <c r="BB125" s="16">
        <v>0</v>
      </c>
      <c r="BC125" s="16">
        <v>1</v>
      </c>
      <c r="BD125" s="16">
        <v>1</v>
      </c>
      <c r="BE125" s="16">
        <v>0</v>
      </c>
      <c r="BF125" s="16">
        <v>1</v>
      </c>
      <c r="BG125" s="16">
        <v>29</v>
      </c>
      <c r="BH125" s="16">
        <v>2.9</v>
      </c>
      <c r="BI125" s="15" t="s">
        <v>63</v>
      </c>
      <c r="BJ125" s="16">
        <v>9</v>
      </c>
      <c r="BK125" s="16">
        <v>9</v>
      </c>
      <c r="BL125" s="16">
        <v>10</v>
      </c>
      <c r="BM125" s="16">
        <v>10</v>
      </c>
      <c r="BN125" s="16">
        <v>10</v>
      </c>
      <c r="BO125" s="16">
        <v>10</v>
      </c>
      <c r="BP125" s="16">
        <v>10</v>
      </c>
      <c r="BQ125" s="16">
        <v>9</v>
      </c>
      <c r="BR125" s="16">
        <v>9</v>
      </c>
      <c r="BS125" s="16">
        <v>8</v>
      </c>
      <c r="BT125" s="16">
        <v>10</v>
      </c>
      <c r="BU125" s="16">
        <v>3</v>
      </c>
      <c r="BV125" s="16">
        <v>6</v>
      </c>
      <c r="BW125" s="16">
        <v>0</v>
      </c>
      <c r="BX125" s="16">
        <v>3</v>
      </c>
      <c r="BY125" s="16">
        <v>0</v>
      </c>
      <c r="BZ125" s="16">
        <v>5</v>
      </c>
      <c r="CA125" s="16">
        <v>0</v>
      </c>
      <c r="CB125" s="16">
        <v>0</v>
      </c>
      <c r="CC125" s="16">
        <v>1</v>
      </c>
      <c r="CD125" s="16">
        <v>28</v>
      </c>
      <c r="CE125" s="16">
        <v>2.8</v>
      </c>
      <c r="CF125" s="15" t="s">
        <v>63</v>
      </c>
      <c r="CG125" s="15" t="s">
        <v>71</v>
      </c>
      <c r="CH125" s="15">
        <v>8.92E-4</v>
      </c>
      <c r="CI125" s="14">
        <v>6</v>
      </c>
      <c r="CJ125" s="79">
        <v>1</v>
      </c>
      <c r="CK125" s="79">
        <v>1</v>
      </c>
      <c r="CL125" s="79">
        <v>1</v>
      </c>
      <c r="CM125" s="79">
        <v>285.47503699999999</v>
      </c>
      <c r="CN125" s="79">
        <v>1</v>
      </c>
      <c r="CO125" s="79">
        <v>1</v>
      </c>
      <c r="CP125" s="79" t="s">
        <v>224</v>
      </c>
      <c r="CQ125" s="79" t="s">
        <v>224</v>
      </c>
      <c r="CR125" s="12">
        <f>IF(COUNTIF(Incl!A:A,Raw!J125),1, "")</f>
        <v>1</v>
      </c>
    </row>
    <row r="126" spans="1:96" ht="13.5" thickTop="1" thickBot="1" x14ac:dyDescent="0.3">
      <c r="A126" s="18">
        <v>123</v>
      </c>
      <c r="B126" s="19">
        <v>1</v>
      </c>
      <c r="C126" s="20">
        <v>206.16755900000001</v>
      </c>
      <c r="D126" s="19">
        <v>126</v>
      </c>
      <c r="E126" s="19">
        <v>1</v>
      </c>
      <c r="F126" s="19">
        <v>155</v>
      </c>
      <c r="G126" s="21">
        <v>210</v>
      </c>
      <c r="H126" s="19">
        <v>210</v>
      </c>
      <c r="I126" s="19">
        <v>210</v>
      </c>
      <c r="J126" s="19">
        <v>210</v>
      </c>
      <c r="K126" s="20" t="s">
        <v>109</v>
      </c>
      <c r="L126" s="20" t="s">
        <v>106</v>
      </c>
      <c r="M126" s="20" t="s">
        <v>60</v>
      </c>
      <c r="N126" s="22" t="s">
        <v>62</v>
      </c>
      <c r="O126" s="22" t="s">
        <v>62</v>
      </c>
      <c r="P126" s="21" t="s">
        <v>62</v>
      </c>
      <c r="Q126" s="22" t="s">
        <v>62</v>
      </c>
      <c r="R126" s="21" t="s">
        <v>62</v>
      </c>
      <c r="S126" s="22">
        <v>4</v>
      </c>
      <c r="T126" s="19">
        <v>4</v>
      </c>
      <c r="U126" s="21">
        <v>2</v>
      </c>
      <c r="V126" s="21">
        <v>1</v>
      </c>
      <c r="W126" s="21">
        <v>3</v>
      </c>
      <c r="X126" s="22" t="s">
        <v>62</v>
      </c>
      <c r="Y126" s="19">
        <v>49</v>
      </c>
      <c r="Z126" s="19">
        <v>24</v>
      </c>
      <c r="AA126" s="19">
        <v>73</v>
      </c>
      <c r="AB126" s="19">
        <v>0</v>
      </c>
      <c r="AC126" s="19">
        <v>0</v>
      </c>
      <c r="AD126" s="19">
        <v>1</v>
      </c>
      <c r="AE126" s="19">
        <v>1</v>
      </c>
      <c r="AF126" s="19">
        <v>0</v>
      </c>
      <c r="AG126" s="22" t="s">
        <v>62</v>
      </c>
      <c r="AH126" s="19">
        <v>24</v>
      </c>
      <c r="AI126" s="19">
        <v>24</v>
      </c>
      <c r="AJ126" s="19">
        <v>0</v>
      </c>
      <c r="AK126" s="19">
        <v>0</v>
      </c>
      <c r="AL126" s="19">
        <v>0</v>
      </c>
      <c r="AM126" s="21">
        <v>2</v>
      </c>
      <c r="AN126" s="21">
        <v>2</v>
      </c>
      <c r="AO126" s="21">
        <v>1</v>
      </c>
      <c r="AP126" s="21">
        <v>1</v>
      </c>
      <c r="AQ126" s="21">
        <v>1</v>
      </c>
      <c r="AR126" s="21">
        <v>1</v>
      </c>
      <c r="AS126" s="21">
        <v>1</v>
      </c>
      <c r="AT126" s="21">
        <v>3</v>
      </c>
      <c r="AU126" s="21">
        <v>3</v>
      </c>
      <c r="AV126" s="21">
        <v>3</v>
      </c>
      <c r="AW126" s="21">
        <v>2</v>
      </c>
      <c r="AX126" s="21">
        <v>0</v>
      </c>
      <c r="AY126" s="21">
        <v>2</v>
      </c>
      <c r="AZ126" s="21">
        <v>0</v>
      </c>
      <c r="BA126" s="21">
        <v>0</v>
      </c>
      <c r="BB126" s="21">
        <v>0</v>
      </c>
      <c r="BC126" s="21">
        <v>0</v>
      </c>
      <c r="BD126" s="21">
        <v>0</v>
      </c>
      <c r="BE126" s="21">
        <v>0</v>
      </c>
      <c r="BF126" s="21">
        <v>1</v>
      </c>
      <c r="BG126" s="21">
        <v>5</v>
      </c>
      <c r="BH126" s="21">
        <v>1.2</v>
      </c>
      <c r="BI126" s="20" t="s">
        <v>68</v>
      </c>
      <c r="BJ126" s="21">
        <v>1</v>
      </c>
      <c r="BK126" s="21">
        <v>1</v>
      </c>
      <c r="BL126" s="21">
        <v>1</v>
      </c>
      <c r="BM126" s="21">
        <v>1</v>
      </c>
      <c r="BN126" s="21">
        <v>1</v>
      </c>
      <c r="BO126" s="21">
        <v>1</v>
      </c>
      <c r="BP126" s="21">
        <v>1</v>
      </c>
      <c r="BQ126" s="21">
        <v>0</v>
      </c>
      <c r="BR126" s="21">
        <v>0</v>
      </c>
      <c r="BS126" s="21">
        <v>0</v>
      </c>
      <c r="BT126" s="21">
        <v>0</v>
      </c>
      <c r="BU126" s="21">
        <v>0</v>
      </c>
      <c r="BV126" s="21">
        <v>0</v>
      </c>
      <c r="BW126" s="21">
        <v>0</v>
      </c>
      <c r="BX126" s="21">
        <v>0</v>
      </c>
      <c r="BY126" s="21">
        <v>0</v>
      </c>
      <c r="BZ126" s="21">
        <v>1</v>
      </c>
      <c r="CA126" s="21">
        <v>0</v>
      </c>
      <c r="CB126" s="21">
        <v>0</v>
      </c>
      <c r="CC126" s="21">
        <v>0</v>
      </c>
      <c r="CD126" s="21">
        <v>1</v>
      </c>
      <c r="CE126" s="21">
        <v>0.2</v>
      </c>
      <c r="CF126" s="20" t="s">
        <v>77</v>
      </c>
      <c r="CG126" s="20" t="s">
        <v>64</v>
      </c>
      <c r="CH126" s="20">
        <v>6.4999999999999997E-4</v>
      </c>
      <c r="CI126" s="19">
        <v>0</v>
      </c>
      <c r="CJ126" s="78">
        <v>3</v>
      </c>
      <c r="CK126" s="78" t="s">
        <v>224</v>
      </c>
      <c r="CL126" s="78" t="s">
        <v>224</v>
      </c>
      <c r="CM126" s="78">
        <v>206.16772</v>
      </c>
      <c r="CN126" s="78">
        <v>1</v>
      </c>
      <c r="CO126" s="78" t="s">
        <v>224</v>
      </c>
      <c r="CP126" s="78" t="s">
        <v>224</v>
      </c>
      <c r="CQ126" s="78" t="s">
        <v>224</v>
      </c>
      <c r="CR126" s="12" t="str">
        <f>IF(COUNTIF(Incl!A:A,Raw!J126),1, "")</f>
        <v/>
      </c>
    </row>
    <row r="127" spans="1:96" ht="13.5" thickTop="1" thickBot="1" x14ac:dyDescent="0.3">
      <c r="A127" s="13">
        <v>124</v>
      </c>
      <c r="B127" s="14">
        <v>1</v>
      </c>
      <c r="C127" s="15">
        <v>235.534886</v>
      </c>
      <c r="D127" s="14">
        <v>127</v>
      </c>
      <c r="E127" s="14">
        <v>1</v>
      </c>
      <c r="F127" s="14">
        <v>156</v>
      </c>
      <c r="G127" s="16">
        <v>211</v>
      </c>
      <c r="H127" s="14">
        <v>211</v>
      </c>
      <c r="I127" s="14">
        <v>211</v>
      </c>
      <c r="J127" s="14">
        <v>211</v>
      </c>
      <c r="K127" s="15" t="s">
        <v>109</v>
      </c>
      <c r="L127" s="15" t="s">
        <v>60</v>
      </c>
      <c r="M127" s="15" t="s">
        <v>106</v>
      </c>
      <c r="N127" s="16" t="s">
        <v>62</v>
      </c>
      <c r="O127" s="17" t="s">
        <v>62</v>
      </c>
      <c r="P127" s="17" t="s">
        <v>62</v>
      </c>
      <c r="Q127" s="16" t="s">
        <v>62</v>
      </c>
      <c r="R127" s="17" t="s">
        <v>62</v>
      </c>
      <c r="S127" s="17">
        <v>5</v>
      </c>
      <c r="T127" s="14">
        <v>5</v>
      </c>
      <c r="U127" s="16" t="s">
        <v>62</v>
      </c>
      <c r="V127" s="16">
        <v>1</v>
      </c>
      <c r="W127" s="16">
        <v>4</v>
      </c>
      <c r="X127" s="17" t="s">
        <v>62</v>
      </c>
      <c r="Y127" s="14">
        <v>0</v>
      </c>
      <c r="Z127" s="14">
        <v>19</v>
      </c>
      <c r="AA127" s="14">
        <v>77</v>
      </c>
      <c r="AB127" s="14">
        <v>0</v>
      </c>
      <c r="AC127" s="14">
        <v>1</v>
      </c>
      <c r="AD127" s="14">
        <v>3</v>
      </c>
      <c r="AE127" s="14">
        <v>3</v>
      </c>
      <c r="AF127" s="14">
        <v>0</v>
      </c>
      <c r="AG127" s="17" t="s">
        <v>62</v>
      </c>
      <c r="AH127" s="14">
        <v>58</v>
      </c>
      <c r="AI127" s="14">
        <v>58</v>
      </c>
      <c r="AJ127" s="14">
        <v>0</v>
      </c>
      <c r="AK127" s="14">
        <v>0</v>
      </c>
      <c r="AL127" s="14">
        <v>0</v>
      </c>
      <c r="AM127" s="16">
        <v>0</v>
      </c>
      <c r="AN127" s="16">
        <v>4</v>
      </c>
      <c r="AO127" s="16">
        <v>3</v>
      </c>
      <c r="AP127" s="16">
        <v>2</v>
      </c>
      <c r="AQ127" s="16">
        <v>1</v>
      </c>
      <c r="AR127" s="16">
        <v>0</v>
      </c>
      <c r="AS127" s="16">
        <v>0</v>
      </c>
      <c r="AT127" s="16">
        <v>0</v>
      </c>
      <c r="AU127" s="16">
        <v>4</v>
      </c>
      <c r="AV127" s="16">
        <v>4</v>
      </c>
      <c r="AW127" s="16">
        <v>2</v>
      </c>
      <c r="AX127" s="16">
        <v>6</v>
      </c>
      <c r="AY127" s="16">
        <v>0</v>
      </c>
      <c r="AZ127" s="16">
        <v>1</v>
      </c>
      <c r="BA127" s="16">
        <v>0</v>
      </c>
      <c r="BB127" s="16">
        <v>0</v>
      </c>
      <c r="BC127" s="16">
        <v>0</v>
      </c>
      <c r="BD127" s="16">
        <v>0</v>
      </c>
      <c r="BE127" s="16">
        <v>0</v>
      </c>
      <c r="BF127" s="16">
        <v>0</v>
      </c>
      <c r="BG127" s="16">
        <v>9</v>
      </c>
      <c r="BH127" s="16">
        <v>1.7</v>
      </c>
      <c r="BI127" s="15" t="s">
        <v>68</v>
      </c>
      <c r="BJ127" s="16">
        <v>3</v>
      </c>
      <c r="BK127" s="16">
        <v>3</v>
      </c>
      <c r="BL127" s="16">
        <v>3</v>
      </c>
      <c r="BM127" s="16">
        <v>3</v>
      </c>
      <c r="BN127" s="16">
        <v>3</v>
      </c>
      <c r="BO127" s="16">
        <v>0</v>
      </c>
      <c r="BP127" s="16">
        <v>0</v>
      </c>
      <c r="BQ127" s="16">
        <v>0</v>
      </c>
      <c r="BR127" s="16">
        <v>0</v>
      </c>
      <c r="BS127" s="16">
        <v>0</v>
      </c>
      <c r="BT127" s="16">
        <v>0</v>
      </c>
      <c r="BU127" s="16">
        <v>0</v>
      </c>
      <c r="BV127" s="16">
        <v>0</v>
      </c>
      <c r="BW127" s="16">
        <v>0</v>
      </c>
      <c r="BX127" s="16">
        <v>3</v>
      </c>
      <c r="BY127" s="16">
        <v>0</v>
      </c>
      <c r="BZ127" s="16">
        <v>0</v>
      </c>
      <c r="CA127" s="16">
        <v>0</v>
      </c>
      <c r="CB127" s="16">
        <v>0</v>
      </c>
      <c r="CC127" s="16">
        <v>0</v>
      </c>
      <c r="CD127" s="16">
        <v>3</v>
      </c>
      <c r="CE127" s="16">
        <v>0.6</v>
      </c>
      <c r="CF127" s="15" t="s">
        <v>77</v>
      </c>
      <c r="CG127" s="15" t="s">
        <v>66</v>
      </c>
      <c r="CH127" s="15">
        <v>7.3499999999999998E-4</v>
      </c>
      <c r="CI127" s="14">
        <v>1</v>
      </c>
      <c r="CJ127" s="79">
        <v>3</v>
      </c>
      <c r="CK127" s="79" t="s">
        <v>224</v>
      </c>
      <c r="CL127" s="79" t="s">
        <v>224</v>
      </c>
      <c r="CM127" s="79">
        <v>235.535113</v>
      </c>
      <c r="CN127" s="79">
        <v>1</v>
      </c>
      <c r="CO127" s="79" t="s">
        <v>224</v>
      </c>
      <c r="CP127" s="79" t="s">
        <v>224</v>
      </c>
      <c r="CQ127" s="79" t="s">
        <v>224</v>
      </c>
      <c r="CR127" s="12" t="str">
        <f>IF(COUNTIF(Incl!A:A,Raw!J127),1, "")</f>
        <v/>
      </c>
    </row>
    <row r="128" spans="1:96" ht="13.5" thickTop="1" thickBot="1" x14ac:dyDescent="0.3">
      <c r="A128" s="13">
        <v>125</v>
      </c>
      <c r="B128" s="14">
        <v>1</v>
      </c>
      <c r="C128" s="15">
        <v>297.51608700000003</v>
      </c>
      <c r="D128" s="14">
        <v>128</v>
      </c>
      <c r="E128" s="14">
        <v>1</v>
      </c>
      <c r="F128" s="14">
        <v>157</v>
      </c>
      <c r="G128" s="16">
        <v>125</v>
      </c>
      <c r="H128" s="14">
        <v>125</v>
      </c>
      <c r="I128" s="14">
        <v>125</v>
      </c>
      <c r="J128" s="14">
        <v>125</v>
      </c>
      <c r="K128" s="15" t="s">
        <v>60</v>
      </c>
      <c r="L128" s="15" t="s">
        <v>112</v>
      </c>
      <c r="M128" s="15" t="s">
        <v>109</v>
      </c>
      <c r="N128" s="16" t="s">
        <v>62</v>
      </c>
      <c r="O128" s="17" t="s">
        <v>62</v>
      </c>
      <c r="P128" s="17">
        <v>4</v>
      </c>
      <c r="Q128" s="17" t="s">
        <v>62</v>
      </c>
      <c r="R128" s="17">
        <v>3</v>
      </c>
      <c r="S128" s="17" t="s">
        <v>62</v>
      </c>
      <c r="T128" s="14">
        <v>6</v>
      </c>
      <c r="U128" s="16">
        <v>7</v>
      </c>
      <c r="V128" s="16">
        <v>7</v>
      </c>
      <c r="W128" s="16">
        <v>7</v>
      </c>
      <c r="X128" s="17" t="s">
        <v>62</v>
      </c>
      <c r="Y128" s="14">
        <v>110</v>
      </c>
      <c r="Z128" s="14">
        <v>110</v>
      </c>
      <c r="AA128" s="14">
        <v>110</v>
      </c>
      <c r="AB128" s="14">
        <v>0</v>
      </c>
      <c r="AC128" s="14">
        <v>3</v>
      </c>
      <c r="AD128" s="14">
        <v>1</v>
      </c>
      <c r="AE128" s="14">
        <v>4</v>
      </c>
      <c r="AF128" s="14">
        <v>4</v>
      </c>
      <c r="AG128" s="17" t="s">
        <v>62</v>
      </c>
      <c r="AH128" s="14">
        <v>16</v>
      </c>
      <c r="AI128" s="14">
        <v>63</v>
      </c>
      <c r="AJ128" s="14">
        <v>63</v>
      </c>
      <c r="AK128" s="14">
        <v>0</v>
      </c>
      <c r="AL128" s="14">
        <v>0</v>
      </c>
      <c r="AM128" s="16">
        <v>7</v>
      </c>
      <c r="AN128" s="16">
        <v>7</v>
      </c>
      <c r="AO128" s="16">
        <v>7</v>
      </c>
      <c r="AP128" s="16">
        <v>7</v>
      </c>
      <c r="AQ128" s="16">
        <v>7</v>
      </c>
      <c r="AR128" s="16">
        <v>7</v>
      </c>
      <c r="AS128" s="16">
        <v>7</v>
      </c>
      <c r="AT128" s="16">
        <v>7</v>
      </c>
      <c r="AU128" s="16">
        <v>7</v>
      </c>
      <c r="AV128" s="16">
        <v>7</v>
      </c>
      <c r="AW128" s="16">
        <v>1</v>
      </c>
      <c r="AX128" s="16">
        <v>0</v>
      </c>
      <c r="AY128" s="16">
        <v>3</v>
      </c>
      <c r="AZ128" s="16">
        <v>0</v>
      </c>
      <c r="BA128" s="16">
        <v>0</v>
      </c>
      <c r="BB128" s="16">
        <v>1</v>
      </c>
      <c r="BC128" s="16">
        <v>2</v>
      </c>
      <c r="BD128" s="16">
        <v>0</v>
      </c>
      <c r="BE128" s="16">
        <v>0</v>
      </c>
      <c r="BF128" s="16">
        <v>4</v>
      </c>
      <c r="BG128" s="16">
        <v>11</v>
      </c>
      <c r="BH128" s="16">
        <v>1.7</v>
      </c>
      <c r="BI128" s="15" t="s">
        <v>68</v>
      </c>
      <c r="BJ128" s="16">
        <v>1</v>
      </c>
      <c r="BK128" s="16">
        <v>4</v>
      </c>
      <c r="BL128" s="16">
        <v>4</v>
      </c>
      <c r="BM128" s="16">
        <v>4</v>
      </c>
      <c r="BN128" s="16">
        <v>4</v>
      </c>
      <c r="BO128" s="16">
        <v>4</v>
      </c>
      <c r="BP128" s="16">
        <v>4</v>
      </c>
      <c r="BQ128" s="16">
        <v>4</v>
      </c>
      <c r="BR128" s="16">
        <v>4</v>
      </c>
      <c r="BS128" s="16">
        <v>4</v>
      </c>
      <c r="BT128" s="16">
        <v>0</v>
      </c>
      <c r="BU128" s="16">
        <v>0</v>
      </c>
      <c r="BV128" s="16">
        <v>0</v>
      </c>
      <c r="BW128" s="16">
        <v>3</v>
      </c>
      <c r="BX128" s="16">
        <v>3</v>
      </c>
      <c r="BY128" s="16">
        <v>0</v>
      </c>
      <c r="BZ128" s="16">
        <v>0</v>
      </c>
      <c r="CA128" s="16">
        <v>0</v>
      </c>
      <c r="CB128" s="16">
        <v>0</v>
      </c>
      <c r="CC128" s="16">
        <v>1</v>
      </c>
      <c r="CD128" s="16">
        <v>7</v>
      </c>
      <c r="CE128" s="16">
        <v>1.1000000000000001</v>
      </c>
      <c r="CF128" s="15" t="s">
        <v>68</v>
      </c>
      <c r="CG128" s="15" t="s">
        <v>74</v>
      </c>
      <c r="CH128" s="15">
        <v>9.3000000000000005E-4</v>
      </c>
      <c r="CI128" s="14">
        <v>3</v>
      </c>
      <c r="CJ128" s="79">
        <v>2</v>
      </c>
      <c r="CK128" s="79" t="s">
        <v>224</v>
      </c>
      <c r="CL128" s="79" t="s">
        <v>224</v>
      </c>
      <c r="CM128" s="79">
        <v>297.51595300000002</v>
      </c>
      <c r="CN128" s="79">
        <v>1</v>
      </c>
      <c r="CO128" s="79">
        <v>1</v>
      </c>
      <c r="CP128" s="79" t="s">
        <v>224</v>
      </c>
      <c r="CQ128" s="79" t="s">
        <v>224</v>
      </c>
      <c r="CR128" s="12" t="str">
        <f>IF(COUNTIF(Incl!A:A,Raw!J128),1, "")</f>
        <v/>
      </c>
    </row>
    <row r="129" spans="1:96" ht="13.5" thickTop="1" thickBot="1" x14ac:dyDescent="0.3">
      <c r="A129" s="13">
        <v>126</v>
      </c>
      <c r="B129" s="14">
        <v>1</v>
      </c>
      <c r="C129" s="15">
        <v>629.18293800000004</v>
      </c>
      <c r="D129" s="14">
        <v>129</v>
      </c>
      <c r="E129" s="14">
        <v>1</v>
      </c>
      <c r="F129" s="14">
        <v>158</v>
      </c>
      <c r="G129" s="16">
        <v>128</v>
      </c>
      <c r="H129" s="14">
        <v>128</v>
      </c>
      <c r="I129" s="14">
        <v>128</v>
      </c>
      <c r="J129" s="14">
        <v>128</v>
      </c>
      <c r="K129" s="15" t="s">
        <v>60</v>
      </c>
      <c r="L129" s="15" t="s">
        <v>113</v>
      </c>
      <c r="M129" s="15" t="s">
        <v>112</v>
      </c>
      <c r="N129" s="16">
        <v>9</v>
      </c>
      <c r="O129" s="17" t="s">
        <v>62</v>
      </c>
      <c r="P129" s="17" t="s">
        <v>62</v>
      </c>
      <c r="Q129" s="17" t="s">
        <v>62</v>
      </c>
      <c r="R129" s="17" t="s">
        <v>62</v>
      </c>
      <c r="S129" s="17" t="s">
        <v>62</v>
      </c>
      <c r="T129" s="14">
        <v>9</v>
      </c>
      <c r="U129" s="16">
        <v>6</v>
      </c>
      <c r="V129" s="16">
        <v>6</v>
      </c>
      <c r="W129" s="16">
        <v>6</v>
      </c>
      <c r="X129" s="17" t="s">
        <v>62</v>
      </c>
      <c r="Y129" s="14">
        <v>70</v>
      </c>
      <c r="Z129" s="14">
        <v>70</v>
      </c>
      <c r="AA129" s="14">
        <v>70</v>
      </c>
      <c r="AB129" s="14">
        <v>0</v>
      </c>
      <c r="AC129" s="14">
        <v>0</v>
      </c>
      <c r="AD129" s="14">
        <v>2</v>
      </c>
      <c r="AE129" s="14">
        <v>2</v>
      </c>
      <c r="AF129" s="14">
        <v>4</v>
      </c>
      <c r="AG129" s="17" t="s">
        <v>62</v>
      </c>
      <c r="AH129" s="14">
        <v>23</v>
      </c>
      <c r="AI129" s="14">
        <v>23</v>
      </c>
      <c r="AJ129" s="14">
        <v>47</v>
      </c>
      <c r="AK129" s="14">
        <v>0</v>
      </c>
      <c r="AL129" s="14">
        <v>0</v>
      </c>
      <c r="AM129" s="16">
        <v>6</v>
      </c>
      <c r="AN129" s="16">
        <v>5</v>
      </c>
      <c r="AO129" s="16">
        <v>6</v>
      </c>
      <c r="AP129" s="16">
        <v>6</v>
      </c>
      <c r="AQ129" s="16">
        <v>6</v>
      </c>
      <c r="AR129" s="16">
        <v>6</v>
      </c>
      <c r="AS129" s="16">
        <v>6</v>
      </c>
      <c r="AT129" s="16">
        <v>6</v>
      </c>
      <c r="AU129" s="16">
        <v>6</v>
      </c>
      <c r="AV129" s="16">
        <v>6</v>
      </c>
      <c r="AW129" s="16">
        <v>3</v>
      </c>
      <c r="AX129" s="16">
        <v>1</v>
      </c>
      <c r="AY129" s="16">
        <v>5</v>
      </c>
      <c r="AZ129" s="16">
        <v>0</v>
      </c>
      <c r="BA129" s="16">
        <v>1</v>
      </c>
      <c r="BB129" s="16">
        <v>1</v>
      </c>
      <c r="BC129" s="16">
        <v>4</v>
      </c>
      <c r="BD129" s="16">
        <v>0</v>
      </c>
      <c r="BE129" s="16">
        <v>0</v>
      </c>
      <c r="BF129" s="16">
        <v>0</v>
      </c>
      <c r="BG129" s="16">
        <v>15</v>
      </c>
      <c r="BH129" s="16">
        <v>1.7</v>
      </c>
      <c r="BI129" s="15" t="s">
        <v>68</v>
      </c>
      <c r="BJ129" s="16">
        <v>2</v>
      </c>
      <c r="BK129" s="16">
        <v>2</v>
      </c>
      <c r="BL129" s="16">
        <v>2</v>
      </c>
      <c r="BM129" s="16">
        <v>2</v>
      </c>
      <c r="BN129" s="16">
        <v>2</v>
      </c>
      <c r="BO129" s="16">
        <v>4</v>
      </c>
      <c r="BP129" s="16">
        <v>4</v>
      </c>
      <c r="BQ129" s="16">
        <v>4</v>
      </c>
      <c r="BR129" s="16">
        <v>4</v>
      </c>
      <c r="BS129" s="16">
        <v>4</v>
      </c>
      <c r="BT129" s="16">
        <v>0</v>
      </c>
      <c r="BU129" s="16">
        <v>0</v>
      </c>
      <c r="BV129" s="16">
        <v>0</v>
      </c>
      <c r="BW129" s="16">
        <v>0</v>
      </c>
      <c r="BX129" s="16">
        <v>4</v>
      </c>
      <c r="BY129" s="16">
        <v>0</v>
      </c>
      <c r="BZ129" s="16">
        <v>0</v>
      </c>
      <c r="CA129" s="16">
        <v>0</v>
      </c>
      <c r="CB129" s="16">
        <v>0</v>
      </c>
      <c r="CC129" s="16">
        <v>1</v>
      </c>
      <c r="CD129" s="16">
        <v>5</v>
      </c>
      <c r="CE129" s="16">
        <v>0.6</v>
      </c>
      <c r="CF129" s="15" t="s">
        <v>77</v>
      </c>
      <c r="CG129" s="15" t="s">
        <v>74</v>
      </c>
      <c r="CH129" s="15">
        <v>1.944E-3</v>
      </c>
      <c r="CI129" s="14">
        <v>0</v>
      </c>
      <c r="CJ129" s="79">
        <v>2</v>
      </c>
      <c r="CK129" s="79" t="s">
        <v>224</v>
      </c>
      <c r="CL129" s="79" t="s">
        <v>224</v>
      </c>
      <c r="CM129" s="79">
        <v>629.18290100000002</v>
      </c>
      <c r="CN129" s="79">
        <v>1</v>
      </c>
      <c r="CO129" s="79">
        <v>1</v>
      </c>
      <c r="CP129" s="79" t="s">
        <v>224</v>
      </c>
      <c r="CQ129" s="79" t="s">
        <v>224</v>
      </c>
      <c r="CR129" s="12" t="str">
        <f>IF(COUNTIF(Incl!A:A,Raw!J129),1, "")</f>
        <v/>
      </c>
    </row>
    <row r="130" spans="1:96" ht="13.5" thickTop="1" thickBot="1" x14ac:dyDescent="0.3">
      <c r="A130" s="18">
        <v>127</v>
      </c>
      <c r="B130" s="19">
        <v>1</v>
      </c>
      <c r="C130" s="20">
        <v>811.56408799999997</v>
      </c>
      <c r="D130" s="19">
        <v>130</v>
      </c>
      <c r="E130" s="19">
        <v>1</v>
      </c>
      <c r="F130" s="19">
        <v>159</v>
      </c>
      <c r="G130" s="21">
        <v>142</v>
      </c>
      <c r="H130" s="19">
        <v>142</v>
      </c>
      <c r="I130" s="19">
        <v>142</v>
      </c>
      <c r="J130" s="19">
        <v>142</v>
      </c>
      <c r="K130" s="20" t="s">
        <v>106</v>
      </c>
      <c r="L130" s="20" t="s">
        <v>109</v>
      </c>
      <c r="M130" s="20" t="s">
        <v>107</v>
      </c>
      <c r="N130" s="21" t="s">
        <v>62</v>
      </c>
      <c r="O130" s="22" t="s">
        <v>62</v>
      </c>
      <c r="P130" s="22" t="s">
        <v>62</v>
      </c>
      <c r="Q130" s="21" t="s">
        <v>62</v>
      </c>
      <c r="R130" s="22" t="s">
        <v>62</v>
      </c>
      <c r="S130" s="22">
        <v>28</v>
      </c>
      <c r="T130" s="19">
        <v>28</v>
      </c>
      <c r="U130" s="21">
        <v>20</v>
      </c>
      <c r="V130" s="21">
        <v>18</v>
      </c>
      <c r="W130" s="21">
        <v>16</v>
      </c>
      <c r="X130" s="22">
        <v>18</v>
      </c>
      <c r="Y130" s="19">
        <v>72</v>
      </c>
      <c r="Z130" s="19">
        <v>65</v>
      </c>
      <c r="AA130" s="19">
        <v>58</v>
      </c>
      <c r="AB130" s="19">
        <v>65</v>
      </c>
      <c r="AC130" s="19">
        <v>0</v>
      </c>
      <c r="AD130" s="19">
        <v>7</v>
      </c>
      <c r="AE130" s="19">
        <v>13</v>
      </c>
      <c r="AF130" s="19">
        <v>14</v>
      </c>
      <c r="AG130" s="22">
        <v>17</v>
      </c>
      <c r="AH130" s="19">
        <v>25</v>
      </c>
      <c r="AI130" s="19">
        <v>47</v>
      </c>
      <c r="AJ130" s="19">
        <v>51</v>
      </c>
      <c r="AK130" s="19">
        <v>61</v>
      </c>
      <c r="AL130" s="19">
        <v>0</v>
      </c>
      <c r="AM130" s="21" t="s">
        <v>62</v>
      </c>
      <c r="AN130" s="21" t="s">
        <v>62</v>
      </c>
      <c r="AO130" s="21" t="s">
        <v>62</v>
      </c>
      <c r="AP130" s="21" t="s">
        <v>62</v>
      </c>
      <c r="AQ130" s="21" t="s">
        <v>62</v>
      </c>
      <c r="AR130" s="21" t="s">
        <v>62</v>
      </c>
      <c r="AS130" s="21" t="s">
        <v>62</v>
      </c>
      <c r="AT130" s="21" t="s">
        <v>62</v>
      </c>
      <c r="AU130" s="21" t="s">
        <v>62</v>
      </c>
      <c r="AV130" s="21" t="s">
        <v>62</v>
      </c>
      <c r="AW130" s="21" t="s">
        <v>62</v>
      </c>
      <c r="AX130" s="21" t="s">
        <v>62</v>
      </c>
      <c r="AY130" s="21" t="s">
        <v>62</v>
      </c>
      <c r="AZ130" s="21" t="s">
        <v>62</v>
      </c>
      <c r="BA130" s="21" t="s">
        <v>62</v>
      </c>
      <c r="BB130" s="21" t="s">
        <v>62</v>
      </c>
      <c r="BC130" s="21" t="s">
        <v>62</v>
      </c>
      <c r="BD130" s="21" t="s">
        <v>62</v>
      </c>
      <c r="BE130" s="21" t="s">
        <v>62</v>
      </c>
      <c r="BF130" s="21" t="s">
        <v>62</v>
      </c>
      <c r="BG130" s="21" t="s">
        <v>62</v>
      </c>
      <c r="BH130" s="21" t="s">
        <v>62</v>
      </c>
      <c r="BI130" s="20" t="s">
        <v>62</v>
      </c>
      <c r="BJ130" s="21" t="s">
        <v>62</v>
      </c>
      <c r="BK130" s="21" t="s">
        <v>62</v>
      </c>
      <c r="BL130" s="21" t="s">
        <v>62</v>
      </c>
      <c r="BM130" s="21" t="s">
        <v>62</v>
      </c>
      <c r="BN130" s="21" t="s">
        <v>62</v>
      </c>
      <c r="BO130" s="21" t="s">
        <v>62</v>
      </c>
      <c r="BP130" s="21" t="s">
        <v>62</v>
      </c>
      <c r="BQ130" s="21" t="s">
        <v>62</v>
      </c>
      <c r="BR130" s="21" t="s">
        <v>62</v>
      </c>
      <c r="BS130" s="21" t="s">
        <v>62</v>
      </c>
      <c r="BT130" s="21" t="s">
        <v>62</v>
      </c>
      <c r="BU130" s="21" t="s">
        <v>62</v>
      </c>
      <c r="BV130" s="21" t="s">
        <v>62</v>
      </c>
      <c r="BW130" s="21" t="s">
        <v>62</v>
      </c>
      <c r="BX130" s="21" t="s">
        <v>62</v>
      </c>
      <c r="BY130" s="21" t="s">
        <v>62</v>
      </c>
      <c r="BZ130" s="21" t="s">
        <v>62</v>
      </c>
      <c r="CA130" s="21" t="s">
        <v>62</v>
      </c>
      <c r="CB130" s="21" t="s">
        <v>62</v>
      </c>
      <c r="CC130" s="21" t="s">
        <v>62</v>
      </c>
      <c r="CD130" s="21" t="s">
        <v>62</v>
      </c>
      <c r="CE130" s="21" t="s">
        <v>62</v>
      </c>
      <c r="CF130" s="20" t="s">
        <v>62</v>
      </c>
      <c r="CG130" s="20" t="s">
        <v>71</v>
      </c>
      <c r="CH130" s="20">
        <v>2.5089999999999999E-3</v>
      </c>
      <c r="CI130" s="19">
        <v>0</v>
      </c>
      <c r="CJ130" s="78">
        <v>3</v>
      </c>
      <c r="CK130" s="78" t="s">
        <v>224</v>
      </c>
      <c r="CL130" s="78" t="s">
        <v>224</v>
      </c>
      <c r="CM130" s="78">
        <v>811.56421</v>
      </c>
      <c r="CN130" s="78">
        <v>2</v>
      </c>
      <c r="CO130" s="78" t="s">
        <v>224</v>
      </c>
      <c r="CP130" s="78" t="s">
        <v>224</v>
      </c>
      <c r="CQ130" s="78" t="s">
        <v>224</v>
      </c>
      <c r="CR130" s="12" t="str">
        <f>IF(COUNTIF(Incl!A:A,Raw!J130),1, "")</f>
        <v/>
      </c>
    </row>
    <row r="131" spans="1:96" ht="13.5" thickTop="1" thickBot="1" x14ac:dyDescent="0.3">
      <c r="A131" s="13">
        <v>128</v>
      </c>
      <c r="B131" s="14">
        <v>1</v>
      </c>
      <c r="C131" s="15">
        <v>828.94506000000001</v>
      </c>
      <c r="D131" s="14">
        <v>131</v>
      </c>
      <c r="E131" s="14">
        <v>1</v>
      </c>
      <c r="F131" s="14">
        <v>160</v>
      </c>
      <c r="G131" s="16">
        <v>143</v>
      </c>
      <c r="H131" s="14">
        <v>143</v>
      </c>
      <c r="I131" s="14">
        <v>143</v>
      </c>
      <c r="J131" s="14">
        <v>143</v>
      </c>
      <c r="K131" s="15" t="s">
        <v>106</v>
      </c>
      <c r="L131" s="15" t="s">
        <v>107</v>
      </c>
      <c r="M131" s="15" t="s">
        <v>109</v>
      </c>
      <c r="N131" s="16" t="s">
        <v>62</v>
      </c>
      <c r="O131" s="17" t="s">
        <v>62</v>
      </c>
      <c r="P131" s="17" t="s">
        <v>62</v>
      </c>
      <c r="Q131" s="17" t="s">
        <v>62</v>
      </c>
      <c r="R131" s="17" t="s">
        <v>62</v>
      </c>
      <c r="S131" s="17">
        <v>27</v>
      </c>
      <c r="T131" s="14">
        <v>27</v>
      </c>
      <c r="U131" s="16">
        <v>13</v>
      </c>
      <c r="V131" s="16">
        <v>14</v>
      </c>
      <c r="W131" s="16">
        <v>15</v>
      </c>
      <c r="X131" s="17">
        <v>15</v>
      </c>
      <c r="Y131" s="14">
        <v>48</v>
      </c>
      <c r="Z131" s="14">
        <v>51</v>
      </c>
      <c r="AA131" s="14">
        <v>55</v>
      </c>
      <c r="AB131" s="14">
        <v>55</v>
      </c>
      <c r="AC131" s="14">
        <v>0</v>
      </c>
      <c r="AD131" s="14">
        <v>11</v>
      </c>
      <c r="AE131" s="14">
        <v>11</v>
      </c>
      <c r="AF131" s="14">
        <v>15</v>
      </c>
      <c r="AG131" s="17">
        <v>19</v>
      </c>
      <c r="AH131" s="14">
        <v>40</v>
      </c>
      <c r="AI131" s="14">
        <v>40</v>
      </c>
      <c r="AJ131" s="14">
        <v>55</v>
      </c>
      <c r="AK131" s="14">
        <v>70</v>
      </c>
      <c r="AL131" s="14">
        <v>0</v>
      </c>
      <c r="AM131" s="16" t="s">
        <v>62</v>
      </c>
      <c r="AN131" s="16" t="s">
        <v>62</v>
      </c>
      <c r="AO131" s="16" t="s">
        <v>62</v>
      </c>
      <c r="AP131" s="16" t="s">
        <v>62</v>
      </c>
      <c r="AQ131" s="16" t="s">
        <v>62</v>
      </c>
      <c r="AR131" s="16" t="s">
        <v>62</v>
      </c>
      <c r="AS131" s="16" t="s">
        <v>62</v>
      </c>
      <c r="AT131" s="16" t="s">
        <v>62</v>
      </c>
      <c r="AU131" s="16" t="s">
        <v>62</v>
      </c>
      <c r="AV131" s="16" t="s">
        <v>62</v>
      </c>
      <c r="AW131" s="16" t="s">
        <v>62</v>
      </c>
      <c r="AX131" s="16" t="s">
        <v>62</v>
      </c>
      <c r="AY131" s="16" t="s">
        <v>62</v>
      </c>
      <c r="AZ131" s="16" t="s">
        <v>62</v>
      </c>
      <c r="BA131" s="16" t="s">
        <v>62</v>
      </c>
      <c r="BB131" s="16" t="s">
        <v>62</v>
      </c>
      <c r="BC131" s="16" t="s">
        <v>62</v>
      </c>
      <c r="BD131" s="16" t="s">
        <v>62</v>
      </c>
      <c r="BE131" s="16" t="s">
        <v>62</v>
      </c>
      <c r="BF131" s="16" t="s">
        <v>62</v>
      </c>
      <c r="BG131" s="16" t="s">
        <v>62</v>
      </c>
      <c r="BH131" s="16" t="s">
        <v>62</v>
      </c>
      <c r="BI131" s="15" t="s">
        <v>62</v>
      </c>
      <c r="BJ131" s="16" t="s">
        <v>62</v>
      </c>
      <c r="BK131" s="16" t="s">
        <v>62</v>
      </c>
      <c r="BL131" s="16" t="s">
        <v>62</v>
      </c>
      <c r="BM131" s="16" t="s">
        <v>62</v>
      </c>
      <c r="BN131" s="16" t="s">
        <v>62</v>
      </c>
      <c r="BO131" s="16" t="s">
        <v>62</v>
      </c>
      <c r="BP131" s="16" t="s">
        <v>62</v>
      </c>
      <c r="BQ131" s="16" t="s">
        <v>62</v>
      </c>
      <c r="BR131" s="16" t="s">
        <v>62</v>
      </c>
      <c r="BS131" s="16" t="s">
        <v>62</v>
      </c>
      <c r="BT131" s="16" t="s">
        <v>62</v>
      </c>
      <c r="BU131" s="16" t="s">
        <v>62</v>
      </c>
      <c r="BV131" s="16" t="s">
        <v>62</v>
      </c>
      <c r="BW131" s="16" t="s">
        <v>62</v>
      </c>
      <c r="BX131" s="16" t="s">
        <v>62</v>
      </c>
      <c r="BY131" s="16" t="s">
        <v>62</v>
      </c>
      <c r="BZ131" s="16" t="s">
        <v>62</v>
      </c>
      <c r="CA131" s="16" t="s">
        <v>62</v>
      </c>
      <c r="CB131" s="16" t="s">
        <v>62</v>
      </c>
      <c r="CC131" s="16" t="s">
        <v>62</v>
      </c>
      <c r="CD131" s="16" t="s">
        <v>62</v>
      </c>
      <c r="CE131" s="16" t="s">
        <v>62</v>
      </c>
      <c r="CF131" s="15" t="s">
        <v>62</v>
      </c>
      <c r="CG131" s="15" t="s">
        <v>74</v>
      </c>
      <c r="CH131" s="15">
        <v>2.539E-3</v>
      </c>
      <c r="CI131" s="14">
        <v>0</v>
      </c>
      <c r="CJ131" s="79">
        <v>3</v>
      </c>
      <c r="CK131" s="79" t="s">
        <v>224</v>
      </c>
      <c r="CL131" s="79" t="s">
        <v>224</v>
      </c>
      <c r="CM131" s="79">
        <v>828.94522700000005</v>
      </c>
      <c r="CN131" s="79">
        <v>2</v>
      </c>
      <c r="CO131" s="79" t="s">
        <v>224</v>
      </c>
      <c r="CP131" s="79" t="s">
        <v>224</v>
      </c>
      <c r="CQ131" s="79" t="s">
        <v>224</v>
      </c>
      <c r="CR131" s="12" t="str">
        <f>IF(COUNTIF(Incl!A:A,Raw!J131),1, "")</f>
        <v/>
      </c>
    </row>
    <row r="132" spans="1:96" ht="13.5" thickTop="1" thickBot="1" x14ac:dyDescent="0.3">
      <c r="A132" s="18">
        <v>129</v>
      </c>
      <c r="B132" s="19">
        <v>1</v>
      </c>
      <c r="C132" s="20">
        <v>219.38721899999999</v>
      </c>
      <c r="D132" s="19">
        <v>132</v>
      </c>
      <c r="E132" s="19">
        <v>1</v>
      </c>
      <c r="F132" s="19">
        <v>161</v>
      </c>
      <c r="G132" s="21">
        <v>213</v>
      </c>
      <c r="H132" s="19">
        <v>213</v>
      </c>
      <c r="I132" s="19">
        <v>213</v>
      </c>
      <c r="J132" s="19">
        <v>213</v>
      </c>
      <c r="K132" s="20" t="s">
        <v>112</v>
      </c>
      <c r="L132" s="20" t="s">
        <v>95</v>
      </c>
      <c r="M132" s="20" t="s">
        <v>114</v>
      </c>
      <c r="N132" s="21" t="s">
        <v>62</v>
      </c>
      <c r="O132" s="22">
        <v>8</v>
      </c>
      <c r="P132" s="22" t="s">
        <v>62</v>
      </c>
      <c r="Q132" s="22" t="s">
        <v>62</v>
      </c>
      <c r="R132" s="22" t="s">
        <v>62</v>
      </c>
      <c r="S132" s="22" t="s">
        <v>62</v>
      </c>
      <c r="T132" s="19">
        <v>8</v>
      </c>
      <c r="U132" s="21">
        <v>4</v>
      </c>
      <c r="V132" s="21">
        <v>8</v>
      </c>
      <c r="W132" s="21">
        <v>8</v>
      </c>
      <c r="X132" s="22">
        <v>8</v>
      </c>
      <c r="Y132" s="19">
        <v>53</v>
      </c>
      <c r="Z132" s="19">
        <v>107</v>
      </c>
      <c r="AA132" s="19">
        <v>107</v>
      </c>
      <c r="AB132" s="19">
        <v>107</v>
      </c>
      <c r="AC132" s="19">
        <v>3</v>
      </c>
      <c r="AD132" s="19">
        <v>5</v>
      </c>
      <c r="AE132" s="19">
        <v>5</v>
      </c>
      <c r="AF132" s="19">
        <v>5</v>
      </c>
      <c r="AG132" s="22">
        <v>5</v>
      </c>
      <c r="AH132" s="19">
        <v>67</v>
      </c>
      <c r="AI132" s="19">
        <v>67</v>
      </c>
      <c r="AJ132" s="19">
        <v>67</v>
      </c>
      <c r="AK132" s="19">
        <v>67</v>
      </c>
      <c r="AL132" s="19">
        <v>0</v>
      </c>
      <c r="AM132" s="21" t="s">
        <v>62</v>
      </c>
      <c r="AN132" s="21" t="s">
        <v>62</v>
      </c>
      <c r="AO132" s="21" t="s">
        <v>62</v>
      </c>
      <c r="AP132" s="21" t="s">
        <v>62</v>
      </c>
      <c r="AQ132" s="21" t="s">
        <v>62</v>
      </c>
      <c r="AR132" s="21" t="s">
        <v>62</v>
      </c>
      <c r="AS132" s="21" t="s">
        <v>62</v>
      </c>
      <c r="AT132" s="21" t="s">
        <v>62</v>
      </c>
      <c r="AU132" s="21" t="s">
        <v>62</v>
      </c>
      <c r="AV132" s="21" t="s">
        <v>62</v>
      </c>
      <c r="AW132" s="21" t="s">
        <v>62</v>
      </c>
      <c r="AX132" s="21" t="s">
        <v>62</v>
      </c>
      <c r="AY132" s="21" t="s">
        <v>62</v>
      </c>
      <c r="AZ132" s="21" t="s">
        <v>62</v>
      </c>
      <c r="BA132" s="21" t="s">
        <v>62</v>
      </c>
      <c r="BB132" s="21" t="s">
        <v>62</v>
      </c>
      <c r="BC132" s="21" t="s">
        <v>62</v>
      </c>
      <c r="BD132" s="21" t="s">
        <v>62</v>
      </c>
      <c r="BE132" s="21" t="s">
        <v>62</v>
      </c>
      <c r="BF132" s="21" t="s">
        <v>62</v>
      </c>
      <c r="BG132" s="21" t="s">
        <v>62</v>
      </c>
      <c r="BH132" s="21" t="s">
        <v>62</v>
      </c>
      <c r="BI132" s="20" t="s">
        <v>62</v>
      </c>
      <c r="BJ132" s="21" t="s">
        <v>62</v>
      </c>
      <c r="BK132" s="21" t="s">
        <v>62</v>
      </c>
      <c r="BL132" s="21" t="s">
        <v>62</v>
      </c>
      <c r="BM132" s="21" t="s">
        <v>62</v>
      </c>
      <c r="BN132" s="21" t="s">
        <v>62</v>
      </c>
      <c r="BO132" s="21" t="s">
        <v>62</v>
      </c>
      <c r="BP132" s="21" t="s">
        <v>62</v>
      </c>
      <c r="BQ132" s="21" t="s">
        <v>62</v>
      </c>
      <c r="BR132" s="21" t="s">
        <v>62</v>
      </c>
      <c r="BS132" s="21" t="s">
        <v>62</v>
      </c>
      <c r="BT132" s="21" t="s">
        <v>62</v>
      </c>
      <c r="BU132" s="21" t="s">
        <v>62</v>
      </c>
      <c r="BV132" s="21" t="s">
        <v>62</v>
      </c>
      <c r="BW132" s="21" t="s">
        <v>62</v>
      </c>
      <c r="BX132" s="21" t="s">
        <v>62</v>
      </c>
      <c r="BY132" s="21" t="s">
        <v>62</v>
      </c>
      <c r="BZ132" s="21" t="s">
        <v>62</v>
      </c>
      <c r="CA132" s="21" t="s">
        <v>62</v>
      </c>
      <c r="CB132" s="22" t="s">
        <v>62</v>
      </c>
      <c r="CC132" s="21" t="s">
        <v>62</v>
      </c>
      <c r="CD132" s="21" t="s">
        <v>62</v>
      </c>
      <c r="CE132" s="21" t="s">
        <v>62</v>
      </c>
      <c r="CF132" s="20" t="s">
        <v>62</v>
      </c>
      <c r="CG132" s="20" t="s">
        <v>66</v>
      </c>
      <c r="CH132" s="20">
        <v>6.9899999999999997E-4</v>
      </c>
      <c r="CI132" s="19">
        <v>3</v>
      </c>
      <c r="CJ132" s="78">
        <v>3</v>
      </c>
      <c r="CK132" s="78" t="s">
        <v>224</v>
      </c>
      <c r="CL132" s="78" t="s">
        <v>224</v>
      </c>
      <c r="CM132" s="78">
        <v>219.38713200000001</v>
      </c>
      <c r="CN132" s="78">
        <v>2</v>
      </c>
      <c r="CO132" s="78" t="s">
        <v>224</v>
      </c>
      <c r="CP132" s="78" t="s">
        <v>224</v>
      </c>
      <c r="CQ132" s="78" t="s">
        <v>224</v>
      </c>
      <c r="CR132" s="12" t="str">
        <f>IF(COUNTIF(Incl!A:A,Raw!J132),1, "")</f>
        <v/>
      </c>
    </row>
    <row r="133" spans="1:96" ht="13.5" thickTop="1" thickBot="1" x14ac:dyDescent="0.3">
      <c r="A133" s="18">
        <v>130</v>
      </c>
      <c r="B133" s="19">
        <v>1</v>
      </c>
      <c r="C133" s="20">
        <v>166.21098599999999</v>
      </c>
      <c r="D133" s="19">
        <v>133</v>
      </c>
      <c r="E133" s="19">
        <v>1</v>
      </c>
      <c r="F133" s="19">
        <v>162</v>
      </c>
      <c r="G133" s="21">
        <v>214</v>
      </c>
      <c r="H133" s="19">
        <v>214</v>
      </c>
      <c r="I133" s="19">
        <v>214</v>
      </c>
      <c r="J133" s="19">
        <v>214</v>
      </c>
      <c r="K133" s="20" t="s">
        <v>112</v>
      </c>
      <c r="L133" s="20" t="s">
        <v>114</v>
      </c>
      <c r="M133" s="20" t="s">
        <v>115</v>
      </c>
      <c r="N133" s="21" t="s">
        <v>62</v>
      </c>
      <c r="O133" s="22">
        <v>6</v>
      </c>
      <c r="P133" s="22" t="s">
        <v>62</v>
      </c>
      <c r="Q133" s="22" t="s">
        <v>62</v>
      </c>
      <c r="R133" s="22" t="s">
        <v>62</v>
      </c>
      <c r="S133" s="22" t="s">
        <v>62</v>
      </c>
      <c r="T133" s="19">
        <v>6</v>
      </c>
      <c r="U133" s="21">
        <v>6</v>
      </c>
      <c r="V133" s="21">
        <v>6</v>
      </c>
      <c r="W133" s="21">
        <v>6</v>
      </c>
      <c r="X133" s="22">
        <v>6</v>
      </c>
      <c r="Y133" s="19">
        <v>109</v>
      </c>
      <c r="Z133" s="19">
        <v>109</v>
      </c>
      <c r="AA133" s="19">
        <v>109</v>
      </c>
      <c r="AB133" s="19">
        <v>109</v>
      </c>
      <c r="AC133" s="19">
        <v>4</v>
      </c>
      <c r="AD133" s="19">
        <v>6</v>
      </c>
      <c r="AE133" s="19">
        <v>6</v>
      </c>
      <c r="AF133" s="19">
        <v>6</v>
      </c>
      <c r="AG133" s="22">
        <v>5</v>
      </c>
      <c r="AH133" s="19">
        <v>109</v>
      </c>
      <c r="AI133" s="19">
        <v>109</v>
      </c>
      <c r="AJ133" s="19">
        <v>109</v>
      </c>
      <c r="AK133" s="19">
        <v>91</v>
      </c>
      <c r="AL133" s="19">
        <v>4</v>
      </c>
      <c r="AM133" s="21" t="s">
        <v>62</v>
      </c>
      <c r="AN133" s="21" t="s">
        <v>62</v>
      </c>
      <c r="AO133" s="21" t="s">
        <v>62</v>
      </c>
      <c r="AP133" s="21" t="s">
        <v>62</v>
      </c>
      <c r="AQ133" s="21" t="s">
        <v>62</v>
      </c>
      <c r="AR133" s="21" t="s">
        <v>62</v>
      </c>
      <c r="AS133" s="21" t="s">
        <v>62</v>
      </c>
      <c r="AT133" s="21" t="s">
        <v>62</v>
      </c>
      <c r="AU133" s="21" t="s">
        <v>62</v>
      </c>
      <c r="AV133" s="21" t="s">
        <v>62</v>
      </c>
      <c r="AW133" s="21" t="s">
        <v>62</v>
      </c>
      <c r="AX133" s="21" t="s">
        <v>62</v>
      </c>
      <c r="AY133" s="21" t="s">
        <v>62</v>
      </c>
      <c r="AZ133" s="21" t="s">
        <v>62</v>
      </c>
      <c r="BA133" s="21" t="s">
        <v>62</v>
      </c>
      <c r="BB133" s="21" t="s">
        <v>62</v>
      </c>
      <c r="BC133" s="21" t="s">
        <v>62</v>
      </c>
      <c r="BD133" s="21" t="s">
        <v>62</v>
      </c>
      <c r="BE133" s="21" t="s">
        <v>62</v>
      </c>
      <c r="BF133" s="21" t="s">
        <v>62</v>
      </c>
      <c r="BG133" s="21" t="s">
        <v>62</v>
      </c>
      <c r="BH133" s="21" t="s">
        <v>62</v>
      </c>
      <c r="BI133" s="20" t="s">
        <v>62</v>
      </c>
      <c r="BJ133" s="21" t="s">
        <v>62</v>
      </c>
      <c r="BK133" s="21" t="s">
        <v>62</v>
      </c>
      <c r="BL133" s="21" t="s">
        <v>62</v>
      </c>
      <c r="BM133" s="21" t="s">
        <v>62</v>
      </c>
      <c r="BN133" s="21" t="s">
        <v>62</v>
      </c>
      <c r="BO133" s="21" t="s">
        <v>62</v>
      </c>
      <c r="BP133" s="21" t="s">
        <v>62</v>
      </c>
      <c r="BQ133" s="21" t="s">
        <v>62</v>
      </c>
      <c r="BR133" s="21" t="s">
        <v>62</v>
      </c>
      <c r="BS133" s="21" t="s">
        <v>62</v>
      </c>
      <c r="BT133" s="21" t="s">
        <v>62</v>
      </c>
      <c r="BU133" s="21" t="s">
        <v>62</v>
      </c>
      <c r="BV133" s="21" t="s">
        <v>62</v>
      </c>
      <c r="BW133" s="21" t="s">
        <v>62</v>
      </c>
      <c r="BX133" s="21" t="s">
        <v>62</v>
      </c>
      <c r="BY133" s="21" t="s">
        <v>62</v>
      </c>
      <c r="BZ133" s="21" t="s">
        <v>62</v>
      </c>
      <c r="CA133" s="21" t="s">
        <v>62</v>
      </c>
      <c r="CB133" s="21" t="s">
        <v>62</v>
      </c>
      <c r="CC133" s="21" t="s">
        <v>62</v>
      </c>
      <c r="CD133" s="21" t="s">
        <v>62</v>
      </c>
      <c r="CE133" s="21" t="s">
        <v>62</v>
      </c>
      <c r="CF133" s="20" t="s">
        <v>62</v>
      </c>
      <c r="CG133" s="20" t="s">
        <v>66</v>
      </c>
      <c r="CH133" s="20">
        <v>5.1900000000000004E-4</v>
      </c>
      <c r="CI133" s="19">
        <v>8</v>
      </c>
      <c r="CJ133" s="78">
        <v>3</v>
      </c>
      <c r="CK133" s="78" t="s">
        <v>224</v>
      </c>
      <c r="CL133" s="78" t="s">
        <v>224</v>
      </c>
      <c r="CM133" s="78">
        <v>166.21117100000001</v>
      </c>
      <c r="CN133" s="78">
        <v>2</v>
      </c>
      <c r="CO133" s="78" t="s">
        <v>224</v>
      </c>
      <c r="CP133" s="78" t="s">
        <v>224</v>
      </c>
      <c r="CQ133" s="78" t="s">
        <v>224</v>
      </c>
      <c r="CR133" s="12" t="str">
        <f>IF(COUNTIF(Incl!A:A,Raw!J133),1, "")</f>
        <v/>
      </c>
    </row>
    <row r="134" spans="1:96" ht="13.5" thickTop="1" thickBot="1" x14ac:dyDescent="0.3">
      <c r="A134" s="13">
        <v>131</v>
      </c>
      <c r="B134" s="14">
        <v>1</v>
      </c>
      <c r="C134" s="15">
        <v>172.59587999999999</v>
      </c>
      <c r="D134" s="14">
        <v>134</v>
      </c>
      <c r="E134" s="14">
        <v>1</v>
      </c>
      <c r="F134" s="14">
        <v>163</v>
      </c>
      <c r="G134" s="16">
        <v>215</v>
      </c>
      <c r="H134" s="14">
        <v>215</v>
      </c>
      <c r="I134" s="14">
        <v>215</v>
      </c>
      <c r="J134" s="14">
        <v>215</v>
      </c>
      <c r="K134" s="15" t="s">
        <v>112</v>
      </c>
      <c r="L134" s="15" t="s">
        <v>115</v>
      </c>
      <c r="M134" s="15" t="s">
        <v>69</v>
      </c>
      <c r="N134" s="17" t="s">
        <v>62</v>
      </c>
      <c r="O134" s="17">
        <v>6</v>
      </c>
      <c r="P134" s="17" t="s">
        <v>62</v>
      </c>
      <c r="Q134" s="17" t="s">
        <v>62</v>
      </c>
      <c r="R134" s="17" t="s">
        <v>62</v>
      </c>
      <c r="S134" s="17" t="s">
        <v>62</v>
      </c>
      <c r="T134" s="14">
        <v>6</v>
      </c>
      <c r="U134" s="17">
        <v>6</v>
      </c>
      <c r="V134" s="17">
        <v>6</v>
      </c>
      <c r="W134" s="17">
        <v>6</v>
      </c>
      <c r="X134" s="17">
        <v>6</v>
      </c>
      <c r="Y134" s="14">
        <v>98</v>
      </c>
      <c r="Z134" s="14">
        <v>98</v>
      </c>
      <c r="AA134" s="14">
        <v>98</v>
      </c>
      <c r="AB134" s="14">
        <v>98</v>
      </c>
      <c r="AC134" s="14">
        <v>4</v>
      </c>
      <c r="AD134" s="14">
        <v>5</v>
      </c>
      <c r="AE134" s="14">
        <v>5</v>
      </c>
      <c r="AF134" s="14">
        <v>2</v>
      </c>
      <c r="AG134" s="17">
        <v>4</v>
      </c>
      <c r="AH134" s="14">
        <v>82</v>
      </c>
      <c r="AI134" s="14">
        <v>82</v>
      </c>
      <c r="AJ134" s="14">
        <v>33</v>
      </c>
      <c r="AK134" s="14">
        <v>66</v>
      </c>
      <c r="AL134" s="14">
        <v>2</v>
      </c>
      <c r="AM134" s="16" t="s">
        <v>62</v>
      </c>
      <c r="AN134" s="16" t="s">
        <v>62</v>
      </c>
      <c r="AO134" s="16" t="s">
        <v>62</v>
      </c>
      <c r="AP134" s="16" t="s">
        <v>62</v>
      </c>
      <c r="AQ134" s="16" t="s">
        <v>62</v>
      </c>
      <c r="AR134" s="16" t="s">
        <v>62</v>
      </c>
      <c r="AS134" s="16" t="s">
        <v>62</v>
      </c>
      <c r="AT134" s="16" t="s">
        <v>62</v>
      </c>
      <c r="AU134" s="16" t="s">
        <v>62</v>
      </c>
      <c r="AV134" s="16" t="s">
        <v>62</v>
      </c>
      <c r="AW134" s="16" t="s">
        <v>62</v>
      </c>
      <c r="AX134" s="16" t="s">
        <v>62</v>
      </c>
      <c r="AY134" s="16" t="s">
        <v>62</v>
      </c>
      <c r="AZ134" s="16" t="s">
        <v>62</v>
      </c>
      <c r="BA134" s="16" t="s">
        <v>62</v>
      </c>
      <c r="BB134" s="16" t="s">
        <v>62</v>
      </c>
      <c r="BC134" s="16" t="s">
        <v>62</v>
      </c>
      <c r="BD134" s="16" t="s">
        <v>62</v>
      </c>
      <c r="BE134" s="16" t="s">
        <v>62</v>
      </c>
      <c r="BF134" s="16" t="s">
        <v>62</v>
      </c>
      <c r="BG134" s="16" t="s">
        <v>62</v>
      </c>
      <c r="BH134" s="16" t="s">
        <v>62</v>
      </c>
      <c r="BI134" s="15" t="s">
        <v>62</v>
      </c>
      <c r="BJ134" s="16" t="s">
        <v>62</v>
      </c>
      <c r="BK134" s="16" t="s">
        <v>62</v>
      </c>
      <c r="BL134" s="16" t="s">
        <v>62</v>
      </c>
      <c r="BM134" s="16" t="s">
        <v>62</v>
      </c>
      <c r="BN134" s="16" t="s">
        <v>62</v>
      </c>
      <c r="BO134" s="16" t="s">
        <v>62</v>
      </c>
      <c r="BP134" s="16" t="s">
        <v>62</v>
      </c>
      <c r="BQ134" s="16" t="s">
        <v>62</v>
      </c>
      <c r="BR134" s="16" t="s">
        <v>62</v>
      </c>
      <c r="BS134" s="16" t="s">
        <v>62</v>
      </c>
      <c r="BT134" s="16" t="s">
        <v>62</v>
      </c>
      <c r="BU134" s="16" t="s">
        <v>62</v>
      </c>
      <c r="BV134" s="16" t="s">
        <v>62</v>
      </c>
      <c r="BW134" s="16" t="s">
        <v>62</v>
      </c>
      <c r="BX134" s="16" t="s">
        <v>62</v>
      </c>
      <c r="BY134" s="16" t="s">
        <v>62</v>
      </c>
      <c r="BZ134" s="16" t="s">
        <v>62</v>
      </c>
      <c r="CA134" s="16" t="s">
        <v>62</v>
      </c>
      <c r="CB134" s="16" t="s">
        <v>62</v>
      </c>
      <c r="CC134" s="16" t="s">
        <v>62</v>
      </c>
      <c r="CD134" s="16" t="s">
        <v>62</v>
      </c>
      <c r="CE134" s="16" t="s">
        <v>62</v>
      </c>
      <c r="CF134" s="15" t="s">
        <v>62</v>
      </c>
      <c r="CG134" s="15" t="s">
        <v>66</v>
      </c>
      <c r="CH134" s="15">
        <v>5.4100000000000003E-4</v>
      </c>
      <c r="CI134" s="14">
        <v>6</v>
      </c>
      <c r="CJ134" s="79">
        <v>3</v>
      </c>
      <c r="CK134" s="79" t="s">
        <v>224</v>
      </c>
      <c r="CL134" s="79" t="s">
        <v>224</v>
      </c>
      <c r="CM134" s="79">
        <v>172.59585100000001</v>
      </c>
      <c r="CN134" s="79">
        <v>2</v>
      </c>
      <c r="CO134" s="79" t="s">
        <v>224</v>
      </c>
      <c r="CP134" s="79" t="s">
        <v>224</v>
      </c>
      <c r="CQ134" s="79" t="s">
        <v>224</v>
      </c>
      <c r="CR134" s="12" t="str">
        <f>IF(COUNTIF(Incl!A:A,Raw!J134),1, "")</f>
        <v/>
      </c>
    </row>
    <row r="135" spans="1:96" ht="13.5" thickTop="1" thickBot="1" x14ac:dyDescent="0.3">
      <c r="A135" s="13">
        <v>132</v>
      </c>
      <c r="B135" s="14">
        <v>1</v>
      </c>
      <c r="C135" s="15">
        <v>176.60323500000001</v>
      </c>
      <c r="D135" s="14">
        <v>135</v>
      </c>
      <c r="E135" s="14">
        <v>1</v>
      </c>
      <c r="F135" s="14">
        <v>164</v>
      </c>
      <c r="G135" s="16">
        <v>217</v>
      </c>
      <c r="H135" s="14">
        <v>217</v>
      </c>
      <c r="I135" s="14">
        <v>217</v>
      </c>
      <c r="J135" s="14">
        <v>217</v>
      </c>
      <c r="K135" s="15" t="s">
        <v>112</v>
      </c>
      <c r="L135" s="15" t="s">
        <v>82</v>
      </c>
      <c r="M135" s="15" t="s">
        <v>69</v>
      </c>
      <c r="N135" s="17" t="s">
        <v>62</v>
      </c>
      <c r="O135" s="17">
        <v>6</v>
      </c>
      <c r="P135" s="17" t="s">
        <v>62</v>
      </c>
      <c r="Q135" s="17" t="s">
        <v>62</v>
      </c>
      <c r="R135" s="17" t="s">
        <v>62</v>
      </c>
      <c r="S135" s="17" t="s">
        <v>62</v>
      </c>
      <c r="T135" s="14">
        <v>6</v>
      </c>
      <c r="U135" s="17">
        <v>5</v>
      </c>
      <c r="V135" s="17">
        <v>4</v>
      </c>
      <c r="W135" s="17">
        <v>2</v>
      </c>
      <c r="X135" s="17" t="s">
        <v>62</v>
      </c>
      <c r="Y135" s="14">
        <v>83</v>
      </c>
      <c r="Z135" s="14">
        <v>67</v>
      </c>
      <c r="AA135" s="14">
        <v>33</v>
      </c>
      <c r="AB135" s="14">
        <v>0</v>
      </c>
      <c r="AC135" s="14">
        <v>1</v>
      </c>
      <c r="AD135" s="14">
        <v>0</v>
      </c>
      <c r="AE135" s="14">
        <v>0</v>
      </c>
      <c r="AF135" s="14">
        <v>0</v>
      </c>
      <c r="AG135" s="17" t="s">
        <v>62</v>
      </c>
      <c r="AH135" s="14">
        <v>0</v>
      </c>
      <c r="AI135" s="14">
        <v>0</v>
      </c>
      <c r="AJ135" s="14">
        <v>0</v>
      </c>
      <c r="AK135" s="14">
        <v>0</v>
      </c>
      <c r="AL135" s="14">
        <v>0</v>
      </c>
      <c r="AM135" s="16">
        <v>5</v>
      </c>
      <c r="AN135" s="16">
        <v>6</v>
      </c>
      <c r="AO135" s="16">
        <v>6</v>
      </c>
      <c r="AP135" s="16">
        <v>5</v>
      </c>
      <c r="AQ135" s="16">
        <v>4</v>
      </c>
      <c r="AR135" s="16">
        <v>4</v>
      </c>
      <c r="AS135" s="16">
        <v>5</v>
      </c>
      <c r="AT135" s="16">
        <v>4</v>
      </c>
      <c r="AU135" s="16">
        <v>2</v>
      </c>
      <c r="AV135" s="16">
        <v>6</v>
      </c>
      <c r="AW135" s="16">
        <v>27</v>
      </c>
      <c r="AX135" s="16">
        <v>3</v>
      </c>
      <c r="AY135" s="16">
        <v>0</v>
      </c>
      <c r="AZ135" s="16">
        <v>2</v>
      </c>
      <c r="BA135" s="16">
        <v>0</v>
      </c>
      <c r="BB135" s="16">
        <v>1</v>
      </c>
      <c r="BC135" s="16">
        <v>0</v>
      </c>
      <c r="BD135" s="16">
        <v>0</v>
      </c>
      <c r="BE135" s="16">
        <v>0</v>
      </c>
      <c r="BF135" s="16">
        <v>0</v>
      </c>
      <c r="BG135" s="16">
        <v>33</v>
      </c>
      <c r="BH135" s="16">
        <v>5.5</v>
      </c>
      <c r="BI135" s="15" t="s">
        <v>102</v>
      </c>
      <c r="BJ135" s="16">
        <v>0</v>
      </c>
      <c r="BK135" s="16">
        <v>0</v>
      </c>
      <c r="BL135" s="16">
        <v>0</v>
      </c>
      <c r="BM135" s="16">
        <v>0</v>
      </c>
      <c r="BN135" s="16">
        <v>0</v>
      </c>
      <c r="BO135" s="16">
        <v>0</v>
      </c>
      <c r="BP135" s="16">
        <v>0</v>
      </c>
      <c r="BQ135" s="16">
        <v>0</v>
      </c>
      <c r="BR135" s="16">
        <v>0</v>
      </c>
      <c r="BS135" s="16">
        <v>0</v>
      </c>
      <c r="BT135" s="16">
        <v>0</v>
      </c>
      <c r="BU135" s="16">
        <v>0</v>
      </c>
      <c r="BV135" s="16">
        <v>0</v>
      </c>
      <c r="BW135" s="16">
        <v>0</v>
      </c>
      <c r="BX135" s="16">
        <v>0</v>
      </c>
      <c r="BY135" s="16">
        <v>0</v>
      </c>
      <c r="BZ135" s="16">
        <v>0</v>
      </c>
      <c r="CA135" s="16">
        <v>0</v>
      </c>
      <c r="CB135" s="16">
        <v>0</v>
      </c>
      <c r="CC135" s="16">
        <v>0</v>
      </c>
      <c r="CD135" s="16">
        <v>0</v>
      </c>
      <c r="CE135" s="16">
        <v>0</v>
      </c>
      <c r="CF135" s="15" t="s">
        <v>77</v>
      </c>
      <c r="CG135" s="15" t="s">
        <v>66</v>
      </c>
      <c r="CH135" s="15">
        <v>5.5699999999999999E-4</v>
      </c>
      <c r="CI135" s="14">
        <v>1</v>
      </c>
      <c r="CJ135" s="79">
        <v>1</v>
      </c>
      <c r="CK135" s="79">
        <v>1</v>
      </c>
      <c r="CL135" s="79">
        <v>1</v>
      </c>
      <c r="CM135" s="79">
        <v>176.60293100000001</v>
      </c>
      <c r="CN135" s="79">
        <v>1</v>
      </c>
      <c r="CO135" s="79">
        <v>1</v>
      </c>
      <c r="CP135" s="79" t="s">
        <v>224</v>
      </c>
      <c r="CQ135" s="79" t="s">
        <v>224</v>
      </c>
      <c r="CR135" s="12">
        <f>IF(COUNTIF(Incl!A:A,Raw!J135),1, "")</f>
        <v>1</v>
      </c>
    </row>
    <row r="136" spans="1:96" ht="13.5" thickTop="1" thickBot="1" x14ac:dyDescent="0.3">
      <c r="A136" s="13">
        <v>133</v>
      </c>
      <c r="B136" s="14">
        <v>1</v>
      </c>
      <c r="C136" s="15">
        <v>224.69200499999999</v>
      </c>
      <c r="D136" s="14">
        <v>136</v>
      </c>
      <c r="E136" s="14">
        <v>1</v>
      </c>
      <c r="F136" s="14">
        <v>165</v>
      </c>
      <c r="G136" s="16">
        <v>219</v>
      </c>
      <c r="H136" s="14">
        <v>219</v>
      </c>
      <c r="I136" s="14">
        <v>219</v>
      </c>
      <c r="J136" s="14">
        <v>219</v>
      </c>
      <c r="K136" s="15" t="s">
        <v>112</v>
      </c>
      <c r="L136" s="15" t="s">
        <v>82</v>
      </c>
      <c r="M136" s="15" t="s">
        <v>60</v>
      </c>
      <c r="N136" s="17">
        <v>7</v>
      </c>
      <c r="O136" s="17" t="s">
        <v>62</v>
      </c>
      <c r="P136" s="17" t="s">
        <v>62</v>
      </c>
      <c r="Q136" s="17" t="s">
        <v>62</v>
      </c>
      <c r="R136" s="17" t="s">
        <v>62</v>
      </c>
      <c r="S136" s="17" t="s">
        <v>62</v>
      </c>
      <c r="T136" s="14">
        <v>7</v>
      </c>
      <c r="U136" s="17">
        <v>7</v>
      </c>
      <c r="V136" s="17">
        <v>7</v>
      </c>
      <c r="W136" s="17">
        <v>7</v>
      </c>
      <c r="X136" s="17" t="s">
        <v>62</v>
      </c>
      <c r="Y136" s="14">
        <v>100</v>
      </c>
      <c r="Z136" s="14">
        <v>100</v>
      </c>
      <c r="AA136" s="14">
        <v>100</v>
      </c>
      <c r="AB136" s="14">
        <v>0</v>
      </c>
      <c r="AC136" s="14">
        <v>3</v>
      </c>
      <c r="AD136" s="14">
        <v>5</v>
      </c>
      <c r="AE136" s="14">
        <v>6</v>
      </c>
      <c r="AF136" s="14">
        <v>7</v>
      </c>
      <c r="AG136" s="17" t="s">
        <v>62</v>
      </c>
      <c r="AH136" s="14">
        <v>71</v>
      </c>
      <c r="AI136" s="14">
        <v>86</v>
      </c>
      <c r="AJ136" s="14">
        <v>100</v>
      </c>
      <c r="AK136" s="14">
        <v>0</v>
      </c>
      <c r="AL136" s="14">
        <v>2</v>
      </c>
      <c r="AM136" s="16">
        <v>7</v>
      </c>
      <c r="AN136" s="16">
        <v>7</v>
      </c>
      <c r="AO136" s="16">
        <v>7</v>
      </c>
      <c r="AP136" s="16">
        <v>7</v>
      </c>
      <c r="AQ136" s="16">
        <v>7</v>
      </c>
      <c r="AR136" s="16">
        <v>5</v>
      </c>
      <c r="AS136" s="16">
        <v>5</v>
      </c>
      <c r="AT136" s="16">
        <v>7</v>
      </c>
      <c r="AU136" s="16">
        <v>7</v>
      </c>
      <c r="AV136" s="16">
        <v>7</v>
      </c>
      <c r="AW136" s="16">
        <v>4</v>
      </c>
      <c r="AX136" s="16">
        <v>9</v>
      </c>
      <c r="AY136" s="16">
        <v>3</v>
      </c>
      <c r="AZ136" s="16">
        <v>0</v>
      </c>
      <c r="BA136" s="16">
        <v>5</v>
      </c>
      <c r="BB136" s="16">
        <v>0</v>
      </c>
      <c r="BC136" s="16">
        <v>0</v>
      </c>
      <c r="BD136" s="16">
        <v>0</v>
      </c>
      <c r="BE136" s="16">
        <v>0</v>
      </c>
      <c r="BF136" s="16">
        <v>1</v>
      </c>
      <c r="BG136" s="16">
        <v>22</v>
      </c>
      <c r="BH136" s="16">
        <v>3.1</v>
      </c>
      <c r="BI136" s="15" t="s">
        <v>65</v>
      </c>
      <c r="BJ136" s="16">
        <v>5</v>
      </c>
      <c r="BK136" s="16">
        <v>7</v>
      </c>
      <c r="BL136" s="16">
        <v>7</v>
      </c>
      <c r="BM136" s="16">
        <v>6</v>
      </c>
      <c r="BN136" s="16">
        <v>6</v>
      </c>
      <c r="BO136" s="16">
        <v>6</v>
      </c>
      <c r="BP136" s="16">
        <v>6</v>
      </c>
      <c r="BQ136" s="16">
        <v>7</v>
      </c>
      <c r="BR136" s="16">
        <v>7</v>
      </c>
      <c r="BS136" s="16">
        <v>7</v>
      </c>
      <c r="BT136" s="16">
        <v>10</v>
      </c>
      <c r="BU136" s="16">
        <v>3</v>
      </c>
      <c r="BV136" s="16">
        <v>7</v>
      </c>
      <c r="BW136" s="16">
        <v>0</v>
      </c>
      <c r="BX136" s="16">
        <v>0</v>
      </c>
      <c r="BY136" s="16">
        <v>1</v>
      </c>
      <c r="BZ136" s="16">
        <v>3</v>
      </c>
      <c r="CA136" s="16">
        <v>0</v>
      </c>
      <c r="CB136" s="16">
        <v>0</v>
      </c>
      <c r="CC136" s="16">
        <v>0</v>
      </c>
      <c r="CD136" s="16">
        <v>24</v>
      </c>
      <c r="CE136" s="16">
        <v>3.4</v>
      </c>
      <c r="CF136" s="15" t="s">
        <v>65</v>
      </c>
      <c r="CG136" s="15" t="s">
        <v>66</v>
      </c>
      <c r="CH136" s="15">
        <v>6.1899999999999998E-4</v>
      </c>
      <c r="CI136" s="14">
        <v>5</v>
      </c>
      <c r="CJ136" s="79">
        <v>1</v>
      </c>
      <c r="CK136" s="79">
        <v>1</v>
      </c>
      <c r="CL136" s="79">
        <v>1</v>
      </c>
      <c r="CM136" s="79">
        <v>197.70366999999999</v>
      </c>
      <c r="CN136" s="79">
        <v>1</v>
      </c>
      <c r="CO136" s="79">
        <v>1</v>
      </c>
      <c r="CP136" s="79" t="s">
        <v>224</v>
      </c>
      <c r="CQ136" s="79" t="s">
        <v>224</v>
      </c>
      <c r="CR136" s="12">
        <f>IF(COUNTIF(Incl!A:A,Raw!J136),1, "")</f>
        <v>1</v>
      </c>
    </row>
    <row r="137" spans="1:96" ht="13.5" thickTop="1" thickBot="1" x14ac:dyDescent="0.3">
      <c r="A137" s="18">
        <v>134</v>
      </c>
      <c r="B137" s="19">
        <v>1</v>
      </c>
      <c r="C137" s="20">
        <v>376.67319400000002</v>
      </c>
      <c r="D137" s="19">
        <v>137</v>
      </c>
      <c r="E137" s="19">
        <v>2</v>
      </c>
      <c r="F137" s="19">
        <v>166</v>
      </c>
      <c r="G137" s="21">
        <v>126</v>
      </c>
      <c r="H137" s="19">
        <v>126</v>
      </c>
      <c r="I137" s="19">
        <v>126</v>
      </c>
      <c r="J137" s="19">
        <v>126</v>
      </c>
      <c r="K137" s="20" t="s">
        <v>60</v>
      </c>
      <c r="L137" s="20" t="s">
        <v>112</v>
      </c>
      <c r="M137" s="20" t="s">
        <v>116</v>
      </c>
      <c r="N137" s="22">
        <v>19</v>
      </c>
      <c r="O137" s="22" t="s">
        <v>62</v>
      </c>
      <c r="P137" s="21" t="s">
        <v>62</v>
      </c>
      <c r="Q137" s="22">
        <v>1</v>
      </c>
      <c r="R137" s="22" t="s">
        <v>62</v>
      </c>
      <c r="S137" s="22" t="s">
        <v>62</v>
      </c>
      <c r="T137" s="19">
        <v>20</v>
      </c>
      <c r="U137" s="21">
        <v>16</v>
      </c>
      <c r="V137" s="21">
        <v>14</v>
      </c>
      <c r="W137" s="21">
        <v>14</v>
      </c>
      <c r="X137" s="21" t="s">
        <v>62</v>
      </c>
      <c r="Y137" s="19">
        <v>80</v>
      </c>
      <c r="Z137" s="19">
        <v>70</v>
      </c>
      <c r="AA137" s="19">
        <v>70</v>
      </c>
      <c r="AB137" s="19">
        <v>0</v>
      </c>
      <c r="AC137" s="19">
        <v>1</v>
      </c>
      <c r="AD137" s="19">
        <v>13</v>
      </c>
      <c r="AE137" s="19">
        <v>13</v>
      </c>
      <c r="AF137" s="19">
        <v>14</v>
      </c>
      <c r="AG137" s="21" t="s">
        <v>62</v>
      </c>
      <c r="AH137" s="19">
        <v>65</v>
      </c>
      <c r="AI137" s="19">
        <v>65</v>
      </c>
      <c r="AJ137" s="19">
        <v>70</v>
      </c>
      <c r="AK137" s="19">
        <v>0</v>
      </c>
      <c r="AL137" s="19">
        <v>0</v>
      </c>
      <c r="AM137" s="22">
        <v>16</v>
      </c>
      <c r="AN137" s="22">
        <v>16</v>
      </c>
      <c r="AO137" s="22">
        <v>16</v>
      </c>
      <c r="AP137" s="22">
        <v>14</v>
      </c>
      <c r="AQ137" s="22">
        <v>14</v>
      </c>
      <c r="AR137" s="22">
        <v>13</v>
      </c>
      <c r="AS137" s="22">
        <v>13</v>
      </c>
      <c r="AT137" s="22">
        <v>15</v>
      </c>
      <c r="AU137" s="22">
        <v>14</v>
      </c>
      <c r="AV137" s="22">
        <v>14</v>
      </c>
      <c r="AW137" s="22">
        <v>23</v>
      </c>
      <c r="AX137" s="22">
        <v>32</v>
      </c>
      <c r="AY137" s="22">
        <v>3</v>
      </c>
      <c r="AZ137" s="22">
        <v>1</v>
      </c>
      <c r="BA137" s="22">
        <v>3</v>
      </c>
      <c r="BB137" s="22">
        <v>0</v>
      </c>
      <c r="BC137" s="22">
        <v>0</v>
      </c>
      <c r="BD137" s="22">
        <v>0</v>
      </c>
      <c r="BE137" s="22">
        <v>0</v>
      </c>
      <c r="BF137" s="22">
        <v>3</v>
      </c>
      <c r="BG137" s="22">
        <v>65</v>
      </c>
      <c r="BH137" s="22">
        <v>3.3</v>
      </c>
      <c r="BI137" s="22" t="s">
        <v>65</v>
      </c>
      <c r="BJ137" s="22">
        <v>13</v>
      </c>
      <c r="BK137" s="22">
        <v>19</v>
      </c>
      <c r="BL137" s="22">
        <v>17</v>
      </c>
      <c r="BM137" s="22">
        <v>14</v>
      </c>
      <c r="BN137" s="22">
        <v>13</v>
      </c>
      <c r="BO137" s="22">
        <v>13</v>
      </c>
      <c r="BP137" s="22">
        <v>12</v>
      </c>
      <c r="BQ137" s="22">
        <v>14</v>
      </c>
      <c r="BR137" s="22">
        <v>14</v>
      </c>
      <c r="BS137" s="22">
        <v>10</v>
      </c>
      <c r="BT137" s="22">
        <v>30</v>
      </c>
      <c r="BU137" s="22">
        <v>20</v>
      </c>
      <c r="BV137" s="22">
        <v>6</v>
      </c>
      <c r="BW137" s="22">
        <v>2</v>
      </c>
      <c r="BX137" s="22">
        <v>3</v>
      </c>
      <c r="BY137" s="22">
        <v>0</v>
      </c>
      <c r="BZ137" s="22">
        <v>0</v>
      </c>
      <c r="CA137" s="22">
        <v>0</v>
      </c>
      <c r="CB137" s="22">
        <v>2</v>
      </c>
      <c r="CC137" s="22">
        <v>1</v>
      </c>
      <c r="CD137" s="22">
        <v>64</v>
      </c>
      <c r="CE137" s="22">
        <v>3.2</v>
      </c>
      <c r="CF137" s="22" t="s">
        <v>65</v>
      </c>
      <c r="CG137" s="20" t="s">
        <v>71</v>
      </c>
      <c r="CH137" s="20">
        <v>1.1659999999999999E-3</v>
      </c>
      <c r="CI137" s="19">
        <v>1</v>
      </c>
      <c r="CJ137" s="78">
        <v>1</v>
      </c>
      <c r="CK137" s="78">
        <v>1</v>
      </c>
      <c r="CL137" s="78">
        <v>1</v>
      </c>
      <c r="CM137" s="78">
        <v>376.67337400000002</v>
      </c>
      <c r="CN137" s="78">
        <v>1</v>
      </c>
      <c r="CO137" s="78">
        <v>1</v>
      </c>
      <c r="CP137" s="78" t="s">
        <v>224</v>
      </c>
      <c r="CQ137" s="78">
        <v>1</v>
      </c>
      <c r="CR137" s="12">
        <f>IF(COUNTIF(Incl!A:A,Raw!J137),1, "")</f>
        <v>1</v>
      </c>
    </row>
    <row r="138" spans="1:96" ht="13.5" thickTop="1" thickBot="1" x14ac:dyDescent="0.3">
      <c r="A138" s="13">
        <v>135</v>
      </c>
      <c r="B138" s="14">
        <v>1</v>
      </c>
      <c r="C138" s="15">
        <v>352.09328099999999</v>
      </c>
      <c r="D138" s="14">
        <v>138</v>
      </c>
      <c r="E138" s="14">
        <v>1</v>
      </c>
      <c r="F138" s="14">
        <v>167</v>
      </c>
      <c r="G138" s="16">
        <v>91</v>
      </c>
      <c r="H138" s="14">
        <v>91</v>
      </c>
      <c r="I138" s="14">
        <v>91</v>
      </c>
      <c r="J138" s="14">
        <v>91</v>
      </c>
      <c r="K138" s="15" t="s">
        <v>82</v>
      </c>
      <c r="L138" s="15" t="s">
        <v>116</v>
      </c>
      <c r="M138" s="15" t="s">
        <v>112</v>
      </c>
      <c r="N138" s="17">
        <v>15</v>
      </c>
      <c r="O138" s="17" t="s">
        <v>62</v>
      </c>
      <c r="P138" s="16" t="s">
        <v>62</v>
      </c>
      <c r="Q138" s="17" t="s">
        <v>62</v>
      </c>
      <c r="R138" s="17" t="s">
        <v>62</v>
      </c>
      <c r="S138" s="17" t="s">
        <v>62</v>
      </c>
      <c r="T138" s="14">
        <v>15</v>
      </c>
      <c r="U138" s="16">
        <v>15</v>
      </c>
      <c r="V138" s="16">
        <v>12</v>
      </c>
      <c r="W138" s="16">
        <v>15</v>
      </c>
      <c r="X138" s="16" t="s">
        <v>62</v>
      </c>
      <c r="Y138" s="14">
        <v>100</v>
      </c>
      <c r="Z138" s="14">
        <v>80</v>
      </c>
      <c r="AA138" s="14">
        <v>100</v>
      </c>
      <c r="AB138" s="14">
        <v>0</v>
      </c>
      <c r="AC138" s="14">
        <v>3</v>
      </c>
      <c r="AD138" s="14">
        <v>12</v>
      </c>
      <c r="AE138" s="14">
        <v>15</v>
      </c>
      <c r="AF138" s="14">
        <v>10</v>
      </c>
      <c r="AG138" s="16" t="s">
        <v>62</v>
      </c>
      <c r="AH138" s="14">
        <v>80</v>
      </c>
      <c r="AI138" s="14">
        <v>100</v>
      </c>
      <c r="AJ138" s="14">
        <v>67</v>
      </c>
      <c r="AK138" s="14">
        <v>0</v>
      </c>
      <c r="AL138" s="14">
        <v>2</v>
      </c>
      <c r="AM138" s="17">
        <v>15</v>
      </c>
      <c r="AN138" s="17">
        <v>15</v>
      </c>
      <c r="AO138" s="17">
        <v>15</v>
      </c>
      <c r="AP138" s="17">
        <v>14</v>
      </c>
      <c r="AQ138" s="17">
        <v>12</v>
      </c>
      <c r="AR138" s="17">
        <v>5</v>
      </c>
      <c r="AS138" s="17">
        <v>6</v>
      </c>
      <c r="AT138" s="17">
        <v>10</v>
      </c>
      <c r="AU138" s="17">
        <v>15</v>
      </c>
      <c r="AV138" s="17">
        <v>15</v>
      </c>
      <c r="AW138" s="17">
        <v>70</v>
      </c>
      <c r="AX138" s="17">
        <v>14</v>
      </c>
      <c r="AY138" s="17">
        <v>5</v>
      </c>
      <c r="AZ138" s="17">
        <v>1</v>
      </c>
      <c r="BA138" s="17">
        <v>1</v>
      </c>
      <c r="BB138" s="17">
        <v>0</v>
      </c>
      <c r="BC138" s="17">
        <v>0</v>
      </c>
      <c r="BD138" s="17">
        <v>0</v>
      </c>
      <c r="BE138" s="17">
        <v>0</v>
      </c>
      <c r="BF138" s="17">
        <v>0</v>
      </c>
      <c r="BG138" s="17">
        <v>91</v>
      </c>
      <c r="BH138" s="17">
        <v>6.1</v>
      </c>
      <c r="BI138" s="17" t="s">
        <v>99</v>
      </c>
      <c r="BJ138" s="17">
        <v>12</v>
      </c>
      <c r="BK138" s="17">
        <v>15</v>
      </c>
      <c r="BL138" s="17">
        <v>14</v>
      </c>
      <c r="BM138" s="17">
        <v>14</v>
      </c>
      <c r="BN138" s="17">
        <v>15</v>
      </c>
      <c r="BO138" s="17">
        <v>13</v>
      </c>
      <c r="BP138" s="17">
        <v>14</v>
      </c>
      <c r="BQ138" s="17">
        <v>14</v>
      </c>
      <c r="BR138" s="17">
        <v>10</v>
      </c>
      <c r="BS138" s="17">
        <v>10</v>
      </c>
      <c r="BT138" s="17">
        <v>88</v>
      </c>
      <c r="BU138" s="17">
        <v>5</v>
      </c>
      <c r="BV138" s="17">
        <v>1</v>
      </c>
      <c r="BW138" s="17">
        <v>2</v>
      </c>
      <c r="BX138" s="17">
        <v>3</v>
      </c>
      <c r="BY138" s="17">
        <v>0</v>
      </c>
      <c r="BZ138" s="17">
        <v>1</v>
      </c>
      <c r="CA138" s="17">
        <v>0</v>
      </c>
      <c r="CB138" s="17">
        <v>0</v>
      </c>
      <c r="CC138" s="17">
        <v>0</v>
      </c>
      <c r="CD138" s="17">
        <v>100</v>
      </c>
      <c r="CE138" s="17">
        <v>6.7</v>
      </c>
      <c r="CF138" s="17" t="s">
        <v>99</v>
      </c>
      <c r="CG138" s="15" t="s">
        <v>74</v>
      </c>
      <c r="CH138" s="15">
        <v>1.0629999999999999E-3</v>
      </c>
      <c r="CI138" s="14">
        <v>5</v>
      </c>
      <c r="CJ138" s="79">
        <v>1</v>
      </c>
      <c r="CK138" s="79">
        <v>1</v>
      </c>
      <c r="CL138" s="79">
        <v>1</v>
      </c>
      <c r="CM138" s="79">
        <v>341.34673099999998</v>
      </c>
      <c r="CN138" s="79">
        <v>1</v>
      </c>
      <c r="CO138" s="79">
        <v>1</v>
      </c>
      <c r="CP138" s="79">
        <v>1</v>
      </c>
      <c r="CQ138" s="79">
        <v>1</v>
      </c>
      <c r="CR138" s="12">
        <f>IF(COUNTIF(Incl!A:A,Raw!J138),1, "")</f>
        <v>1</v>
      </c>
    </row>
    <row r="139" spans="1:96" ht="13.5" thickTop="1" thickBot="1" x14ac:dyDescent="0.3">
      <c r="A139" s="13">
        <v>136</v>
      </c>
      <c r="B139" s="14">
        <v>1</v>
      </c>
      <c r="C139" s="15">
        <v>324.45829800000001</v>
      </c>
      <c r="D139" s="14">
        <v>139</v>
      </c>
      <c r="E139" s="14">
        <v>1</v>
      </c>
      <c r="F139" s="14">
        <v>168</v>
      </c>
      <c r="G139" s="16">
        <v>90</v>
      </c>
      <c r="H139" s="14">
        <v>90</v>
      </c>
      <c r="I139" s="14">
        <v>90</v>
      </c>
      <c r="J139" s="14">
        <v>90</v>
      </c>
      <c r="K139" s="15" t="s">
        <v>82</v>
      </c>
      <c r="L139" s="15" t="s">
        <v>112</v>
      </c>
      <c r="M139" s="15" t="s">
        <v>116</v>
      </c>
      <c r="N139" s="17">
        <v>20</v>
      </c>
      <c r="O139" s="17" t="s">
        <v>62</v>
      </c>
      <c r="P139" s="16" t="s">
        <v>62</v>
      </c>
      <c r="Q139" s="17">
        <v>1</v>
      </c>
      <c r="R139" s="17" t="s">
        <v>62</v>
      </c>
      <c r="S139" s="17" t="s">
        <v>62</v>
      </c>
      <c r="T139" s="14">
        <v>21</v>
      </c>
      <c r="U139" s="16">
        <v>21</v>
      </c>
      <c r="V139" s="16">
        <v>13</v>
      </c>
      <c r="W139" s="16">
        <v>21</v>
      </c>
      <c r="X139" s="16" t="s">
        <v>62</v>
      </c>
      <c r="Y139" s="14">
        <v>100</v>
      </c>
      <c r="Z139" s="14">
        <v>62</v>
      </c>
      <c r="AA139" s="14">
        <v>100</v>
      </c>
      <c r="AB139" s="14">
        <v>0</v>
      </c>
      <c r="AC139" s="14">
        <v>2</v>
      </c>
      <c r="AD139" s="14">
        <v>11</v>
      </c>
      <c r="AE139" s="14">
        <v>20</v>
      </c>
      <c r="AF139" s="14">
        <v>10</v>
      </c>
      <c r="AG139" s="16" t="s">
        <v>62</v>
      </c>
      <c r="AH139" s="14">
        <v>52</v>
      </c>
      <c r="AI139" s="14">
        <v>95</v>
      </c>
      <c r="AJ139" s="14">
        <v>48</v>
      </c>
      <c r="AK139" s="14">
        <v>0</v>
      </c>
      <c r="AL139" s="14">
        <v>1</v>
      </c>
      <c r="AM139" s="17">
        <v>21</v>
      </c>
      <c r="AN139" s="17">
        <v>21</v>
      </c>
      <c r="AO139" s="17">
        <v>21</v>
      </c>
      <c r="AP139" s="17">
        <v>21</v>
      </c>
      <c r="AQ139" s="17">
        <v>13</v>
      </c>
      <c r="AR139" s="17">
        <v>12</v>
      </c>
      <c r="AS139" s="17">
        <v>10</v>
      </c>
      <c r="AT139" s="17">
        <v>16</v>
      </c>
      <c r="AU139" s="17">
        <v>21</v>
      </c>
      <c r="AV139" s="17">
        <v>20</v>
      </c>
      <c r="AW139" s="17">
        <v>96</v>
      </c>
      <c r="AX139" s="17">
        <v>23</v>
      </c>
      <c r="AY139" s="17">
        <v>7</v>
      </c>
      <c r="AZ139" s="17">
        <v>1</v>
      </c>
      <c r="BA139" s="17">
        <v>0</v>
      </c>
      <c r="BB139" s="17">
        <v>0</v>
      </c>
      <c r="BC139" s="17">
        <v>0</v>
      </c>
      <c r="BD139" s="17">
        <v>0</v>
      </c>
      <c r="BE139" s="17">
        <v>1</v>
      </c>
      <c r="BF139" s="17">
        <v>0</v>
      </c>
      <c r="BG139" s="17">
        <v>128</v>
      </c>
      <c r="BH139" s="17">
        <v>6.1</v>
      </c>
      <c r="BI139" s="17" t="s">
        <v>99</v>
      </c>
      <c r="BJ139" s="17">
        <v>11</v>
      </c>
      <c r="BK139" s="17">
        <v>18</v>
      </c>
      <c r="BL139" s="17">
        <v>20</v>
      </c>
      <c r="BM139" s="17">
        <v>17</v>
      </c>
      <c r="BN139" s="17">
        <v>20</v>
      </c>
      <c r="BO139" s="17">
        <v>19</v>
      </c>
      <c r="BP139" s="17">
        <v>18</v>
      </c>
      <c r="BQ139" s="17">
        <v>17</v>
      </c>
      <c r="BR139" s="17">
        <v>10</v>
      </c>
      <c r="BS139" s="17">
        <v>11</v>
      </c>
      <c r="BT139" s="17">
        <v>76</v>
      </c>
      <c r="BU139" s="17">
        <v>23</v>
      </c>
      <c r="BV139" s="17">
        <v>3</v>
      </c>
      <c r="BW139" s="17">
        <v>2</v>
      </c>
      <c r="BX139" s="17">
        <v>3</v>
      </c>
      <c r="BY139" s="17">
        <v>0</v>
      </c>
      <c r="BZ139" s="17">
        <v>1</v>
      </c>
      <c r="CA139" s="17">
        <v>0</v>
      </c>
      <c r="CB139" s="17">
        <v>0</v>
      </c>
      <c r="CC139" s="17">
        <v>0</v>
      </c>
      <c r="CD139" s="17">
        <v>108</v>
      </c>
      <c r="CE139" s="17">
        <v>5.0999999999999996</v>
      </c>
      <c r="CF139" s="17" t="s">
        <v>102</v>
      </c>
      <c r="CG139" s="15" t="s">
        <v>71</v>
      </c>
      <c r="CH139" s="15">
        <v>1.01E-3</v>
      </c>
      <c r="CI139" s="14">
        <v>3</v>
      </c>
      <c r="CJ139" s="79">
        <v>1</v>
      </c>
      <c r="CK139" s="79">
        <v>1</v>
      </c>
      <c r="CL139" s="79">
        <v>1</v>
      </c>
      <c r="CM139" s="79">
        <v>324.45831199999998</v>
      </c>
      <c r="CN139" s="79">
        <v>1</v>
      </c>
      <c r="CO139" s="79">
        <v>1</v>
      </c>
      <c r="CP139" s="79">
        <v>1</v>
      </c>
      <c r="CQ139" s="79" t="s">
        <v>224</v>
      </c>
      <c r="CR139" s="12">
        <f>IF(COUNTIF(Incl!A:A,Raw!J139),1, "")</f>
        <v>1</v>
      </c>
    </row>
    <row r="140" spans="1:96" ht="13.5" thickTop="1" thickBot="1" x14ac:dyDescent="0.3">
      <c r="A140" s="18">
        <v>137</v>
      </c>
      <c r="B140" s="19">
        <v>1</v>
      </c>
      <c r="C140" s="20">
        <v>308.95653900000002</v>
      </c>
      <c r="D140" s="19">
        <v>140</v>
      </c>
      <c r="E140" s="19">
        <v>2</v>
      </c>
      <c r="F140" s="19">
        <v>169</v>
      </c>
      <c r="G140" s="21">
        <v>59</v>
      </c>
      <c r="H140" s="19">
        <v>59</v>
      </c>
      <c r="I140" s="19">
        <v>59</v>
      </c>
      <c r="J140" s="19">
        <v>59</v>
      </c>
      <c r="K140" s="20" t="s">
        <v>69</v>
      </c>
      <c r="L140" s="20" t="s">
        <v>116</v>
      </c>
      <c r="M140" s="20" t="s">
        <v>112</v>
      </c>
      <c r="N140" s="22" t="s">
        <v>62</v>
      </c>
      <c r="O140" s="22">
        <v>12</v>
      </c>
      <c r="P140" s="21" t="s">
        <v>62</v>
      </c>
      <c r="Q140" s="22" t="s">
        <v>62</v>
      </c>
      <c r="R140" s="22" t="s">
        <v>62</v>
      </c>
      <c r="S140" s="22" t="s">
        <v>62</v>
      </c>
      <c r="T140" s="19">
        <v>12</v>
      </c>
      <c r="U140" s="21">
        <v>11</v>
      </c>
      <c r="V140" s="21">
        <v>9</v>
      </c>
      <c r="W140" s="21">
        <v>13</v>
      </c>
      <c r="X140" s="21">
        <v>13</v>
      </c>
      <c r="Y140" s="19">
        <v>89</v>
      </c>
      <c r="Z140" s="19">
        <v>73</v>
      </c>
      <c r="AA140" s="19">
        <v>105</v>
      </c>
      <c r="AB140" s="19">
        <v>105</v>
      </c>
      <c r="AC140" s="19">
        <v>3</v>
      </c>
      <c r="AD140" s="19">
        <v>7</v>
      </c>
      <c r="AE140" s="19">
        <v>9</v>
      </c>
      <c r="AF140" s="19">
        <v>12</v>
      </c>
      <c r="AG140" s="21">
        <v>13</v>
      </c>
      <c r="AH140" s="19">
        <v>56</v>
      </c>
      <c r="AI140" s="19">
        <v>73</v>
      </c>
      <c r="AJ140" s="19">
        <v>97</v>
      </c>
      <c r="AK140" s="19">
        <v>105</v>
      </c>
      <c r="AL140" s="19">
        <v>2</v>
      </c>
      <c r="AM140" s="22" t="s">
        <v>62</v>
      </c>
      <c r="AN140" s="22" t="s">
        <v>62</v>
      </c>
      <c r="AO140" s="22" t="s">
        <v>62</v>
      </c>
      <c r="AP140" s="22" t="s">
        <v>62</v>
      </c>
      <c r="AQ140" s="22" t="s">
        <v>62</v>
      </c>
      <c r="AR140" s="22" t="s">
        <v>62</v>
      </c>
      <c r="AS140" s="22" t="s">
        <v>62</v>
      </c>
      <c r="AT140" s="22" t="s">
        <v>62</v>
      </c>
      <c r="AU140" s="22" t="s">
        <v>62</v>
      </c>
      <c r="AV140" s="22" t="s">
        <v>62</v>
      </c>
      <c r="AW140" s="22" t="s">
        <v>62</v>
      </c>
      <c r="AX140" s="22" t="s">
        <v>62</v>
      </c>
      <c r="AY140" s="22" t="s">
        <v>62</v>
      </c>
      <c r="AZ140" s="22" t="s">
        <v>62</v>
      </c>
      <c r="BA140" s="22" t="s">
        <v>62</v>
      </c>
      <c r="BB140" s="22" t="s">
        <v>62</v>
      </c>
      <c r="BC140" s="22" t="s">
        <v>62</v>
      </c>
      <c r="BD140" s="22" t="s">
        <v>62</v>
      </c>
      <c r="BE140" s="22" t="s">
        <v>62</v>
      </c>
      <c r="BF140" s="22" t="s">
        <v>62</v>
      </c>
      <c r="BG140" s="22" t="s">
        <v>62</v>
      </c>
      <c r="BH140" s="22" t="s">
        <v>62</v>
      </c>
      <c r="BI140" s="22" t="s">
        <v>62</v>
      </c>
      <c r="BJ140" s="22" t="s">
        <v>62</v>
      </c>
      <c r="BK140" s="22" t="s">
        <v>62</v>
      </c>
      <c r="BL140" s="22" t="s">
        <v>62</v>
      </c>
      <c r="BM140" s="22" t="s">
        <v>62</v>
      </c>
      <c r="BN140" s="22" t="s">
        <v>62</v>
      </c>
      <c r="BO140" s="22" t="s">
        <v>62</v>
      </c>
      <c r="BP140" s="22" t="s">
        <v>62</v>
      </c>
      <c r="BQ140" s="22" t="s">
        <v>62</v>
      </c>
      <c r="BR140" s="22" t="s">
        <v>62</v>
      </c>
      <c r="BS140" s="22" t="s">
        <v>62</v>
      </c>
      <c r="BT140" s="22" t="s">
        <v>62</v>
      </c>
      <c r="BU140" s="22" t="s">
        <v>62</v>
      </c>
      <c r="BV140" s="22" t="s">
        <v>62</v>
      </c>
      <c r="BW140" s="22" t="s">
        <v>62</v>
      </c>
      <c r="BX140" s="22" t="s">
        <v>62</v>
      </c>
      <c r="BY140" s="22" t="s">
        <v>62</v>
      </c>
      <c r="BZ140" s="22" t="s">
        <v>62</v>
      </c>
      <c r="CA140" s="22" t="s">
        <v>62</v>
      </c>
      <c r="CB140" s="22" t="s">
        <v>62</v>
      </c>
      <c r="CC140" s="22" t="s">
        <v>62</v>
      </c>
      <c r="CD140" s="22" t="s">
        <v>62</v>
      </c>
      <c r="CE140" s="22" t="s">
        <v>62</v>
      </c>
      <c r="CF140" s="22" t="s">
        <v>62</v>
      </c>
      <c r="CG140" s="20" t="s">
        <v>74</v>
      </c>
      <c r="CH140" s="20">
        <v>9.6400000000000001E-4</v>
      </c>
      <c r="CI140" s="19">
        <v>5</v>
      </c>
      <c r="CJ140" s="78">
        <v>3</v>
      </c>
      <c r="CK140" s="78" t="s">
        <v>224</v>
      </c>
      <c r="CL140" s="78">
        <v>0</v>
      </c>
      <c r="CM140" s="78">
        <v>308.95671199999998</v>
      </c>
      <c r="CN140" s="78">
        <v>2</v>
      </c>
      <c r="CO140" s="78" t="s">
        <v>224</v>
      </c>
      <c r="CP140" s="78" t="s">
        <v>224</v>
      </c>
      <c r="CQ140" s="78" t="s">
        <v>224</v>
      </c>
      <c r="CR140" s="12" t="str">
        <f>IF(COUNTIF(Incl!A:A,Raw!J140),1, "")</f>
        <v/>
      </c>
    </row>
    <row r="141" spans="1:96" ht="13.5" thickTop="1" thickBot="1" x14ac:dyDescent="0.3">
      <c r="A141" s="13">
        <v>138</v>
      </c>
      <c r="B141" s="14">
        <v>1</v>
      </c>
      <c r="C141" s="15">
        <v>285.51302700000002</v>
      </c>
      <c r="D141" s="14">
        <v>141</v>
      </c>
      <c r="E141" s="14">
        <v>1</v>
      </c>
      <c r="F141" s="14">
        <v>170</v>
      </c>
      <c r="G141" s="16">
        <v>58</v>
      </c>
      <c r="H141" s="14">
        <v>58</v>
      </c>
      <c r="I141" s="14">
        <v>58</v>
      </c>
      <c r="J141" s="14">
        <v>58</v>
      </c>
      <c r="K141" s="15" t="s">
        <v>69</v>
      </c>
      <c r="L141" s="15" t="s">
        <v>112</v>
      </c>
      <c r="M141" s="15" t="s">
        <v>116</v>
      </c>
      <c r="N141" s="17" t="s">
        <v>62</v>
      </c>
      <c r="O141" s="17">
        <v>13</v>
      </c>
      <c r="P141" s="17" t="s">
        <v>62</v>
      </c>
      <c r="Q141" s="17" t="s">
        <v>62</v>
      </c>
      <c r="R141" s="17" t="s">
        <v>62</v>
      </c>
      <c r="S141" s="16" t="s">
        <v>62</v>
      </c>
      <c r="T141" s="14">
        <v>13</v>
      </c>
      <c r="U141" s="16">
        <v>10</v>
      </c>
      <c r="V141" s="16">
        <v>7</v>
      </c>
      <c r="W141" s="16">
        <v>13</v>
      </c>
      <c r="X141" s="16">
        <v>11</v>
      </c>
      <c r="Y141" s="14">
        <v>78</v>
      </c>
      <c r="Z141" s="14">
        <v>55</v>
      </c>
      <c r="AA141" s="14">
        <v>102</v>
      </c>
      <c r="AB141" s="14">
        <v>86</v>
      </c>
      <c r="AC141" s="14">
        <v>3</v>
      </c>
      <c r="AD141" s="14">
        <v>9</v>
      </c>
      <c r="AE141" s="14">
        <v>9</v>
      </c>
      <c r="AF141" s="14">
        <v>12</v>
      </c>
      <c r="AG141" s="16">
        <v>12</v>
      </c>
      <c r="AH141" s="14">
        <v>70</v>
      </c>
      <c r="AI141" s="14">
        <v>70</v>
      </c>
      <c r="AJ141" s="14">
        <v>94</v>
      </c>
      <c r="AK141" s="14">
        <v>94</v>
      </c>
      <c r="AL141" s="14">
        <v>2</v>
      </c>
      <c r="AM141" s="17" t="s">
        <v>62</v>
      </c>
      <c r="AN141" s="17" t="s">
        <v>62</v>
      </c>
      <c r="AO141" s="17" t="s">
        <v>62</v>
      </c>
      <c r="AP141" s="17" t="s">
        <v>62</v>
      </c>
      <c r="AQ141" s="17" t="s">
        <v>62</v>
      </c>
      <c r="AR141" s="17" t="s">
        <v>62</v>
      </c>
      <c r="AS141" s="17" t="s">
        <v>62</v>
      </c>
      <c r="AT141" s="17" t="s">
        <v>62</v>
      </c>
      <c r="AU141" s="17" t="s">
        <v>62</v>
      </c>
      <c r="AV141" s="17" t="s">
        <v>62</v>
      </c>
      <c r="AW141" s="17" t="s">
        <v>62</v>
      </c>
      <c r="AX141" s="17" t="s">
        <v>62</v>
      </c>
      <c r="AY141" s="17" t="s">
        <v>62</v>
      </c>
      <c r="AZ141" s="17" t="s">
        <v>62</v>
      </c>
      <c r="BA141" s="17" t="s">
        <v>62</v>
      </c>
      <c r="BB141" s="17" t="s">
        <v>62</v>
      </c>
      <c r="BC141" s="17" t="s">
        <v>62</v>
      </c>
      <c r="BD141" s="17" t="s">
        <v>62</v>
      </c>
      <c r="BE141" s="17" t="s">
        <v>62</v>
      </c>
      <c r="BF141" s="17" t="s">
        <v>62</v>
      </c>
      <c r="BG141" s="17" t="s">
        <v>62</v>
      </c>
      <c r="BH141" s="17" t="s">
        <v>62</v>
      </c>
      <c r="BI141" s="17" t="s">
        <v>62</v>
      </c>
      <c r="BJ141" s="17" t="s">
        <v>62</v>
      </c>
      <c r="BK141" s="17" t="s">
        <v>62</v>
      </c>
      <c r="BL141" s="17" t="s">
        <v>62</v>
      </c>
      <c r="BM141" s="17" t="s">
        <v>62</v>
      </c>
      <c r="BN141" s="17" t="s">
        <v>62</v>
      </c>
      <c r="BO141" s="17" t="s">
        <v>62</v>
      </c>
      <c r="BP141" s="17" t="s">
        <v>62</v>
      </c>
      <c r="BQ141" s="17" t="s">
        <v>62</v>
      </c>
      <c r="BR141" s="17" t="s">
        <v>62</v>
      </c>
      <c r="BS141" s="17" t="s">
        <v>62</v>
      </c>
      <c r="BT141" s="17" t="s">
        <v>62</v>
      </c>
      <c r="BU141" s="17" t="s">
        <v>62</v>
      </c>
      <c r="BV141" s="17" t="s">
        <v>62</v>
      </c>
      <c r="BW141" s="17" t="s">
        <v>62</v>
      </c>
      <c r="BX141" s="17" t="s">
        <v>62</v>
      </c>
      <c r="BY141" s="17" t="s">
        <v>62</v>
      </c>
      <c r="BZ141" s="17" t="s">
        <v>62</v>
      </c>
      <c r="CA141" s="17" t="s">
        <v>62</v>
      </c>
      <c r="CB141" s="17" t="s">
        <v>62</v>
      </c>
      <c r="CC141" s="17" t="s">
        <v>62</v>
      </c>
      <c r="CD141" s="17" t="s">
        <v>62</v>
      </c>
      <c r="CE141" s="17" t="s">
        <v>62</v>
      </c>
      <c r="CF141" s="17" t="s">
        <v>62</v>
      </c>
      <c r="CG141" s="15" t="s">
        <v>71</v>
      </c>
      <c r="CH141" s="15">
        <v>8.9300000000000002E-4</v>
      </c>
      <c r="CI141" s="14">
        <v>5</v>
      </c>
      <c r="CJ141" s="79">
        <v>3</v>
      </c>
      <c r="CK141" s="79" t="s">
        <v>224</v>
      </c>
      <c r="CL141" s="79" t="s">
        <v>224</v>
      </c>
      <c r="CM141" s="79">
        <v>285.51300400000002</v>
      </c>
      <c r="CN141" s="79">
        <v>2</v>
      </c>
      <c r="CO141" s="79" t="s">
        <v>224</v>
      </c>
      <c r="CP141" s="79" t="s">
        <v>224</v>
      </c>
      <c r="CQ141" s="79" t="s">
        <v>224</v>
      </c>
      <c r="CR141" s="12" t="str">
        <f>IF(COUNTIF(Incl!A:A,Raw!J141),1, "")</f>
        <v/>
      </c>
    </row>
    <row r="142" spans="1:96" ht="13.5" thickTop="1" thickBot="1" x14ac:dyDescent="0.3">
      <c r="A142" s="18">
        <v>139</v>
      </c>
      <c r="B142" s="19">
        <v>1</v>
      </c>
      <c r="C142" s="20">
        <v>238.84385700000001</v>
      </c>
      <c r="D142" s="19">
        <v>142</v>
      </c>
      <c r="E142" s="19">
        <v>1</v>
      </c>
      <c r="F142" s="19">
        <v>171</v>
      </c>
      <c r="G142" s="21">
        <v>41</v>
      </c>
      <c r="H142" s="19">
        <v>41</v>
      </c>
      <c r="I142" s="19">
        <v>41</v>
      </c>
      <c r="J142" s="19">
        <v>41</v>
      </c>
      <c r="K142" s="20" t="s">
        <v>115</v>
      </c>
      <c r="L142" s="20" t="s">
        <v>116</v>
      </c>
      <c r="M142" s="20" t="s">
        <v>112</v>
      </c>
      <c r="N142" s="22" t="s">
        <v>62</v>
      </c>
      <c r="O142" s="22" t="s">
        <v>62</v>
      </c>
      <c r="P142" s="22" t="s">
        <v>62</v>
      </c>
      <c r="Q142" s="22" t="s">
        <v>62</v>
      </c>
      <c r="R142" s="22" t="s">
        <v>62</v>
      </c>
      <c r="S142" s="21">
        <v>11</v>
      </c>
      <c r="T142" s="19">
        <v>11</v>
      </c>
      <c r="U142" s="21">
        <v>9</v>
      </c>
      <c r="V142" s="21">
        <v>5</v>
      </c>
      <c r="W142" s="21">
        <v>12</v>
      </c>
      <c r="X142" s="21">
        <v>13</v>
      </c>
      <c r="Y142" s="19">
        <v>80</v>
      </c>
      <c r="Z142" s="19">
        <v>44</v>
      </c>
      <c r="AA142" s="19">
        <v>106</v>
      </c>
      <c r="AB142" s="19">
        <v>115</v>
      </c>
      <c r="AC142" s="19">
        <v>3</v>
      </c>
      <c r="AD142" s="19">
        <v>14</v>
      </c>
      <c r="AE142" s="19">
        <v>14</v>
      </c>
      <c r="AF142" s="19">
        <v>9</v>
      </c>
      <c r="AG142" s="21">
        <v>12</v>
      </c>
      <c r="AH142" s="19">
        <v>124</v>
      </c>
      <c r="AI142" s="19">
        <v>124</v>
      </c>
      <c r="AJ142" s="19">
        <v>80</v>
      </c>
      <c r="AK142" s="19">
        <v>106</v>
      </c>
      <c r="AL142" s="19">
        <v>4</v>
      </c>
      <c r="AM142" s="22" t="s">
        <v>62</v>
      </c>
      <c r="AN142" s="22" t="s">
        <v>62</v>
      </c>
      <c r="AO142" s="22" t="s">
        <v>62</v>
      </c>
      <c r="AP142" s="22" t="s">
        <v>62</v>
      </c>
      <c r="AQ142" s="22" t="s">
        <v>62</v>
      </c>
      <c r="AR142" s="22" t="s">
        <v>62</v>
      </c>
      <c r="AS142" s="22" t="s">
        <v>62</v>
      </c>
      <c r="AT142" s="22" t="s">
        <v>62</v>
      </c>
      <c r="AU142" s="22" t="s">
        <v>62</v>
      </c>
      <c r="AV142" s="22" t="s">
        <v>62</v>
      </c>
      <c r="AW142" s="22" t="s">
        <v>62</v>
      </c>
      <c r="AX142" s="22" t="s">
        <v>62</v>
      </c>
      <c r="AY142" s="22" t="s">
        <v>62</v>
      </c>
      <c r="AZ142" s="22" t="s">
        <v>62</v>
      </c>
      <c r="BA142" s="22" t="s">
        <v>62</v>
      </c>
      <c r="BB142" s="22" t="s">
        <v>62</v>
      </c>
      <c r="BC142" s="22" t="s">
        <v>62</v>
      </c>
      <c r="BD142" s="22" t="s">
        <v>62</v>
      </c>
      <c r="BE142" s="22" t="s">
        <v>62</v>
      </c>
      <c r="BF142" s="22" t="s">
        <v>62</v>
      </c>
      <c r="BG142" s="22" t="s">
        <v>62</v>
      </c>
      <c r="BH142" s="22" t="s">
        <v>62</v>
      </c>
      <c r="BI142" s="22" t="s">
        <v>62</v>
      </c>
      <c r="BJ142" s="22" t="s">
        <v>62</v>
      </c>
      <c r="BK142" s="22" t="s">
        <v>62</v>
      </c>
      <c r="BL142" s="22" t="s">
        <v>62</v>
      </c>
      <c r="BM142" s="22" t="s">
        <v>62</v>
      </c>
      <c r="BN142" s="22" t="s">
        <v>62</v>
      </c>
      <c r="BO142" s="22" t="s">
        <v>62</v>
      </c>
      <c r="BP142" s="22" t="s">
        <v>62</v>
      </c>
      <c r="BQ142" s="22" t="s">
        <v>62</v>
      </c>
      <c r="BR142" s="22" t="s">
        <v>62</v>
      </c>
      <c r="BS142" s="22" t="s">
        <v>62</v>
      </c>
      <c r="BT142" s="22" t="s">
        <v>62</v>
      </c>
      <c r="BU142" s="22" t="s">
        <v>62</v>
      </c>
      <c r="BV142" s="22" t="s">
        <v>62</v>
      </c>
      <c r="BW142" s="22" t="s">
        <v>62</v>
      </c>
      <c r="BX142" s="22" t="s">
        <v>62</v>
      </c>
      <c r="BY142" s="22" t="s">
        <v>62</v>
      </c>
      <c r="BZ142" s="22" t="s">
        <v>62</v>
      </c>
      <c r="CA142" s="22" t="s">
        <v>62</v>
      </c>
      <c r="CB142" s="22" t="s">
        <v>62</v>
      </c>
      <c r="CC142" s="22" t="s">
        <v>62</v>
      </c>
      <c r="CD142" s="22" t="s">
        <v>62</v>
      </c>
      <c r="CE142" s="22" t="s">
        <v>62</v>
      </c>
      <c r="CF142" s="22" t="s">
        <v>62</v>
      </c>
      <c r="CG142" s="20" t="s">
        <v>74</v>
      </c>
      <c r="CH142" s="20">
        <v>7.2999999999999996E-4</v>
      </c>
      <c r="CI142" s="19">
        <v>7</v>
      </c>
      <c r="CJ142" s="78">
        <v>3</v>
      </c>
      <c r="CK142" s="78" t="s">
        <v>224</v>
      </c>
      <c r="CL142" s="78" t="s">
        <v>224</v>
      </c>
      <c r="CM142" s="78">
        <v>238.843851</v>
      </c>
      <c r="CN142" s="78">
        <v>2</v>
      </c>
      <c r="CO142" s="78" t="s">
        <v>224</v>
      </c>
      <c r="CP142" s="78" t="s">
        <v>224</v>
      </c>
      <c r="CQ142" s="78" t="s">
        <v>224</v>
      </c>
      <c r="CR142" s="12" t="str">
        <f>IF(COUNTIF(Incl!A:A,Raw!J142),1, "")</f>
        <v/>
      </c>
    </row>
    <row r="143" spans="1:96" ht="13.5" thickTop="1" thickBot="1" x14ac:dyDescent="0.3">
      <c r="A143" s="18">
        <v>140</v>
      </c>
      <c r="B143" s="19">
        <v>1</v>
      </c>
      <c r="C143" s="20">
        <v>788.97255700000005</v>
      </c>
      <c r="D143" s="19">
        <v>143</v>
      </c>
      <c r="E143" s="19">
        <v>1</v>
      </c>
      <c r="F143" s="19">
        <v>172</v>
      </c>
      <c r="G143" s="21">
        <v>40</v>
      </c>
      <c r="H143" s="19">
        <v>40</v>
      </c>
      <c r="I143" s="19">
        <v>40</v>
      </c>
      <c r="J143" s="19">
        <v>40</v>
      </c>
      <c r="K143" s="20" t="s">
        <v>115</v>
      </c>
      <c r="L143" s="20" t="s">
        <v>112</v>
      </c>
      <c r="M143" s="20" t="s">
        <v>117</v>
      </c>
      <c r="N143" s="22" t="s">
        <v>62</v>
      </c>
      <c r="O143" s="22" t="s">
        <v>62</v>
      </c>
      <c r="P143" s="22" t="s">
        <v>62</v>
      </c>
      <c r="Q143" s="22" t="s">
        <v>62</v>
      </c>
      <c r="R143" s="22" t="s">
        <v>62</v>
      </c>
      <c r="S143" s="21">
        <v>32</v>
      </c>
      <c r="T143" s="19">
        <v>32</v>
      </c>
      <c r="U143" s="21">
        <v>10</v>
      </c>
      <c r="V143" s="21">
        <v>8</v>
      </c>
      <c r="W143" s="21">
        <v>10</v>
      </c>
      <c r="X143" s="21">
        <v>10</v>
      </c>
      <c r="Y143" s="19">
        <v>32</v>
      </c>
      <c r="Z143" s="19">
        <v>25</v>
      </c>
      <c r="AA143" s="19">
        <v>32</v>
      </c>
      <c r="AB143" s="19">
        <v>32</v>
      </c>
      <c r="AC143" s="19">
        <v>0</v>
      </c>
      <c r="AD143" s="19">
        <v>4</v>
      </c>
      <c r="AE143" s="19">
        <v>4</v>
      </c>
      <c r="AF143" s="19">
        <v>5</v>
      </c>
      <c r="AG143" s="21">
        <v>6</v>
      </c>
      <c r="AH143" s="19">
        <v>13</v>
      </c>
      <c r="AI143" s="19">
        <v>13</v>
      </c>
      <c r="AJ143" s="19">
        <v>16</v>
      </c>
      <c r="AK143" s="19">
        <v>19</v>
      </c>
      <c r="AL143" s="19">
        <v>0</v>
      </c>
      <c r="AM143" s="22" t="s">
        <v>62</v>
      </c>
      <c r="AN143" s="22" t="s">
        <v>62</v>
      </c>
      <c r="AO143" s="22" t="s">
        <v>62</v>
      </c>
      <c r="AP143" s="22" t="s">
        <v>62</v>
      </c>
      <c r="AQ143" s="22" t="s">
        <v>62</v>
      </c>
      <c r="AR143" s="22" t="s">
        <v>62</v>
      </c>
      <c r="AS143" s="22" t="s">
        <v>62</v>
      </c>
      <c r="AT143" s="22" t="s">
        <v>62</v>
      </c>
      <c r="AU143" s="22" t="s">
        <v>62</v>
      </c>
      <c r="AV143" s="22" t="s">
        <v>62</v>
      </c>
      <c r="AW143" s="22" t="s">
        <v>62</v>
      </c>
      <c r="AX143" s="22" t="s">
        <v>62</v>
      </c>
      <c r="AY143" s="22" t="s">
        <v>62</v>
      </c>
      <c r="AZ143" s="22" t="s">
        <v>62</v>
      </c>
      <c r="BA143" s="22" t="s">
        <v>62</v>
      </c>
      <c r="BB143" s="22" t="s">
        <v>62</v>
      </c>
      <c r="BC143" s="22" t="s">
        <v>62</v>
      </c>
      <c r="BD143" s="22" t="s">
        <v>62</v>
      </c>
      <c r="BE143" s="22" t="s">
        <v>62</v>
      </c>
      <c r="BF143" s="22" t="s">
        <v>62</v>
      </c>
      <c r="BG143" s="22" t="s">
        <v>62</v>
      </c>
      <c r="BH143" s="22" t="s">
        <v>62</v>
      </c>
      <c r="BI143" s="22" t="s">
        <v>62</v>
      </c>
      <c r="BJ143" s="22" t="s">
        <v>62</v>
      </c>
      <c r="BK143" s="22" t="s">
        <v>62</v>
      </c>
      <c r="BL143" s="22" t="s">
        <v>62</v>
      </c>
      <c r="BM143" s="22" t="s">
        <v>62</v>
      </c>
      <c r="BN143" s="22" t="s">
        <v>62</v>
      </c>
      <c r="BO143" s="22" t="s">
        <v>62</v>
      </c>
      <c r="BP143" s="22" t="s">
        <v>62</v>
      </c>
      <c r="BQ143" s="22" t="s">
        <v>62</v>
      </c>
      <c r="BR143" s="22" t="s">
        <v>62</v>
      </c>
      <c r="BS143" s="22" t="s">
        <v>62</v>
      </c>
      <c r="BT143" s="22" t="s">
        <v>62</v>
      </c>
      <c r="BU143" s="22" t="s">
        <v>62</v>
      </c>
      <c r="BV143" s="22" t="s">
        <v>62</v>
      </c>
      <c r="BW143" s="22" t="s">
        <v>62</v>
      </c>
      <c r="BX143" s="22" t="s">
        <v>62</v>
      </c>
      <c r="BY143" s="22" t="s">
        <v>62</v>
      </c>
      <c r="BZ143" s="22" t="s">
        <v>62</v>
      </c>
      <c r="CA143" s="22" t="s">
        <v>62</v>
      </c>
      <c r="CB143" s="22" t="s">
        <v>62</v>
      </c>
      <c r="CC143" s="22" t="s">
        <v>62</v>
      </c>
      <c r="CD143" s="22" t="s">
        <v>62</v>
      </c>
      <c r="CE143" s="22" t="s">
        <v>62</v>
      </c>
      <c r="CF143" s="22" t="s">
        <v>62</v>
      </c>
      <c r="CG143" s="20" t="s">
        <v>71</v>
      </c>
      <c r="CH143" s="20">
        <v>2.3999999999999998E-3</v>
      </c>
      <c r="CI143" s="19">
        <v>0</v>
      </c>
      <c r="CJ143" s="78">
        <v>3</v>
      </c>
      <c r="CK143" s="78" t="s">
        <v>224</v>
      </c>
      <c r="CL143" s="78" t="s">
        <v>224</v>
      </c>
      <c r="CM143" s="78">
        <v>789.98854500000004</v>
      </c>
      <c r="CN143" s="78">
        <v>2</v>
      </c>
      <c r="CO143" s="78" t="s">
        <v>224</v>
      </c>
      <c r="CP143" s="78" t="s">
        <v>224</v>
      </c>
      <c r="CQ143" s="78" t="s">
        <v>224</v>
      </c>
      <c r="CR143" s="12" t="str">
        <f>IF(COUNTIF(Incl!A:A,Raw!J143),1, "")</f>
        <v/>
      </c>
    </row>
    <row r="144" spans="1:96" ht="13.5" thickTop="1" thickBot="1" x14ac:dyDescent="0.3">
      <c r="A144" s="13">
        <v>141</v>
      </c>
      <c r="B144" s="14">
        <v>1</v>
      </c>
      <c r="C144" s="15">
        <v>737.13139799999999</v>
      </c>
      <c r="D144" s="14">
        <v>144</v>
      </c>
      <c r="E144" s="14">
        <v>2</v>
      </c>
      <c r="F144" s="14">
        <v>173</v>
      </c>
      <c r="G144" s="16">
        <v>37</v>
      </c>
      <c r="H144" s="14">
        <v>37</v>
      </c>
      <c r="I144" s="14">
        <v>37</v>
      </c>
      <c r="J144" s="14">
        <v>37</v>
      </c>
      <c r="K144" s="15" t="s">
        <v>114</v>
      </c>
      <c r="L144" s="15" t="s">
        <v>117</v>
      </c>
      <c r="M144" s="15" t="s">
        <v>112</v>
      </c>
      <c r="N144" s="17" t="s">
        <v>62</v>
      </c>
      <c r="O144" s="17" t="s">
        <v>62</v>
      </c>
      <c r="P144" s="17" t="s">
        <v>62</v>
      </c>
      <c r="Q144" s="17" t="s">
        <v>62</v>
      </c>
      <c r="R144" s="17" t="s">
        <v>62</v>
      </c>
      <c r="S144" s="16">
        <v>28</v>
      </c>
      <c r="T144" s="14">
        <v>28</v>
      </c>
      <c r="U144" s="16">
        <v>19</v>
      </c>
      <c r="V144" s="16">
        <v>22</v>
      </c>
      <c r="W144" s="16">
        <v>18</v>
      </c>
      <c r="X144" s="16">
        <v>19</v>
      </c>
      <c r="Y144" s="14">
        <v>67</v>
      </c>
      <c r="Z144" s="14">
        <v>78</v>
      </c>
      <c r="AA144" s="14">
        <v>64</v>
      </c>
      <c r="AB144" s="14">
        <v>67</v>
      </c>
      <c r="AC144" s="14">
        <v>1</v>
      </c>
      <c r="AD144" s="14">
        <v>14</v>
      </c>
      <c r="AE144" s="14">
        <v>14</v>
      </c>
      <c r="AF144" s="14">
        <v>18</v>
      </c>
      <c r="AG144" s="16">
        <v>23</v>
      </c>
      <c r="AH144" s="14">
        <v>49</v>
      </c>
      <c r="AI144" s="14">
        <v>49</v>
      </c>
      <c r="AJ144" s="14">
        <v>64</v>
      </c>
      <c r="AK144" s="14">
        <v>81</v>
      </c>
      <c r="AL144" s="14">
        <v>1</v>
      </c>
      <c r="AM144" s="17" t="s">
        <v>62</v>
      </c>
      <c r="AN144" s="17" t="s">
        <v>62</v>
      </c>
      <c r="AO144" s="17" t="s">
        <v>62</v>
      </c>
      <c r="AP144" s="17" t="s">
        <v>62</v>
      </c>
      <c r="AQ144" s="17" t="s">
        <v>62</v>
      </c>
      <c r="AR144" s="17" t="s">
        <v>62</v>
      </c>
      <c r="AS144" s="17" t="s">
        <v>62</v>
      </c>
      <c r="AT144" s="17" t="s">
        <v>62</v>
      </c>
      <c r="AU144" s="17" t="s">
        <v>62</v>
      </c>
      <c r="AV144" s="17" t="s">
        <v>62</v>
      </c>
      <c r="AW144" s="17" t="s">
        <v>62</v>
      </c>
      <c r="AX144" s="17" t="s">
        <v>62</v>
      </c>
      <c r="AY144" s="17" t="s">
        <v>62</v>
      </c>
      <c r="AZ144" s="17" t="s">
        <v>62</v>
      </c>
      <c r="BA144" s="17" t="s">
        <v>62</v>
      </c>
      <c r="BB144" s="17" t="s">
        <v>62</v>
      </c>
      <c r="BC144" s="17" t="s">
        <v>62</v>
      </c>
      <c r="BD144" s="17" t="s">
        <v>62</v>
      </c>
      <c r="BE144" s="17" t="s">
        <v>62</v>
      </c>
      <c r="BF144" s="17" t="s">
        <v>62</v>
      </c>
      <c r="BG144" s="17" t="s">
        <v>62</v>
      </c>
      <c r="BH144" s="17" t="s">
        <v>62</v>
      </c>
      <c r="BI144" s="17" t="s">
        <v>62</v>
      </c>
      <c r="BJ144" s="17" t="s">
        <v>62</v>
      </c>
      <c r="BK144" s="17" t="s">
        <v>62</v>
      </c>
      <c r="BL144" s="17" t="s">
        <v>62</v>
      </c>
      <c r="BM144" s="17" t="s">
        <v>62</v>
      </c>
      <c r="BN144" s="17" t="s">
        <v>62</v>
      </c>
      <c r="BO144" s="17" t="s">
        <v>62</v>
      </c>
      <c r="BP144" s="17" t="s">
        <v>62</v>
      </c>
      <c r="BQ144" s="17" t="s">
        <v>62</v>
      </c>
      <c r="BR144" s="17" t="s">
        <v>62</v>
      </c>
      <c r="BS144" s="17" t="s">
        <v>62</v>
      </c>
      <c r="BT144" s="17" t="s">
        <v>62</v>
      </c>
      <c r="BU144" s="17" t="s">
        <v>62</v>
      </c>
      <c r="BV144" s="17" t="s">
        <v>62</v>
      </c>
      <c r="BW144" s="17" t="s">
        <v>62</v>
      </c>
      <c r="BX144" s="17" t="s">
        <v>62</v>
      </c>
      <c r="BY144" s="17" t="s">
        <v>62</v>
      </c>
      <c r="BZ144" s="17" t="s">
        <v>62</v>
      </c>
      <c r="CA144" s="17" t="s">
        <v>62</v>
      </c>
      <c r="CB144" s="17" t="s">
        <v>62</v>
      </c>
      <c r="CC144" s="17" t="s">
        <v>62</v>
      </c>
      <c r="CD144" s="17" t="s">
        <v>62</v>
      </c>
      <c r="CE144" s="17" t="s">
        <v>62</v>
      </c>
      <c r="CF144" s="17" t="s">
        <v>62</v>
      </c>
      <c r="CG144" s="15" t="s">
        <v>74</v>
      </c>
      <c r="CH144" s="15">
        <v>2.2309999999999999E-3</v>
      </c>
      <c r="CI144" s="14">
        <v>2</v>
      </c>
      <c r="CJ144" s="79">
        <v>3</v>
      </c>
      <c r="CK144" s="79" t="s">
        <v>224</v>
      </c>
      <c r="CL144" s="79" t="s">
        <v>224</v>
      </c>
      <c r="CM144" s="79">
        <v>737.13164500000005</v>
      </c>
      <c r="CN144" s="79">
        <v>2</v>
      </c>
      <c r="CO144" s="79" t="s">
        <v>224</v>
      </c>
      <c r="CP144" s="79" t="s">
        <v>224</v>
      </c>
      <c r="CQ144" s="79" t="s">
        <v>224</v>
      </c>
      <c r="CR144" s="12" t="str">
        <f>IF(COUNTIF(Incl!A:A,Raw!J144),1, "")</f>
        <v/>
      </c>
    </row>
    <row r="145" spans="1:96" ht="13.5" thickTop="1" thickBot="1" x14ac:dyDescent="0.3">
      <c r="A145" s="13">
        <v>142</v>
      </c>
      <c r="B145" s="14">
        <v>1</v>
      </c>
      <c r="C145" s="15">
        <v>727.49852999999996</v>
      </c>
      <c r="D145" s="14">
        <v>145</v>
      </c>
      <c r="E145" s="14">
        <v>1</v>
      </c>
      <c r="F145" s="14">
        <v>174</v>
      </c>
      <c r="G145" s="16">
        <v>36</v>
      </c>
      <c r="H145" s="14">
        <v>36</v>
      </c>
      <c r="I145" s="14">
        <v>36</v>
      </c>
      <c r="J145" s="14">
        <v>36</v>
      </c>
      <c r="K145" s="15" t="s">
        <v>114</v>
      </c>
      <c r="L145" s="15" t="s">
        <v>112</v>
      </c>
      <c r="M145" s="15" t="s">
        <v>117</v>
      </c>
      <c r="N145" s="17" t="s">
        <v>62</v>
      </c>
      <c r="O145" s="16" t="s">
        <v>62</v>
      </c>
      <c r="P145" s="17" t="s">
        <v>62</v>
      </c>
      <c r="Q145" s="17" t="s">
        <v>62</v>
      </c>
      <c r="R145" s="17" t="s">
        <v>62</v>
      </c>
      <c r="S145" s="17">
        <v>26</v>
      </c>
      <c r="T145" s="14">
        <v>26</v>
      </c>
      <c r="U145" s="16">
        <v>22</v>
      </c>
      <c r="V145" s="16">
        <v>23</v>
      </c>
      <c r="W145" s="16">
        <v>20</v>
      </c>
      <c r="X145" s="17">
        <v>21</v>
      </c>
      <c r="Y145" s="14">
        <v>85</v>
      </c>
      <c r="Z145" s="14">
        <v>89</v>
      </c>
      <c r="AA145" s="14">
        <v>77</v>
      </c>
      <c r="AB145" s="14">
        <v>81</v>
      </c>
      <c r="AC145" s="14">
        <v>4</v>
      </c>
      <c r="AD145" s="14">
        <v>17</v>
      </c>
      <c r="AE145" s="14">
        <v>17</v>
      </c>
      <c r="AF145" s="14">
        <v>15</v>
      </c>
      <c r="AG145" s="17">
        <v>19</v>
      </c>
      <c r="AH145" s="14">
        <v>66</v>
      </c>
      <c r="AI145" s="14">
        <v>66</v>
      </c>
      <c r="AJ145" s="14">
        <v>58</v>
      </c>
      <c r="AK145" s="14">
        <v>73</v>
      </c>
      <c r="AL145" s="14">
        <v>0</v>
      </c>
      <c r="AM145" s="16" t="s">
        <v>62</v>
      </c>
      <c r="AN145" s="16" t="s">
        <v>62</v>
      </c>
      <c r="AO145" s="16" t="s">
        <v>62</v>
      </c>
      <c r="AP145" s="16" t="s">
        <v>62</v>
      </c>
      <c r="AQ145" s="16" t="s">
        <v>62</v>
      </c>
      <c r="AR145" s="16" t="s">
        <v>62</v>
      </c>
      <c r="AS145" s="16" t="s">
        <v>62</v>
      </c>
      <c r="AT145" s="16" t="s">
        <v>62</v>
      </c>
      <c r="AU145" s="16" t="s">
        <v>62</v>
      </c>
      <c r="AV145" s="16" t="s">
        <v>62</v>
      </c>
      <c r="AW145" s="16" t="s">
        <v>62</v>
      </c>
      <c r="AX145" s="16" t="s">
        <v>62</v>
      </c>
      <c r="AY145" s="16" t="s">
        <v>62</v>
      </c>
      <c r="AZ145" s="16" t="s">
        <v>62</v>
      </c>
      <c r="BA145" s="16" t="s">
        <v>62</v>
      </c>
      <c r="BB145" s="16" t="s">
        <v>62</v>
      </c>
      <c r="BC145" s="16" t="s">
        <v>62</v>
      </c>
      <c r="BD145" s="16" t="s">
        <v>62</v>
      </c>
      <c r="BE145" s="16" t="s">
        <v>62</v>
      </c>
      <c r="BF145" s="16" t="s">
        <v>62</v>
      </c>
      <c r="BG145" s="16" t="s">
        <v>62</v>
      </c>
      <c r="BH145" s="16" t="s">
        <v>62</v>
      </c>
      <c r="BI145" s="15" t="s">
        <v>62</v>
      </c>
      <c r="BJ145" s="16" t="s">
        <v>62</v>
      </c>
      <c r="BK145" s="16" t="s">
        <v>62</v>
      </c>
      <c r="BL145" s="16" t="s">
        <v>62</v>
      </c>
      <c r="BM145" s="16" t="s">
        <v>62</v>
      </c>
      <c r="BN145" s="16" t="s">
        <v>62</v>
      </c>
      <c r="BO145" s="16" t="s">
        <v>62</v>
      </c>
      <c r="BP145" s="16" t="s">
        <v>62</v>
      </c>
      <c r="BQ145" s="16" t="s">
        <v>62</v>
      </c>
      <c r="BR145" s="16" t="s">
        <v>62</v>
      </c>
      <c r="BS145" s="16" t="s">
        <v>62</v>
      </c>
      <c r="BT145" s="16" t="s">
        <v>62</v>
      </c>
      <c r="BU145" s="16" t="s">
        <v>62</v>
      </c>
      <c r="BV145" s="16" t="s">
        <v>62</v>
      </c>
      <c r="BW145" s="16" t="s">
        <v>62</v>
      </c>
      <c r="BX145" s="16" t="s">
        <v>62</v>
      </c>
      <c r="BY145" s="16" t="s">
        <v>62</v>
      </c>
      <c r="BZ145" s="16" t="s">
        <v>62</v>
      </c>
      <c r="CA145" s="16" t="s">
        <v>62</v>
      </c>
      <c r="CB145" s="16" t="s">
        <v>62</v>
      </c>
      <c r="CC145" s="16" t="s">
        <v>62</v>
      </c>
      <c r="CD145" s="16" t="s">
        <v>62</v>
      </c>
      <c r="CE145" s="16" t="s">
        <v>62</v>
      </c>
      <c r="CF145" s="15" t="s">
        <v>62</v>
      </c>
      <c r="CG145" s="15" t="s">
        <v>71</v>
      </c>
      <c r="CH145" s="15">
        <v>2.186E-3</v>
      </c>
      <c r="CI145" s="14">
        <v>4</v>
      </c>
      <c r="CJ145" s="79">
        <v>3</v>
      </c>
      <c r="CK145" s="79" t="s">
        <v>224</v>
      </c>
      <c r="CL145" s="79" t="s">
        <v>224</v>
      </c>
      <c r="CM145" s="79">
        <v>727.49852699999997</v>
      </c>
      <c r="CN145" s="79">
        <v>2</v>
      </c>
      <c r="CO145" s="79" t="s">
        <v>224</v>
      </c>
      <c r="CP145" s="79" t="s">
        <v>224</v>
      </c>
      <c r="CQ145" s="79" t="s">
        <v>224</v>
      </c>
      <c r="CR145" s="12" t="str">
        <f>IF(COUNTIF(Incl!A:A,Raw!J145),1, "")</f>
        <v/>
      </c>
    </row>
    <row r="146" spans="1:96" ht="13.5" thickTop="1" thickBot="1" x14ac:dyDescent="0.3">
      <c r="A146" s="18">
        <v>143</v>
      </c>
      <c r="B146" s="19">
        <v>1</v>
      </c>
      <c r="C146" s="20">
        <v>148.984376</v>
      </c>
      <c r="D146" s="19">
        <v>146</v>
      </c>
      <c r="E146" s="19">
        <v>1</v>
      </c>
      <c r="F146" s="19">
        <v>175</v>
      </c>
      <c r="G146" s="21">
        <v>220</v>
      </c>
      <c r="H146" s="19">
        <v>220</v>
      </c>
      <c r="I146" s="19">
        <v>220</v>
      </c>
      <c r="J146" s="19">
        <v>220</v>
      </c>
      <c r="K146" s="20" t="s">
        <v>116</v>
      </c>
      <c r="L146" s="20" t="s">
        <v>69</v>
      </c>
      <c r="M146" s="20" t="s">
        <v>115</v>
      </c>
      <c r="N146" s="22" t="s">
        <v>62</v>
      </c>
      <c r="O146" s="21">
        <v>8</v>
      </c>
      <c r="P146" s="22" t="s">
        <v>62</v>
      </c>
      <c r="Q146" s="22" t="s">
        <v>62</v>
      </c>
      <c r="R146" s="22" t="s">
        <v>62</v>
      </c>
      <c r="S146" s="22" t="s">
        <v>62</v>
      </c>
      <c r="T146" s="19">
        <v>8</v>
      </c>
      <c r="U146" s="21">
        <v>8</v>
      </c>
      <c r="V146" s="21">
        <v>5</v>
      </c>
      <c r="W146" s="21">
        <v>8</v>
      </c>
      <c r="X146" s="22">
        <v>8</v>
      </c>
      <c r="Y146" s="19">
        <v>95</v>
      </c>
      <c r="Z146" s="19">
        <v>60</v>
      </c>
      <c r="AA146" s="19">
        <v>95</v>
      </c>
      <c r="AB146" s="19">
        <v>95</v>
      </c>
      <c r="AC146" s="19">
        <v>3</v>
      </c>
      <c r="AD146" s="19">
        <v>2</v>
      </c>
      <c r="AE146" s="19">
        <v>3</v>
      </c>
      <c r="AF146" s="19">
        <v>6</v>
      </c>
      <c r="AG146" s="22">
        <v>6</v>
      </c>
      <c r="AH146" s="19">
        <v>24</v>
      </c>
      <c r="AI146" s="19">
        <v>36</v>
      </c>
      <c r="AJ146" s="19">
        <v>71</v>
      </c>
      <c r="AK146" s="19">
        <v>71</v>
      </c>
      <c r="AL146" s="19">
        <v>0</v>
      </c>
      <c r="AM146" s="21" t="s">
        <v>62</v>
      </c>
      <c r="AN146" s="21" t="s">
        <v>62</v>
      </c>
      <c r="AO146" s="21" t="s">
        <v>62</v>
      </c>
      <c r="AP146" s="21" t="s">
        <v>62</v>
      </c>
      <c r="AQ146" s="21" t="s">
        <v>62</v>
      </c>
      <c r="AR146" s="21" t="s">
        <v>62</v>
      </c>
      <c r="AS146" s="21" t="s">
        <v>62</v>
      </c>
      <c r="AT146" s="21" t="s">
        <v>62</v>
      </c>
      <c r="AU146" s="21" t="s">
        <v>62</v>
      </c>
      <c r="AV146" s="21" t="s">
        <v>62</v>
      </c>
      <c r="AW146" s="21" t="s">
        <v>62</v>
      </c>
      <c r="AX146" s="21" t="s">
        <v>62</v>
      </c>
      <c r="AY146" s="21" t="s">
        <v>62</v>
      </c>
      <c r="AZ146" s="21" t="s">
        <v>62</v>
      </c>
      <c r="BA146" s="21" t="s">
        <v>62</v>
      </c>
      <c r="BB146" s="21" t="s">
        <v>62</v>
      </c>
      <c r="BC146" s="21" t="s">
        <v>62</v>
      </c>
      <c r="BD146" s="21" t="s">
        <v>62</v>
      </c>
      <c r="BE146" s="21" t="s">
        <v>62</v>
      </c>
      <c r="BF146" s="21" t="s">
        <v>62</v>
      </c>
      <c r="BG146" s="21" t="s">
        <v>62</v>
      </c>
      <c r="BH146" s="21" t="s">
        <v>62</v>
      </c>
      <c r="BI146" s="20" t="s">
        <v>62</v>
      </c>
      <c r="BJ146" s="21" t="s">
        <v>62</v>
      </c>
      <c r="BK146" s="21" t="s">
        <v>62</v>
      </c>
      <c r="BL146" s="21" t="s">
        <v>62</v>
      </c>
      <c r="BM146" s="21" t="s">
        <v>62</v>
      </c>
      <c r="BN146" s="21" t="s">
        <v>62</v>
      </c>
      <c r="BO146" s="21" t="s">
        <v>62</v>
      </c>
      <c r="BP146" s="21" t="s">
        <v>62</v>
      </c>
      <c r="BQ146" s="21" t="s">
        <v>62</v>
      </c>
      <c r="BR146" s="21" t="s">
        <v>62</v>
      </c>
      <c r="BS146" s="21" t="s">
        <v>62</v>
      </c>
      <c r="BT146" s="21" t="s">
        <v>62</v>
      </c>
      <c r="BU146" s="21" t="s">
        <v>62</v>
      </c>
      <c r="BV146" s="21" t="s">
        <v>62</v>
      </c>
      <c r="BW146" s="21" t="s">
        <v>62</v>
      </c>
      <c r="BX146" s="21" t="s">
        <v>62</v>
      </c>
      <c r="BY146" s="21" t="s">
        <v>62</v>
      </c>
      <c r="BZ146" s="21" t="s">
        <v>62</v>
      </c>
      <c r="CA146" s="21" t="s">
        <v>62</v>
      </c>
      <c r="CB146" s="21" t="s">
        <v>62</v>
      </c>
      <c r="CC146" s="21" t="s">
        <v>62</v>
      </c>
      <c r="CD146" s="21" t="s">
        <v>62</v>
      </c>
      <c r="CE146" s="21" t="s">
        <v>62</v>
      </c>
      <c r="CF146" s="20" t="s">
        <v>62</v>
      </c>
      <c r="CG146" s="20" t="s">
        <v>64</v>
      </c>
      <c r="CH146" s="20">
        <v>4.7800000000000002E-4</v>
      </c>
      <c r="CI146" s="19">
        <v>3</v>
      </c>
      <c r="CJ146" s="78">
        <v>3</v>
      </c>
      <c r="CK146" s="78" t="s">
        <v>224</v>
      </c>
      <c r="CL146" s="78" t="s">
        <v>224</v>
      </c>
      <c r="CM146" s="78">
        <v>148.984431</v>
      </c>
      <c r="CN146" s="78">
        <v>2</v>
      </c>
      <c r="CO146" s="78" t="s">
        <v>224</v>
      </c>
      <c r="CP146" s="78" t="s">
        <v>224</v>
      </c>
      <c r="CQ146" s="78" t="s">
        <v>224</v>
      </c>
      <c r="CR146" s="12" t="str">
        <f>IF(COUNTIF(Incl!A:A,Raw!J146),1, "")</f>
        <v/>
      </c>
    </row>
    <row r="147" spans="1:96" ht="13.5" thickTop="1" thickBot="1" x14ac:dyDescent="0.3">
      <c r="A147" s="18">
        <v>144</v>
      </c>
      <c r="B147" s="19">
        <v>1</v>
      </c>
      <c r="C147" s="20">
        <v>148.37743399999999</v>
      </c>
      <c r="D147" s="19">
        <v>147</v>
      </c>
      <c r="E147" s="19">
        <v>1</v>
      </c>
      <c r="F147" s="19">
        <v>176</v>
      </c>
      <c r="G147" s="21">
        <v>222</v>
      </c>
      <c r="H147" s="19">
        <v>222</v>
      </c>
      <c r="I147" s="19">
        <v>222</v>
      </c>
      <c r="J147" s="19">
        <v>222</v>
      </c>
      <c r="K147" s="20" t="s">
        <v>116</v>
      </c>
      <c r="L147" s="20" t="s">
        <v>82</v>
      </c>
      <c r="M147" s="20" t="s">
        <v>69</v>
      </c>
      <c r="N147" s="22" t="s">
        <v>62</v>
      </c>
      <c r="O147" s="21">
        <v>8</v>
      </c>
      <c r="P147" s="22" t="s">
        <v>62</v>
      </c>
      <c r="Q147" s="22" t="s">
        <v>62</v>
      </c>
      <c r="R147" s="22" t="s">
        <v>62</v>
      </c>
      <c r="S147" s="22" t="s">
        <v>62</v>
      </c>
      <c r="T147" s="19">
        <v>8</v>
      </c>
      <c r="U147" s="21">
        <v>7</v>
      </c>
      <c r="V147" s="21">
        <v>6</v>
      </c>
      <c r="W147" s="22">
        <v>7</v>
      </c>
      <c r="X147" s="22">
        <v>7</v>
      </c>
      <c r="Y147" s="19">
        <v>88</v>
      </c>
      <c r="Z147" s="19">
        <v>75</v>
      </c>
      <c r="AA147" s="19">
        <v>88</v>
      </c>
      <c r="AB147" s="19">
        <v>88</v>
      </c>
      <c r="AC147" s="19">
        <v>4</v>
      </c>
      <c r="AD147" s="19">
        <v>7</v>
      </c>
      <c r="AE147" s="19">
        <v>7</v>
      </c>
      <c r="AF147" s="19">
        <v>7</v>
      </c>
      <c r="AG147" s="22">
        <v>8</v>
      </c>
      <c r="AH147" s="19">
        <v>88</v>
      </c>
      <c r="AI147" s="19">
        <v>88</v>
      </c>
      <c r="AJ147" s="19">
        <v>88</v>
      </c>
      <c r="AK147" s="19">
        <v>100</v>
      </c>
      <c r="AL147" s="19">
        <v>4</v>
      </c>
      <c r="AM147" s="21" t="s">
        <v>62</v>
      </c>
      <c r="AN147" s="21" t="s">
        <v>62</v>
      </c>
      <c r="AO147" s="21" t="s">
        <v>62</v>
      </c>
      <c r="AP147" s="21" t="s">
        <v>62</v>
      </c>
      <c r="AQ147" s="21" t="s">
        <v>62</v>
      </c>
      <c r="AR147" s="21" t="s">
        <v>62</v>
      </c>
      <c r="AS147" s="21" t="s">
        <v>62</v>
      </c>
      <c r="AT147" s="21" t="s">
        <v>62</v>
      </c>
      <c r="AU147" s="21" t="s">
        <v>62</v>
      </c>
      <c r="AV147" s="21" t="s">
        <v>62</v>
      </c>
      <c r="AW147" s="21" t="s">
        <v>62</v>
      </c>
      <c r="AX147" s="21" t="s">
        <v>62</v>
      </c>
      <c r="AY147" s="21" t="s">
        <v>62</v>
      </c>
      <c r="AZ147" s="21" t="s">
        <v>62</v>
      </c>
      <c r="BA147" s="21" t="s">
        <v>62</v>
      </c>
      <c r="BB147" s="21" t="s">
        <v>62</v>
      </c>
      <c r="BC147" s="21" t="s">
        <v>62</v>
      </c>
      <c r="BD147" s="21" t="s">
        <v>62</v>
      </c>
      <c r="BE147" s="21" t="s">
        <v>62</v>
      </c>
      <c r="BF147" s="21" t="s">
        <v>62</v>
      </c>
      <c r="BG147" s="21" t="s">
        <v>62</v>
      </c>
      <c r="BH147" s="21" t="s">
        <v>62</v>
      </c>
      <c r="BI147" s="20" t="s">
        <v>62</v>
      </c>
      <c r="BJ147" s="21" t="s">
        <v>62</v>
      </c>
      <c r="BK147" s="21" t="s">
        <v>62</v>
      </c>
      <c r="BL147" s="21" t="s">
        <v>62</v>
      </c>
      <c r="BM147" s="21" t="s">
        <v>62</v>
      </c>
      <c r="BN147" s="21" t="s">
        <v>62</v>
      </c>
      <c r="BO147" s="21" t="s">
        <v>62</v>
      </c>
      <c r="BP147" s="21" t="s">
        <v>62</v>
      </c>
      <c r="BQ147" s="21" t="s">
        <v>62</v>
      </c>
      <c r="BR147" s="21" t="s">
        <v>62</v>
      </c>
      <c r="BS147" s="21" t="s">
        <v>62</v>
      </c>
      <c r="BT147" s="21" t="s">
        <v>62</v>
      </c>
      <c r="BU147" s="21" t="s">
        <v>62</v>
      </c>
      <c r="BV147" s="21" t="s">
        <v>62</v>
      </c>
      <c r="BW147" s="21" t="s">
        <v>62</v>
      </c>
      <c r="BX147" s="21" t="s">
        <v>62</v>
      </c>
      <c r="BY147" s="21" t="s">
        <v>62</v>
      </c>
      <c r="BZ147" s="21" t="s">
        <v>62</v>
      </c>
      <c r="CA147" s="21" t="s">
        <v>62</v>
      </c>
      <c r="CB147" s="21" t="s">
        <v>62</v>
      </c>
      <c r="CC147" s="21" t="s">
        <v>62</v>
      </c>
      <c r="CD147" s="21" t="s">
        <v>62</v>
      </c>
      <c r="CE147" s="21" t="s">
        <v>62</v>
      </c>
      <c r="CF147" s="20" t="s">
        <v>62</v>
      </c>
      <c r="CG147" s="20" t="s">
        <v>64</v>
      </c>
      <c r="CH147" s="20">
        <v>4.75E-4</v>
      </c>
      <c r="CI147" s="19">
        <v>8</v>
      </c>
      <c r="CJ147" s="78">
        <v>3</v>
      </c>
      <c r="CK147" s="78" t="s">
        <v>224</v>
      </c>
      <c r="CL147" s="78">
        <v>0</v>
      </c>
      <c r="CM147" s="78">
        <v>148.377478</v>
      </c>
      <c r="CN147" s="78">
        <v>2</v>
      </c>
      <c r="CO147" s="78" t="s">
        <v>224</v>
      </c>
      <c r="CP147" s="78" t="s">
        <v>224</v>
      </c>
      <c r="CQ147" s="78" t="s">
        <v>224</v>
      </c>
      <c r="CR147" s="12" t="str">
        <f>IF(COUNTIF(Incl!A:A,Raw!J147),1, "")</f>
        <v/>
      </c>
    </row>
    <row r="148" spans="1:96" ht="13.5" thickTop="1" thickBot="1" x14ac:dyDescent="0.3">
      <c r="A148" s="13">
        <v>145</v>
      </c>
      <c r="B148" s="14">
        <v>1</v>
      </c>
      <c r="C148" s="15">
        <v>151.756676</v>
      </c>
      <c r="D148" s="14">
        <v>148</v>
      </c>
      <c r="E148" s="14">
        <v>1</v>
      </c>
      <c r="F148" s="14">
        <v>177</v>
      </c>
      <c r="G148" s="16">
        <v>224</v>
      </c>
      <c r="H148" s="14">
        <v>224</v>
      </c>
      <c r="I148" s="14">
        <v>224</v>
      </c>
      <c r="J148" s="14">
        <v>224</v>
      </c>
      <c r="K148" s="15" t="s">
        <v>116</v>
      </c>
      <c r="L148" s="15" t="s">
        <v>60</v>
      </c>
      <c r="M148" s="15" t="s">
        <v>82</v>
      </c>
      <c r="N148" s="17" t="s">
        <v>62</v>
      </c>
      <c r="O148" s="16">
        <v>7</v>
      </c>
      <c r="P148" s="17" t="s">
        <v>62</v>
      </c>
      <c r="Q148" s="17" t="s">
        <v>62</v>
      </c>
      <c r="R148" s="17" t="s">
        <v>62</v>
      </c>
      <c r="S148" s="17" t="s">
        <v>62</v>
      </c>
      <c r="T148" s="14">
        <v>7</v>
      </c>
      <c r="U148" s="16">
        <v>7</v>
      </c>
      <c r="V148" s="16">
        <v>6</v>
      </c>
      <c r="W148" s="17">
        <v>6</v>
      </c>
      <c r="X148" s="17" t="s">
        <v>62</v>
      </c>
      <c r="Y148" s="14">
        <v>106</v>
      </c>
      <c r="Z148" s="14">
        <v>91</v>
      </c>
      <c r="AA148" s="14">
        <v>91</v>
      </c>
      <c r="AB148" s="14">
        <v>0</v>
      </c>
      <c r="AC148" s="14">
        <v>3</v>
      </c>
      <c r="AD148" s="14">
        <v>7</v>
      </c>
      <c r="AE148" s="14">
        <v>7</v>
      </c>
      <c r="AF148" s="14">
        <v>6</v>
      </c>
      <c r="AG148" s="17" t="s">
        <v>62</v>
      </c>
      <c r="AH148" s="14">
        <v>106</v>
      </c>
      <c r="AI148" s="14">
        <v>106</v>
      </c>
      <c r="AJ148" s="14">
        <v>91</v>
      </c>
      <c r="AK148" s="14">
        <v>0</v>
      </c>
      <c r="AL148" s="14">
        <v>3</v>
      </c>
      <c r="AM148" s="16">
        <v>7</v>
      </c>
      <c r="AN148" s="16">
        <v>7</v>
      </c>
      <c r="AO148" s="16">
        <v>7</v>
      </c>
      <c r="AP148" s="16">
        <v>7</v>
      </c>
      <c r="AQ148" s="16">
        <v>6</v>
      </c>
      <c r="AR148" s="16">
        <v>6</v>
      </c>
      <c r="AS148" s="16">
        <v>7</v>
      </c>
      <c r="AT148" s="16">
        <v>5</v>
      </c>
      <c r="AU148" s="16">
        <v>6</v>
      </c>
      <c r="AV148" s="16">
        <v>7</v>
      </c>
      <c r="AW148" s="16">
        <v>18</v>
      </c>
      <c r="AX148" s="16">
        <v>4</v>
      </c>
      <c r="AY148" s="16">
        <v>1</v>
      </c>
      <c r="AZ148" s="16">
        <v>1</v>
      </c>
      <c r="BA148" s="16">
        <v>2</v>
      </c>
      <c r="BB148" s="16">
        <v>1</v>
      </c>
      <c r="BC148" s="16">
        <v>1</v>
      </c>
      <c r="BD148" s="16">
        <v>0</v>
      </c>
      <c r="BE148" s="16">
        <v>1</v>
      </c>
      <c r="BF148" s="16">
        <v>0</v>
      </c>
      <c r="BG148" s="16">
        <v>29</v>
      </c>
      <c r="BH148" s="16">
        <v>4.4000000000000004</v>
      </c>
      <c r="BI148" s="15" t="s">
        <v>67</v>
      </c>
      <c r="BJ148" s="16">
        <v>7</v>
      </c>
      <c r="BK148" s="16">
        <v>7</v>
      </c>
      <c r="BL148" s="16">
        <v>7</v>
      </c>
      <c r="BM148" s="16">
        <v>7</v>
      </c>
      <c r="BN148" s="16">
        <v>7</v>
      </c>
      <c r="BO148" s="16">
        <v>6</v>
      </c>
      <c r="BP148" s="16">
        <v>6</v>
      </c>
      <c r="BQ148" s="16">
        <v>6</v>
      </c>
      <c r="BR148" s="16">
        <v>6</v>
      </c>
      <c r="BS148" s="16">
        <v>6</v>
      </c>
      <c r="BT148" s="16">
        <v>6</v>
      </c>
      <c r="BU148" s="16">
        <v>0</v>
      </c>
      <c r="BV148" s="16">
        <v>2</v>
      </c>
      <c r="BW148" s="16">
        <v>2</v>
      </c>
      <c r="BX148" s="16">
        <v>2</v>
      </c>
      <c r="BY148" s="16">
        <v>1</v>
      </c>
      <c r="BZ148" s="16">
        <v>0</v>
      </c>
      <c r="CA148" s="16">
        <v>0</v>
      </c>
      <c r="CB148" s="16">
        <v>1</v>
      </c>
      <c r="CC148" s="16">
        <v>2</v>
      </c>
      <c r="CD148" s="16">
        <v>16</v>
      </c>
      <c r="CE148" s="16">
        <v>2.4</v>
      </c>
      <c r="CF148" s="15" t="s">
        <v>63</v>
      </c>
      <c r="CG148" s="15" t="s">
        <v>64</v>
      </c>
      <c r="CH148" s="15">
        <v>4.86E-4</v>
      </c>
      <c r="CI148" s="14">
        <v>6</v>
      </c>
      <c r="CJ148" s="79">
        <v>1</v>
      </c>
      <c r="CK148" s="79">
        <v>1</v>
      </c>
      <c r="CL148" s="79">
        <v>1</v>
      </c>
      <c r="CM148" s="79">
        <v>151.75662500000001</v>
      </c>
      <c r="CN148" s="79">
        <v>1</v>
      </c>
      <c r="CO148" s="79">
        <v>1</v>
      </c>
      <c r="CP148" s="79" t="s">
        <v>224</v>
      </c>
      <c r="CQ148" s="79" t="s">
        <v>224</v>
      </c>
      <c r="CR148" s="12">
        <f>IF(COUNTIF(Incl!A:A,Raw!J148),1, "")</f>
        <v>1</v>
      </c>
    </row>
    <row r="149" spans="1:96" ht="13.5" thickTop="1" thickBot="1" x14ac:dyDescent="0.3">
      <c r="A149" s="18">
        <v>146</v>
      </c>
      <c r="B149" s="19">
        <v>1</v>
      </c>
      <c r="C149" s="20">
        <v>183.72690499999999</v>
      </c>
      <c r="D149" s="19">
        <v>149</v>
      </c>
      <c r="E149" s="19">
        <v>1</v>
      </c>
      <c r="F149" s="19">
        <v>178</v>
      </c>
      <c r="G149" s="21">
        <v>221</v>
      </c>
      <c r="H149" s="19">
        <v>221</v>
      </c>
      <c r="I149" s="19">
        <v>221</v>
      </c>
      <c r="J149" s="19">
        <v>221</v>
      </c>
      <c r="K149" s="20" t="s">
        <v>116</v>
      </c>
      <c r="L149" s="20" t="s">
        <v>115</v>
      </c>
      <c r="M149" s="20" t="s">
        <v>69</v>
      </c>
      <c r="N149" s="22" t="s">
        <v>62</v>
      </c>
      <c r="O149" s="21">
        <v>8</v>
      </c>
      <c r="P149" s="22" t="s">
        <v>62</v>
      </c>
      <c r="Q149" s="22" t="s">
        <v>62</v>
      </c>
      <c r="R149" s="21" t="s">
        <v>62</v>
      </c>
      <c r="S149" s="22" t="s">
        <v>62</v>
      </c>
      <c r="T149" s="19">
        <v>8</v>
      </c>
      <c r="U149" s="21">
        <v>9</v>
      </c>
      <c r="V149" s="21">
        <v>5</v>
      </c>
      <c r="W149" s="21">
        <v>8</v>
      </c>
      <c r="X149" s="22">
        <v>8</v>
      </c>
      <c r="Y149" s="19">
        <v>108</v>
      </c>
      <c r="Z149" s="19">
        <v>60</v>
      </c>
      <c r="AA149" s="19">
        <v>96</v>
      </c>
      <c r="AB149" s="19">
        <v>96</v>
      </c>
      <c r="AC149" s="19">
        <v>3</v>
      </c>
      <c r="AD149" s="19">
        <v>2</v>
      </c>
      <c r="AE149" s="19">
        <v>2</v>
      </c>
      <c r="AF149" s="19">
        <v>4</v>
      </c>
      <c r="AG149" s="22">
        <v>7</v>
      </c>
      <c r="AH149" s="19">
        <v>24</v>
      </c>
      <c r="AI149" s="19">
        <v>24</v>
      </c>
      <c r="AJ149" s="19">
        <v>48</v>
      </c>
      <c r="AK149" s="19">
        <v>84</v>
      </c>
      <c r="AL149" s="19">
        <v>1</v>
      </c>
      <c r="AM149" s="21" t="s">
        <v>62</v>
      </c>
      <c r="AN149" s="21" t="s">
        <v>62</v>
      </c>
      <c r="AO149" s="21" t="s">
        <v>62</v>
      </c>
      <c r="AP149" s="21" t="s">
        <v>62</v>
      </c>
      <c r="AQ149" s="21" t="s">
        <v>62</v>
      </c>
      <c r="AR149" s="21" t="s">
        <v>62</v>
      </c>
      <c r="AS149" s="21" t="s">
        <v>62</v>
      </c>
      <c r="AT149" s="21" t="s">
        <v>62</v>
      </c>
      <c r="AU149" s="21" t="s">
        <v>62</v>
      </c>
      <c r="AV149" s="21" t="s">
        <v>62</v>
      </c>
      <c r="AW149" s="21" t="s">
        <v>62</v>
      </c>
      <c r="AX149" s="21" t="s">
        <v>62</v>
      </c>
      <c r="AY149" s="21" t="s">
        <v>62</v>
      </c>
      <c r="AZ149" s="21" t="s">
        <v>62</v>
      </c>
      <c r="BA149" s="21" t="s">
        <v>62</v>
      </c>
      <c r="BB149" s="21" t="s">
        <v>62</v>
      </c>
      <c r="BC149" s="21" t="s">
        <v>62</v>
      </c>
      <c r="BD149" s="21" t="s">
        <v>62</v>
      </c>
      <c r="BE149" s="21" t="s">
        <v>62</v>
      </c>
      <c r="BF149" s="21" t="s">
        <v>62</v>
      </c>
      <c r="BG149" s="21" t="s">
        <v>62</v>
      </c>
      <c r="BH149" s="21" t="s">
        <v>62</v>
      </c>
      <c r="BI149" s="20" t="s">
        <v>62</v>
      </c>
      <c r="BJ149" s="21" t="s">
        <v>62</v>
      </c>
      <c r="BK149" s="21" t="s">
        <v>62</v>
      </c>
      <c r="BL149" s="21" t="s">
        <v>62</v>
      </c>
      <c r="BM149" s="21" t="s">
        <v>62</v>
      </c>
      <c r="BN149" s="21" t="s">
        <v>62</v>
      </c>
      <c r="BO149" s="21" t="s">
        <v>62</v>
      </c>
      <c r="BP149" s="21" t="s">
        <v>62</v>
      </c>
      <c r="BQ149" s="21" t="s">
        <v>62</v>
      </c>
      <c r="BR149" s="21" t="s">
        <v>62</v>
      </c>
      <c r="BS149" s="21" t="s">
        <v>62</v>
      </c>
      <c r="BT149" s="21" t="s">
        <v>62</v>
      </c>
      <c r="BU149" s="21" t="s">
        <v>62</v>
      </c>
      <c r="BV149" s="21" t="s">
        <v>62</v>
      </c>
      <c r="BW149" s="21" t="s">
        <v>62</v>
      </c>
      <c r="BX149" s="21" t="s">
        <v>62</v>
      </c>
      <c r="BY149" s="21" t="s">
        <v>62</v>
      </c>
      <c r="BZ149" s="21" t="s">
        <v>62</v>
      </c>
      <c r="CA149" s="21" t="s">
        <v>62</v>
      </c>
      <c r="CB149" s="21" t="s">
        <v>62</v>
      </c>
      <c r="CC149" s="21" t="s">
        <v>62</v>
      </c>
      <c r="CD149" s="21" t="s">
        <v>62</v>
      </c>
      <c r="CE149" s="21" t="s">
        <v>62</v>
      </c>
      <c r="CF149" s="20" t="s">
        <v>62</v>
      </c>
      <c r="CG149" s="20" t="s">
        <v>66</v>
      </c>
      <c r="CH149" s="20">
        <v>5.9400000000000002E-4</v>
      </c>
      <c r="CI149" s="19">
        <v>4</v>
      </c>
      <c r="CJ149" s="78">
        <v>3</v>
      </c>
      <c r="CK149" s="78" t="s">
        <v>224</v>
      </c>
      <c r="CL149" s="78" t="s">
        <v>224</v>
      </c>
      <c r="CM149" s="78">
        <v>183.726742</v>
      </c>
      <c r="CN149" s="78">
        <v>2</v>
      </c>
      <c r="CO149" s="78" t="s">
        <v>224</v>
      </c>
      <c r="CP149" s="78" t="s">
        <v>224</v>
      </c>
      <c r="CQ149" s="78" t="s">
        <v>224</v>
      </c>
      <c r="CR149" s="12" t="str">
        <f>IF(COUNTIF(Incl!A:A,Raw!J149),1, "")</f>
        <v/>
      </c>
    </row>
    <row r="150" spans="1:96" ht="13.5" thickTop="1" thickBot="1" x14ac:dyDescent="0.3">
      <c r="A150" s="13">
        <v>147</v>
      </c>
      <c r="B150" s="14">
        <v>1</v>
      </c>
      <c r="C150" s="15">
        <v>176.68782999999999</v>
      </c>
      <c r="D150" s="14">
        <v>150</v>
      </c>
      <c r="E150" s="14">
        <v>1</v>
      </c>
      <c r="F150" s="14">
        <v>179</v>
      </c>
      <c r="G150" s="16">
        <v>223</v>
      </c>
      <c r="H150" s="14">
        <v>223</v>
      </c>
      <c r="I150" s="14">
        <v>223</v>
      </c>
      <c r="J150" s="14">
        <v>223</v>
      </c>
      <c r="K150" s="15" t="s">
        <v>116</v>
      </c>
      <c r="L150" s="15" t="s">
        <v>69</v>
      </c>
      <c r="M150" s="15" t="s">
        <v>82</v>
      </c>
      <c r="N150" s="17" t="s">
        <v>62</v>
      </c>
      <c r="O150" s="16">
        <v>6</v>
      </c>
      <c r="P150" s="17" t="s">
        <v>62</v>
      </c>
      <c r="Q150" s="17" t="s">
        <v>62</v>
      </c>
      <c r="R150" s="17" t="s">
        <v>62</v>
      </c>
      <c r="S150" s="17" t="s">
        <v>62</v>
      </c>
      <c r="T150" s="14">
        <v>6</v>
      </c>
      <c r="U150" s="17">
        <v>6</v>
      </c>
      <c r="V150" s="16">
        <v>6</v>
      </c>
      <c r="W150" s="16">
        <v>6</v>
      </c>
      <c r="X150" s="17">
        <v>6</v>
      </c>
      <c r="Y150" s="14">
        <v>94</v>
      </c>
      <c r="Z150" s="14">
        <v>94</v>
      </c>
      <c r="AA150" s="14">
        <v>94</v>
      </c>
      <c r="AB150" s="14">
        <v>94</v>
      </c>
      <c r="AC150" s="14">
        <v>4</v>
      </c>
      <c r="AD150" s="14">
        <v>6</v>
      </c>
      <c r="AE150" s="14">
        <v>6</v>
      </c>
      <c r="AF150" s="14">
        <v>7</v>
      </c>
      <c r="AG150" s="17">
        <v>7</v>
      </c>
      <c r="AH150" s="14">
        <v>94</v>
      </c>
      <c r="AI150" s="14">
        <v>94</v>
      </c>
      <c r="AJ150" s="14">
        <v>109</v>
      </c>
      <c r="AK150" s="14">
        <v>109</v>
      </c>
      <c r="AL150" s="14">
        <v>4</v>
      </c>
      <c r="AM150" s="16" t="s">
        <v>62</v>
      </c>
      <c r="AN150" s="16" t="s">
        <v>62</v>
      </c>
      <c r="AO150" s="16" t="s">
        <v>62</v>
      </c>
      <c r="AP150" s="16" t="s">
        <v>62</v>
      </c>
      <c r="AQ150" s="16" t="s">
        <v>62</v>
      </c>
      <c r="AR150" s="16" t="s">
        <v>62</v>
      </c>
      <c r="AS150" s="16" t="s">
        <v>62</v>
      </c>
      <c r="AT150" s="16" t="s">
        <v>62</v>
      </c>
      <c r="AU150" s="16" t="s">
        <v>62</v>
      </c>
      <c r="AV150" s="16" t="s">
        <v>62</v>
      </c>
      <c r="AW150" s="16" t="s">
        <v>62</v>
      </c>
      <c r="AX150" s="16" t="s">
        <v>62</v>
      </c>
      <c r="AY150" s="16" t="s">
        <v>62</v>
      </c>
      <c r="AZ150" s="16" t="s">
        <v>62</v>
      </c>
      <c r="BA150" s="16" t="s">
        <v>62</v>
      </c>
      <c r="BB150" s="16" t="s">
        <v>62</v>
      </c>
      <c r="BC150" s="16" t="s">
        <v>62</v>
      </c>
      <c r="BD150" s="16" t="s">
        <v>62</v>
      </c>
      <c r="BE150" s="16" t="s">
        <v>62</v>
      </c>
      <c r="BF150" s="16" t="s">
        <v>62</v>
      </c>
      <c r="BG150" s="16" t="s">
        <v>62</v>
      </c>
      <c r="BH150" s="16" t="s">
        <v>62</v>
      </c>
      <c r="BI150" s="15" t="s">
        <v>62</v>
      </c>
      <c r="BJ150" s="16" t="s">
        <v>62</v>
      </c>
      <c r="BK150" s="16" t="s">
        <v>62</v>
      </c>
      <c r="BL150" s="16" t="s">
        <v>62</v>
      </c>
      <c r="BM150" s="16" t="s">
        <v>62</v>
      </c>
      <c r="BN150" s="16" t="s">
        <v>62</v>
      </c>
      <c r="BO150" s="16" t="s">
        <v>62</v>
      </c>
      <c r="BP150" s="16" t="s">
        <v>62</v>
      </c>
      <c r="BQ150" s="16" t="s">
        <v>62</v>
      </c>
      <c r="BR150" s="16" t="s">
        <v>62</v>
      </c>
      <c r="BS150" s="16" t="s">
        <v>62</v>
      </c>
      <c r="BT150" s="16" t="s">
        <v>62</v>
      </c>
      <c r="BU150" s="16" t="s">
        <v>62</v>
      </c>
      <c r="BV150" s="16" t="s">
        <v>62</v>
      </c>
      <c r="BW150" s="16" t="s">
        <v>62</v>
      </c>
      <c r="BX150" s="16" t="s">
        <v>62</v>
      </c>
      <c r="BY150" s="16" t="s">
        <v>62</v>
      </c>
      <c r="BZ150" s="16" t="s">
        <v>62</v>
      </c>
      <c r="CA150" s="16" t="s">
        <v>62</v>
      </c>
      <c r="CB150" s="16" t="s">
        <v>62</v>
      </c>
      <c r="CC150" s="16" t="s">
        <v>62</v>
      </c>
      <c r="CD150" s="16" t="s">
        <v>62</v>
      </c>
      <c r="CE150" s="16" t="s">
        <v>62</v>
      </c>
      <c r="CF150" s="15" t="s">
        <v>62</v>
      </c>
      <c r="CG150" s="15" t="s">
        <v>66</v>
      </c>
      <c r="CH150" s="15">
        <v>5.6999999999999998E-4</v>
      </c>
      <c r="CI150" s="14">
        <v>8</v>
      </c>
      <c r="CJ150" s="79">
        <v>3</v>
      </c>
      <c r="CK150" s="79" t="s">
        <v>224</v>
      </c>
      <c r="CL150" s="79">
        <v>0</v>
      </c>
      <c r="CM150" s="79">
        <v>176.68792300000001</v>
      </c>
      <c r="CN150" s="79">
        <v>2</v>
      </c>
      <c r="CO150" s="79" t="s">
        <v>224</v>
      </c>
      <c r="CP150" s="79" t="s">
        <v>224</v>
      </c>
      <c r="CQ150" s="79" t="s">
        <v>224</v>
      </c>
      <c r="CR150" s="12" t="str">
        <f>IF(COUNTIF(Incl!A:A,Raw!J150),1, "")</f>
        <v/>
      </c>
    </row>
    <row r="151" spans="1:96" ht="13.5" thickTop="1" thickBot="1" x14ac:dyDescent="0.3">
      <c r="A151" s="18">
        <v>148</v>
      </c>
      <c r="B151" s="19">
        <v>1</v>
      </c>
      <c r="C151" s="20">
        <v>187.57134400000001</v>
      </c>
      <c r="D151" s="19">
        <v>151</v>
      </c>
      <c r="E151" s="19">
        <v>1</v>
      </c>
      <c r="F151" s="19">
        <v>180</v>
      </c>
      <c r="G151" s="21">
        <v>225</v>
      </c>
      <c r="H151" s="19">
        <v>225</v>
      </c>
      <c r="I151" s="19">
        <v>225</v>
      </c>
      <c r="J151" s="19">
        <v>225</v>
      </c>
      <c r="K151" s="20" t="s">
        <v>116</v>
      </c>
      <c r="L151" s="20" t="s">
        <v>82</v>
      </c>
      <c r="M151" s="20" t="s">
        <v>60</v>
      </c>
      <c r="N151" s="22" t="s">
        <v>62</v>
      </c>
      <c r="O151" s="21">
        <v>8</v>
      </c>
      <c r="P151" s="22" t="s">
        <v>62</v>
      </c>
      <c r="Q151" s="22" t="s">
        <v>62</v>
      </c>
      <c r="R151" s="22" t="s">
        <v>62</v>
      </c>
      <c r="S151" s="22" t="s">
        <v>62</v>
      </c>
      <c r="T151" s="19">
        <v>8</v>
      </c>
      <c r="U151" s="21">
        <v>7</v>
      </c>
      <c r="V151" s="21">
        <v>6</v>
      </c>
      <c r="W151" s="21">
        <v>5</v>
      </c>
      <c r="X151" s="22" t="s">
        <v>62</v>
      </c>
      <c r="Y151" s="19">
        <v>86</v>
      </c>
      <c r="Z151" s="19">
        <v>74</v>
      </c>
      <c r="AA151" s="19">
        <v>62</v>
      </c>
      <c r="AB151" s="19">
        <v>0</v>
      </c>
      <c r="AC151" s="19">
        <v>1</v>
      </c>
      <c r="AD151" s="19">
        <v>6</v>
      </c>
      <c r="AE151" s="19">
        <v>8</v>
      </c>
      <c r="AF151" s="19">
        <v>6</v>
      </c>
      <c r="AG151" s="22" t="s">
        <v>62</v>
      </c>
      <c r="AH151" s="19">
        <v>74</v>
      </c>
      <c r="AI151" s="19">
        <v>99</v>
      </c>
      <c r="AJ151" s="19">
        <v>74</v>
      </c>
      <c r="AK151" s="19">
        <v>0</v>
      </c>
      <c r="AL151" s="19">
        <v>1</v>
      </c>
      <c r="AM151" s="21">
        <v>7</v>
      </c>
      <c r="AN151" s="21">
        <v>7</v>
      </c>
      <c r="AO151" s="21">
        <v>7</v>
      </c>
      <c r="AP151" s="21">
        <v>7</v>
      </c>
      <c r="AQ151" s="21">
        <v>6</v>
      </c>
      <c r="AR151" s="21">
        <v>6</v>
      </c>
      <c r="AS151" s="21">
        <v>6</v>
      </c>
      <c r="AT151" s="21">
        <v>5</v>
      </c>
      <c r="AU151" s="21">
        <v>5</v>
      </c>
      <c r="AV151" s="21">
        <v>9</v>
      </c>
      <c r="AW151" s="21">
        <v>9</v>
      </c>
      <c r="AX151" s="21">
        <v>1</v>
      </c>
      <c r="AY151" s="21">
        <v>0</v>
      </c>
      <c r="AZ151" s="21">
        <v>2</v>
      </c>
      <c r="BA151" s="21">
        <v>0</v>
      </c>
      <c r="BB151" s="21">
        <v>1</v>
      </c>
      <c r="BC151" s="21">
        <v>0</v>
      </c>
      <c r="BD151" s="21">
        <v>0</v>
      </c>
      <c r="BE151" s="21">
        <v>0</v>
      </c>
      <c r="BF151" s="21">
        <v>4</v>
      </c>
      <c r="BG151" s="21">
        <v>17</v>
      </c>
      <c r="BH151" s="21">
        <v>2.1</v>
      </c>
      <c r="BI151" s="20" t="s">
        <v>63</v>
      </c>
      <c r="BJ151" s="21">
        <v>6</v>
      </c>
      <c r="BK151" s="21">
        <v>7</v>
      </c>
      <c r="BL151" s="21">
        <v>7</v>
      </c>
      <c r="BM151" s="21">
        <v>7</v>
      </c>
      <c r="BN151" s="21">
        <v>8</v>
      </c>
      <c r="BO151" s="21">
        <v>5</v>
      </c>
      <c r="BP151" s="21">
        <v>7</v>
      </c>
      <c r="BQ151" s="21">
        <v>8</v>
      </c>
      <c r="BR151" s="21">
        <v>6</v>
      </c>
      <c r="BS151" s="21">
        <v>6</v>
      </c>
      <c r="BT151" s="21">
        <v>10</v>
      </c>
      <c r="BU151" s="21">
        <v>11</v>
      </c>
      <c r="BV151" s="21">
        <v>3</v>
      </c>
      <c r="BW151" s="21">
        <v>0</v>
      </c>
      <c r="BX151" s="21">
        <v>0</v>
      </c>
      <c r="BY151" s="21">
        <v>1</v>
      </c>
      <c r="BZ151" s="21">
        <v>0</v>
      </c>
      <c r="CA151" s="21">
        <v>0</v>
      </c>
      <c r="CB151" s="21">
        <v>0</v>
      </c>
      <c r="CC151" s="21">
        <v>2</v>
      </c>
      <c r="CD151" s="21">
        <v>27</v>
      </c>
      <c r="CE151" s="21">
        <v>3.3</v>
      </c>
      <c r="CF151" s="20" t="s">
        <v>65</v>
      </c>
      <c r="CG151" s="20" t="s">
        <v>66</v>
      </c>
      <c r="CH151" s="20">
        <v>6.02E-4</v>
      </c>
      <c r="CI151" s="19">
        <v>2</v>
      </c>
      <c r="CJ151" s="78">
        <v>1</v>
      </c>
      <c r="CK151" s="78">
        <v>1</v>
      </c>
      <c r="CL151" s="78">
        <v>1</v>
      </c>
      <c r="CM151" s="78">
        <v>187.57155800000001</v>
      </c>
      <c r="CN151" s="78">
        <v>1</v>
      </c>
      <c r="CO151" s="78">
        <v>1</v>
      </c>
      <c r="CP151" s="78" t="s">
        <v>224</v>
      </c>
      <c r="CQ151" s="78" t="s">
        <v>224</v>
      </c>
      <c r="CR151" s="12">
        <f>IF(COUNTIF(Incl!A:A,Raw!J151),1, "")</f>
        <v>1</v>
      </c>
    </row>
    <row r="152" spans="1:96" ht="13.5" thickTop="1" thickBot="1" x14ac:dyDescent="0.3">
      <c r="A152" s="18">
        <v>149</v>
      </c>
      <c r="B152" s="19">
        <v>1</v>
      </c>
      <c r="C152" s="20">
        <v>422.00525499999998</v>
      </c>
      <c r="D152" s="19">
        <v>152</v>
      </c>
      <c r="E152" s="19">
        <v>1</v>
      </c>
      <c r="F152" s="19">
        <v>181</v>
      </c>
      <c r="G152" s="21">
        <v>42</v>
      </c>
      <c r="H152" s="19">
        <v>42</v>
      </c>
      <c r="I152" s="19">
        <v>42</v>
      </c>
      <c r="J152" s="19">
        <v>42</v>
      </c>
      <c r="K152" s="20" t="s">
        <v>115</v>
      </c>
      <c r="L152" s="20" t="s">
        <v>117</v>
      </c>
      <c r="M152" s="20" t="s">
        <v>116</v>
      </c>
      <c r="N152" s="22" t="s">
        <v>62</v>
      </c>
      <c r="O152" s="21" t="s">
        <v>62</v>
      </c>
      <c r="P152" s="22" t="s">
        <v>62</v>
      </c>
      <c r="Q152" s="22" t="s">
        <v>62</v>
      </c>
      <c r="R152" s="22" t="s">
        <v>62</v>
      </c>
      <c r="S152" s="22">
        <v>15</v>
      </c>
      <c r="T152" s="19">
        <v>15</v>
      </c>
      <c r="U152" s="21">
        <v>15</v>
      </c>
      <c r="V152" s="21">
        <v>15</v>
      </c>
      <c r="W152" s="21">
        <v>12</v>
      </c>
      <c r="X152" s="22">
        <v>13</v>
      </c>
      <c r="Y152" s="19">
        <v>101</v>
      </c>
      <c r="Z152" s="19">
        <v>101</v>
      </c>
      <c r="AA152" s="19">
        <v>81</v>
      </c>
      <c r="AB152" s="19">
        <v>87</v>
      </c>
      <c r="AC152" s="19">
        <v>4</v>
      </c>
      <c r="AD152" s="19">
        <v>6</v>
      </c>
      <c r="AE152" s="19">
        <v>13</v>
      </c>
      <c r="AF152" s="19">
        <v>9</v>
      </c>
      <c r="AG152" s="22">
        <v>10</v>
      </c>
      <c r="AH152" s="19">
        <v>40</v>
      </c>
      <c r="AI152" s="19">
        <v>87</v>
      </c>
      <c r="AJ152" s="19">
        <v>60</v>
      </c>
      <c r="AK152" s="19">
        <v>67</v>
      </c>
      <c r="AL152" s="19">
        <v>1</v>
      </c>
      <c r="AM152" s="21" t="s">
        <v>62</v>
      </c>
      <c r="AN152" s="21" t="s">
        <v>62</v>
      </c>
      <c r="AO152" s="21" t="s">
        <v>62</v>
      </c>
      <c r="AP152" s="21" t="s">
        <v>62</v>
      </c>
      <c r="AQ152" s="21" t="s">
        <v>62</v>
      </c>
      <c r="AR152" s="21" t="s">
        <v>62</v>
      </c>
      <c r="AS152" s="21" t="s">
        <v>62</v>
      </c>
      <c r="AT152" s="21" t="s">
        <v>62</v>
      </c>
      <c r="AU152" s="21" t="s">
        <v>62</v>
      </c>
      <c r="AV152" s="21" t="s">
        <v>62</v>
      </c>
      <c r="AW152" s="21" t="s">
        <v>62</v>
      </c>
      <c r="AX152" s="21" t="s">
        <v>62</v>
      </c>
      <c r="AY152" s="21" t="s">
        <v>62</v>
      </c>
      <c r="AZ152" s="21" t="s">
        <v>62</v>
      </c>
      <c r="BA152" s="21" t="s">
        <v>62</v>
      </c>
      <c r="BB152" s="21" t="s">
        <v>62</v>
      </c>
      <c r="BC152" s="21" t="s">
        <v>62</v>
      </c>
      <c r="BD152" s="21" t="s">
        <v>62</v>
      </c>
      <c r="BE152" s="21" t="s">
        <v>62</v>
      </c>
      <c r="BF152" s="21" t="s">
        <v>62</v>
      </c>
      <c r="BG152" s="21" t="s">
        <v>62</v>
      </c>
      <c r="BH152" s="21" t="s">
        <v>62</v>
      </c>
      <c r="BI152" s="20" t="s">
        <v>62</v>
      </c>
      <c r="BJ152" s="21" t="s">
        <v>62</v>
      </c>
      <c r="BK152" s="21" t="s">
        <v>62</v>
      </c>
      <c r="BL152" s="21" t="s">
        <v>62</v>
      </c>
      <c r="BM152" s="21" t="s">
        <v>62</v>
      </c>
      <c r="BN152" s="21" t="s">
        <v>62</v>
      </c>
      <c r="BO152" s="21" t="s">
        <v>62</v>
      </c>
      <c r="BP152" s="21" t="s">
        <v>62</v>
      </c>
      <c r="BQ152" s="21" t="s">
        <v>62</v>
      </c>
      <c r="BR152" s="21" t="s">
        <v>62</v>
      </c>
      <c r="BS152" s="21" t="s">
        <v>62</v>
      </c>
      <c r="BT152" s="21" t="s">
        <v>62</v>
      </c>
      <c r="BU152" s="21" t="s">
        <v>62</v>
      </c>
      <c r="BV152" s="21" t="s">
        <v>62</v>
      </c>
      <c r="BW152" s="21" t="s">
        <v>62</v>
      </c>
      <c r="BX152" s="21" t="s">
        <v>62</v>
      </c>
      <c r="BY152" s="21" t="s">
        <v>62</v>
      </c>
      <c r="BZ152" s="21" t="s">
        <v>62</v>
      </c>
      <c r="CA152" s="21" t="s">
        <v>62</v>
      </c>
      <c r="CB152" s="21" t="s">
        <v>62</v>
      </c>
      <c r="CC152" s="21" t="s">
        <v>62</v>
      </c>
      <c r="CD152" s="21" t="s">
        <v>62</v>
      </c>
      <c r="CE152" s="21" t="s">
        <v>62</v>
      </c>
      <c r="CF152" s="20" t="s">
        <v>62</v>
      </c>
      <c r="CG152" s="20" t="s">
        <v>74</v>
      </c>
      <c r="CH152" s="20">
        <v>1.3240000000000001E-3</v>
      </c>
      <c r="CI152" s="19">
        <v>5</v>
      </c>
      <c r="CJ152" s="78">
        <v>3</v>
      </c>
      <c r="CK152" s="78" t="s">
        <v>224</v>
      </c>
      <c r="CL152" s="78" t="s">
        <v>224</v>
      </c>
      <c r="CM152" s="78">
        <v>436.88604099999998</v>
      </c>
      <c r="CN152" s="78">
        <v>2</v>
      </c>
      <c r="CO152" s="78" t="s">
        <v>224</v>
      </c>
      <c r="CP152" s="78" t="s">
        <v>224</v>
      </c>
      <c r="CQ152" s="78" t="s">
        <v>224</v>
      </c>
      <c r="CR152" s="12" t="str">
        <f>IF(COUNTIF(Incl!A:A,Raw!J152),1, "")</f>
        <v/>
      </c>
    </row>
    <row r="153" spans="1:96" ht="13.5" thickTop="1" thickBot="1" x14ac:dyDescent="0.3">
      <c r="A153" s="18">
        <v>150</v>
      </c>
      <c r="B153" s="19">
        <v>1</v>
      </c>
      <c r="C153" s="20">
        <v>434.795928</v>
      </c>
      <c r="D153" s="19">
        <v>153</v>
      </c>
      <c r="E153" s="19">
        <v>1</v>
      </c>
      <c r="F153" s="19">
        <v>182</v>
      </c>
      <c r="G153" s="21">
        <v>60</v>
      </c>
      <c r="H153" s="19">
        <v>60</v>
      </c>
      <c r="I153" s="19">
        <v>60</v>
      </c>
      <c r="J153" s="19">
        <v>60</v>
      </c>
      <c r="K153" s="20" t="s">
        <v>69</v>
      </c>
      <c r="L153" s="20" t="s">
        <v>116</v>
      </c>
      <c r="M153" s="20" t="s">
        <v>117</v>
      </c>
      <c r="N153" s="22" t="s">
        <v>62</v>
      </c>
      <c r="O153" s="22">
        <v>14</v>
      </c>
      <c r="P153" s="22" t="s">
        <v>62</v>
      </c>
      <c r="Q153" s="22" t="s">
        <v>62</v>
      </c>
      <c r="R153" s="22" t="s">
        <v>62</v>
      </c>
      <c r="S153" s="22" t="s">
        <v>62</v>
      </c>
      <c r="T153" s="19">
        <v>14</v>
      </c>
      <c r="U153" s="22">
        <v>14</v>
      </c>
      <c r="V153" s="22">
        <v>12</v>
      </c>
      <c r="W153" s="22">
        <v>12</v>
      </c>
      <c r="X153" s="22">
        <v>11</v>
      </c>
      <c r="Y153" s="19">
        <v>98</v>
      </c>
      <c r="Z153" s="19">
        <v>84</v>
      </c>
      <c r="AA153" s="19">
        <v>84</v>
      </c>
      <c r="AB153" s="19">
        <v>77</v>
      </c>
      <c r="AC153" s="19">
        <v>4</v>
      </c>
      <c r="AD153" s="19">
        <v>7</v>
      </c>
      <c r="AE153" s="19">
        <v>10</v>
      </c>
      <c r="AF153" s="19">
        <v>11</v>
      </c>
      <c r="AG153" s="22">
        <v>11</v>
      </c>
      <c r="AH153" s="19">
        <v>49</v>
      </c>
      <c r="AI153" s="19">
        <v>70</v>
      </c>
      <c r="AJ153" s="19">
        <v>77</v>
      </c>
      <c r="AK153" s="19">
        <v>77</v>
      </c>
      <c r="AL153" s="19">
        <v>2</v>
      </c>
      <c r="AM153" s="21" t="s">
        <v>62</v>
      </c>
      <c r="AN153" s="21" t="s">
        <v>62</v>
      </c>
      <c r="AO153" s="21" t="s">
        <v>62</v>
      </c>
      <c r="AP153" s="21" t="s">
        <v>62</v>
      </c>
      <c r="AQ153" s="21" t="s">
        <v>62</v>
      </c>
      <c r="AR153" s="21" t="s">
        <v>62</v>
      </c>
      <c r="AS153" s="21" t="s">
        <v>62</v>
      </c>
      <c r="AT153" s="21" t="s">
        <v>62</v>
      </c>
      <c r="AU153" s="21" t="s">
        <v>62</v>
      </c>
      <c r="AV153" s="21" t="s">
        <v>62</v>
      </c>
      <c r="AW153" s="21" t="s">
        <v>62</v>
      </c>
      <c r="AX153" s="21" t="s">
        <v>62</v>
      </c>
      <c r="AY153" s="21" t="s">
        <v>62</v>
      </c>
      <c r="AZ153" s="21" t="s">
        <v>62</v>
      </c>
      <c r="BA153" s="21" t="s">
        <v>62</v>
      </c>
      <c r="BB153" s="21" t="s">
        <v>62</v>
      </c>
      <c r="BC153" s="21" t="s">
        <v>62</v>
      </c>
      <c r="BD153" s="21" t="s">
        <v>62</v>
      </c>
      <c r="BE153" s="21" t="s">
        <v>62</v>
      </c>
      <c r="BF153" s="21" t="s">
        <v>62</v>
      </c>
      <c r="BG153" s="21" t="s">
        <v>62</v>
      </c>
      <c r="BH153" s="21" t="s">
        <v>62</v>
      </c>
      <c r="BI153" s="20" t="s">
        <v>62</v>
      </c>
      <c r="BJ153" s="21" t="s">
        <v>62</v>
      </c>
      <c r="BK153" s="21" t="s">
        <v>62</v>
      </c>
      <c r="BL153" s="21" t="s">
        <v>62</v>
      </c>
      <c r="BM153" s="21" t="s">
        <v>62</v>
      </c>
      <c r="BN153" s="21" t="s">
        <v>62</v>
      </c>
      <c r="BO153" s="21" t="s">
        <v>62</v>
      </c>
      <c r="BP153" s="21" t="s">
        <v>62</v>
      </c>
      <c r="BQ153" s="21" t="s">
        <v>62</v>
      </c>
      <c r="BR153" s="21" t="s">
        <v>62</v>
      </c>
      <c r="BS153" s="21" t="s">
        <v>62</v>
      </c>
      <c r="BT153" s="21" t="s">
        <v>62</v>
      </c>
      <c r="BU153" s="21" t="s">
        <v>62</v>
      </c>
      <c r="BV153" s="21" t="s">
        <v>62</v>
      </c>
      <c r="BW153" s="21" t="s">
        <v>62</v>
      </c>
      <c r="BX153" s="21" t="s">
        <v>62</v>
      </c>
      <c r="BY153" s="21" t="s">
        <v>62</v>
      </c>
      <c r="BZ153" s="21" t="s">
        <v>62</v>
      </c>
      <c r="CA153" s="21" t="s">
        <v>62</v>
      </c>
      <c r="CB153" s="21" t="s">
        <v>62</v>
      </c>
      <c r="CC153" s="21" t="s">
        <v>62</v>
      </c>
      <c r="CD153" s="21" t="s">
        <v>62</v>
      </c>
      <c r="CE153" s="21" t="s">
        <v>62</v>
      </c>
      <c r="CF153" s="20" t="s">
        <v>62</v>
      </c>
      <c r="CG153" s="20" t="s">
        <v>71</v>
      </c>
      <c r="CH153" s="20">
        <v>1.335E-3</v>
      </c>
      <c r="CI153" s="19">
        <v>6</v>
      </c>
      <c r="CJ153" s="78">
        <v>3</v>
      </c>
      <c r="CK153" s="78" t="s">
        <v>224</v>
      </c>
      <c r="CL153" s="78" t="s">
        <v>224</v>
      </c>
      <c r="CM153" s="78">
        <v>436.44169099999999</v>
      </c>
      <c r="CN153" s="78">
        <v>2</v>
      </c>
      <c r="CO153" s="78" t="s">
        <v>224</v>
      </c>
      <c r="CP153" s="78" t="s">
        <v>224</v>
      </c>
      <c r="CQ153" s="78" t="s">
        <v>224</v>
      </c>
      <c r="CR153" s="12" t="str">
        <f>IF(COUNTIF(Incl!A:A,Raw!J153),1, "")</f>
        <v/>
      </c>
    </row>
    <row r="154" spans="1:96" ht="13.5" thickTop="1" thickBot="1" x14ac:dyDescent="0.3">
      <c r="A154" s="18">
        <v>151</v>
      </c>
      <c r="B154" s="19">
        <v>1</v>
      </c>
      <c r="C154" s="20">
        <v>431.09324299999997</v>
      </c>
      <c r="D154" s="19">
        <v>154</v>
      </c>
      <c r="E154" s="19">
        <v>1</v>
      </c>
      <c r="F154" s="19">
        <v>183</v>
      </c>
      <c r="G154" s="21">
        <v>61</v>
      </c>
      <c r="H154" s="19">
        <v>61</v>
      </c>
      <c r="I154" s="19">
        <v>61</v>
      </c>
      <c r="J154" s="19">
        <v>61</v>
      </c>
      <c r="K154" s="20" t="s">
        <v>69</v>
      </c>
      <c r="L154" s="20" t="s">
        <v>117</v>
      </c>
      <c r="M154" s="20" t="s">
        <v>116</v>
      </c>
      <c r="N154" s="22" t="s">
        <v>62</v>
      </c>
      <c r="O154" s="22">
        <v>16</v>
      </c>
      <c r="P154" s="22" t="s">
        <v>62</v>
      </c>
      <c r="Q154" s="22" t="s">
        <v>62</v>
      </c>
      <c r="R154" s="22" t="s">
        <v>62</v>
      </c>
      <c r="S154" s="22" t="s">
        <v>62</v>
      </c>
      <c r="T154" s="19">
        <v>16</v>
      </c>
      <c r="U154" s="22">
        <v>15</v>
      </c>
      <c r="V154" s="22">
        <v>9</v>
      </c>
      <c r="W154" s="22">
        <v>11</v>
      </c>
      <c r="X154" s="22">
        <v>10</v>
      </c>
      <c r="Y154" s="19">
        <v>95</v>
      </c>
      <c r="Z154" s="19">
        <v>57</v>
      </c>
      <c r="AA154" s="19">
        <v>70</v>
      </c>
      <c r="AB154" s="19">
        <v>63</v>
      </c>
      <c r="AC154" s="19">
        <v>1</v>
      </c>
      <c r="AD154" s="19">
        <v>8</v>
      </c>
      <c r="AE154" s="19">
        <v>10</v>
      </c>
      <c r="AF154" s="19">
        <v>11</v>
      </c>
      <c r="AG154" s="22">
        <v>12</v>
      </c>
      <c r="AH154" s="19">
        <v>51</v>
      </c>
      <c r="AI154" s="19">
        <v>63</v>
      </c>
      <c r="AJ154" s="19">
        <v>70</v>
      </c>
      <c r="AK154" s="19">
        <v>76</v>
      </c>
      <c r="AL154" s="19">
        <v>1</v>
      </c>
      <c r="AM154" s="21" t="s">
        <v>62</v>
      </c>
      <c r="AN154" s="21" t="s">
        <v>62</v>
      </c>
      <c r="AO154" s="21" t="s">
        <v>62</v>
      </c>
      <c r="AP154" s="21" t="s">
        <v>62</v>
      </c>
      <c r="AQ154" s="21" t="s">
        <v>62</v>
      </c>
      <c r="AR154" s="21" t="s">
        <v>62</v>
      </c>
      <c r="AS154" s="21" t="s">
        <v>62</v>
      </c>
      <c r="AT154" s="21" t="s">
        <v>62</v>
      </c>
      <c r="AU154" s="21" t="s">
        <v>62</v>
      </c>
      <c r="AV154" s="21" t="s">
        <v>62</v>
      </c>
      <c r="AW154" s="21" t="s">
        <v>62</v>
      </c>
      <c r="AX154" s="21" t="s">
        <v>62</v>
      </c>
      <c r="AY154" s="21" t="s">
        <v>62</v>
      </c>
      <c r="AZ154" s="21" t="s">
        <v>62</v>
      </c>
      <c r="BA154" s="21" t="s">
        <v>62</v>
      </c>
      <c r="BB154" s="21" t="s">
        <v>62</v>
      </c>
      <c r="BC154" s="21" t="s">
        <v>62</v>
      </c>
      <c r="BD154" s="21" t="s">
        <v>62</v>
      </c>
      <c r="BE154" s="21" t="s">
        <v>62</v>
      </c>
      <c r="BF154" s="21" t="s">
        <v>62</v>
      </c>
      <c r="BG154" s="21" t="s">
        <v>62</v>
      </c>
      <c r="BH154" s="21" t="s">
        <v>62</v>
      </c>
      <c r="BI154" s="20" t="s">
        <v>62</v>
      </c>
      <c r="BJ154" s="21" t="s">
        <v>62</v>
      </c>
      <c r="BK154" s="21" t="s">
        <v>62</v>
      </c>
      <c r="BL154" s="21" t="s">
        <v>62</v>
      </c>
      <c r="BM154" s="21" t="s">
        <v>62</v>
      </c>
      <c r="BN154" s="21" t="s">
        <v>62</v>
      </c>
      <c r="BO154" s="21" t="s">
        <v>62</v>
      </c>
      <c r="BP154" s="21" t="s">
        <v>62</v>
      </c>
      <c r="BQ154" s="21" t="s">
        <v>62</v>
      </c>
      <c r="BR154" s="21" t="s">
        <v>62</v>
      </c>
      <c r="BS154" s="21" t="s">
        <v>62</v>
      </c>
      <c r="BT154" s="21" t="s">
        <v>62</v>
      </c>
      <c r="BU154" s="21" t="s">
        <v>62</v>
      </c>
      <c r="BV154" s="21" t="s">
        <v>62</v>
      </c>
      <c r="BW154" s="21" t="s">
        <v>62</v>
      </c>
      <c r="BX154" s="21" t="s">
        <v>62</v>
      </c>
      <c r="BY154" s="21" t="s">
        <v>62</v>
      </c>
      <c r="BZ154" s="21" t="s">
        <v>62</v>
      </c>
      <c r="CA154" s="21" t="s">
        <v>62</v>
      </c>
      <c r="CB154" s="21" t="s">
        <v>62</v>
      </c>
      <c r="CC154" s="21" t="s">
        <v>62</v>
      </c>
      <c r="CD154" s="21" t="s">
        <v>62</v>
      </c>
      <c r="CE154" s="21" t="s">
        <v>62</v>
      </c>
      <c r="CF154" s="20" t="s">
        <v>62</v>
      </c>
      <c r="CG154" s="20" t="s">
        <v>74</v>
      </c>
      <c r="CH154" s="20">
        <v>1.333E-3</v>
      </c>
      <c r="CI154" s="19">
        <v>2</v>
      </c>
      <c r="CJ154" s="78">
        <v>3</v>
      </c>
      <c r="CK154" s="78" t="s">
        <v>224</v>
      </c>
      <c r="CL154" s="78" t="s">
        <v>224</v>
      </c>
      <c r="CM154" s="78">
        <v>437.80947300000003</v>
      </c>
      <c r="CN154" s="78">
        <v>2</v>
      </c>
      <c r="CO154" s="78" t="s">
        <v>224</v>
      </c>
      <c r="CP154" s="78" t="s">
        <v>224</v>
      </c>
      <c r="CQ154" s="78" t="s">
        <v>224</v>
      </c>
      <c r="CR154" s="12" t="str">
        <f>IF(COUNTIF(Incl!A:A,Raw!J154),1, "")</f>
        <v/>
      </c>
    </row>
    <row r="155" spans="1:96" ht="13.5" thickTop="1" thickBot="1" x14ac:dyDescent="0.3">
      <c r="A155" s="18">
        <v>152</v>
      </c>
      <c r="B155" s="19">
        <v>1</v>
      </c>
      <c r="C155" s="20">
        <v>433.54143299999998</v>
      </c>
      <c r="D155" s="19">
        <v>155</v>
      </c>
      <c r="E155" s="19">
        <v>1</v>
      </c>
      <c r="F155" s="19">
        <v>184</v>
      </c>
      <c r="G155" s="21">
        <v>92</v>
      </c>
      <c r="H155" s="19">
        <v>92</v>
      </c>
      <c r="I155" s="19">
        <v>92</v>
      </c>
      <c r="J155" s="19">
        <v>92</v>
      </c>
      <c r="K155" s="20" t="s">
        <v>82</v>
      </c>
      <c r="L155" s="20" t="s">
        <v>116</v>
      </c>
      <c r="M155" s="20" t="s">
        <v>117</v>
      </c>
      <c r="N155" s="21" t="s">
        <v>62</v>
      </c>
      <c r="O155" s="21">
        <v>20</v>
      </c>
      <c r="P155" s="22" t="s">
        <v>62</v>
      </c>
      <c r="Q155" s="22" t="s">
        <v>62</v>
      </c>
      <c r="R155" s="22" t="s">
        <v>62</v>
      </c>
      <c r="S155" s="22" t="s">
        <v>62</v>
      </c>
      <c r="T155" s="19">
        <v>20</v>
      </c>
      <c r="U155" s="21">
        <v>18</v>
      </c>
      <c r="V155" s="21">
        <v>18</v>
      </c>
      <c r="W155" s="21">
        <v>18</v>
      </c>
      <c r="X155" s="22">
        <v>18</v>
      </c>
      <c r="Y155" s="19">
        <v>89</v>
      </c>
      <c r="Z155" s="19">
        <v>89</v>
      </c>
      <c r="AA155" s="19">
        <v>89</v>
      </c>
      <c r="AB155" s="19">
        <v>89</v>
      </c>
      <c r="AC155" s="19">
        <v>4</v>
      </c>
      <c r="AD155" s="19">
        <v>11</v>
      </c>
      <c r="AE155" s="19">
        <v>14</v>
      </c>
      <c r="AF155" s="19">
        <v>21</v>
      </c>
      <c r="AG155" s="22">
        <v>21</v>
      </c>
      <c r="AH155" s="19">
        <v>54</v>
      </c>
      <c r="AI155" s="19">
        <v>69</v>
      </c>
      <c r="AJ155" s="19">
        <v>103</v>
      </c>
      <c r="AK155" s="19">
        <v>103</v>
      </c>
      <c r="AL155" s="19">
        <v>2</v>
      </c>
      <c r="AM155" s="21" t="s">
        <v>62</v>
      </c>
      <c r="AN155" s="21" t="s">
        <v>62</v>
      </c>
      <c r="AO155" s="21" t="s">
        <v>62</v>
      </c>
      <c r="AP155" s="21" t="s">
        <v>62</v>
      </c>
      <c r="AQ155" s="21" t="s">
        <v>62</v>
      </c>
      <c r="AR155" s="21" t="s">
        <v>62</v>
      </c>
      <c r="AS155" s="21" t="s">
        <v>62</v>
      </c>
      <c r="AT155" s="21" t="s">
        <v>62</v>
      </c>
      <c r="AU155" s="21" t="s">
        <v>62</v>
      </c>
      <c r="AV155" s="21" t="s">
        <v>62</v>
      </c>
      <c r="AW155" s="21" t="s">
        <v>62</v>
      </c>
      <c r="AX155" s="21" t="s">
        <v>62</v>
      </c>
      <c r="AY155" s="21" t="s">
        <v>62</v>
      </c>
      <c r="AZ155" s="21" t="s">
        <v>62</v>
      </c>
      <c r="BA155" s="21" t="s">
        <v>62</v>
      </c>
      <c r="BB155" s="21" t="s">
        <v>62</v>
      </c>
      <c r="BC155" s="21" t="s">
        <v>62</v>
      </c>
      <c r="BD155" s="21" t="s">
        <v>62</v>
      </c>
      <c r="BE155" s="21" t="s">
        <v>62</v>
      </c>
      <c r="BF155" s="21" t="s">
        <v>62</v>
      </c>
      <c r="BG155" s="21" t="s">
        <v>62</v>
      </c>
      <c r="BH155" s="21" t="s">
        <v>62</v>
      </c>
      <c r="BI155" s="20" t="s">
        <v>62</v>
      </c>
      <c r="BJ155" s="21" t="s">
        <v>62</v>
      </c>
      <c r="BK155" s="21" t="s">
        <v>62</v>
      </c>
      <c r="BL155" s="21" t="s">
        <v>62</v>
      </c>
      <c r="BM155" s="21" t="s">
        <v>62</v>
      </c>
      <c r="BN155" s="21" t="s">
        <v>62</v>
      </c>
      <c r="BO155" s="21" t="s">
        <v>62</v>
      </c>
      <c r="BP155" s="21" t="s">
        <v>62</v>
      </c>
      <c r="BQ155" s="21" t="s">
        <v>62</v>
      </c>
      <c r="BR155" s="21" t="s">
        <v>62</v>
      </c>
      <c r="BS155" s="21" t="s">
        <v>62</v>
      </c>
      <c r="BT155" s="21" t="s">
        <v>62</v>
      </c>
      <c r="BU155" s="21" t="s">
        <v>62</v>
      </c>
      <c r="BV155" s="21" t="s">
        <v>62</v>
      </c>
      <c r="BW155" s="21" t="s">
        <v>62</v>
      </c>
      <c r="BX155" s="21" t="s">
        <v>62</v>
      </c>
      <c r="BY155" s="21" t="s">
        <v>62</v>
      </c>
      <c r="BZ155" s="21" t="s">
        <v>62</v>
      </c>
      <c r="CA155" s="21" t="s">
        <v>62</v>
      </c>
      <c r="CB155" s="21" t="s">
        <v>62</v>
      </c>
      <c r="CC155" s="21" t="s">
        <v>62</v>
      </c>
      <c r="CD155" s="21" t="s">
        <v>62</v>
      </c>
      <c r="CE155" s="21" t="s">
        <v>62</v>
      </c>
      <c r="CF155" s="20" t="s">
        <v>62</v>
      </c>
      <c r="CG155" s="20" t="s">
        <v>71</v>
      </c>
      <c r="CH155" s="20">
        <v>1.3060000000000001E-3</v>
      </c>
      <c r="CI155" s="19">
        <v>6</v>
      </c>
      <c r="CJ155" s="78">
        <v>3</v>
      </c>
      <c r="CK155" s="78" t="s">
        <v>224</v>
      </c>
      <c r="CL155" s="78">
        <v>0</v>
      </c>
      <c r="CM155" s="78">
        <v>424.42089700000002</v>
      </c>
      <c r="CN155" s="78">
        <v>2</v>
      </c>
      <c r="CO155" s="78" t="s">
        <v>224</v>
      </c>
      <c r="CP155" s="78" t="s">
        <v>224</v>
      </c>
      <c r="CQ155" s="78" t="s">
        <v>224</v>
      </c>
      <c r="CR155" s="12" t="str">
        <f>IF(COUNTIF(Incl!A:A,Raw!J155),1, "")</f>
        <v/>
      </c>
    </row>
    <row r="156" spans="1:96" ht="13.5" thickTop="1" thickBot="1" x14ac:dyDescent="0.3">
      <c r="A156" s="13">
        <v>153</v>
      </c>
      <c r="B156" s="14">
        <v>1</v>
      </c>
      <c r="C156" s="15">
        <v>454.668722</v>
      </c>
      <c r="D156" s="14">
        <v>156</v>
      </c>
      <c r="E156" s="14">
        <v>1</v>
      </c>
      <c r="F156" s="14">
        <v>185</v>
      </c>
      <c r="G156" s="16">
        <v>93</v>
      </c>
      <c r="H156" s="14">
        <v>93</v>
      </c>
      <c r="I156" s="14">
        <v>93</v>
      </c>
      <c r="J156" s="14">
        <v>93</v>
      </c>
      <c r="K156" s="15" t="s">
        <v>82</v>
      </c>
      <c r="L156" s="15" t="s">
        <v>117</v>
      </c>
      <c r="M156" s="15" t="s">
        <v>116</v>
      </c>
      <c r="N156" s="16" t="s">
        <v>62</v>
      </c>
      <c r="O156" s="16">
        <v>23</v>
      </c>
      <c r="P156" s="17" t="s">
        <v>62</v>
      </c>
      <c r="Q156" s="17" t="s">
        <v>62</v>
      </c>
      <c r="R156" s="17" t="s">
        <v>62</v>
      </c>
      <c r="S156" s="17" t="s">
        <v>62</v>
      </c>
      <c r="T156" s="14">
        <v>23</v>
      </c>
      <c r="U156" s="16">
        <v>21</v>
      </c>
      <c r="V156" s="16">
        <v>23</v>
      </c>
      <c r="W156" s="16">
        <v>23</v>
      </c>
      <c r="X156" s="17">
        <v>23</v>
      </c>
      <c r="Y156" s="14">
        <v>91</v>
      </c>
      <c r="Z156" s="14">
        <v>99</v>
      </c>
      <c r="AA156" s="14">
        <v>99</v>
      </c>
      <c r="AB156" s="14">
        <v>99</v>
      </c>
      <c r="AC156" s="14">
        <v>4</v>
      </c>
      <c r="AD156" s="14">
        <v>19</v>
      </c>
      <c r="AE156" s="14">
        <v>17</v>
      </c>
      <c r="AF156" s="14">
        <v>23</v>
      </c>
      <c r="AG156" s="17">
        <v>23</v>
      </c>
      <c r="AH156" s="14">
        <v>82</v>
      </c>
      <c r="AI156" s="14">
        <v>73</v>
      </c>
      <c r="AJ156" s="14">
        <v>99</v>
      </c>
      <c r="AK156" s="14">
        <v>99</v>
      </c>
      <c r="AL156" s="14">
        <v>3</v>
      </c>
      <c r="AM156" s="16" t="s">
        <v>62</v>
      </c>
      <c r="AN156" s="16" t="s">
        <v>62</v>
      </c>
      <c r="AO156" s="16" t="s">
        <v>62</v>
      </c>
      <c r="AP156" s="16" t="s">
        <v>62</v>
      </c>
      <c r="AQ156" s="16" t="s">
        <v>62</v>
      </c>
      <c r="AR156" s="16" t="s">
        <v>62</v>
      </c>
      <c r="AS156" s="16" t="s">
        <v>62</v>
      </c>
      <c r="AT156" s="16" t="s">
        <v>62</v>
      </c>
      <c r="AU156" s="16" t="s">
        <v>62</v>
      </c>
      <c r="AV156" s="16" t="s">
        <v>62</v>
      </c>
      <c r="AW156" s="16" t="s">
        <v>62</v>
      </c>
      <c r="AX156" s="16" t="s">
        <v>62</v>
      </c>
      <c r="AY156" s="16" t="s">
        <v>62</v>
      </c>
      <c r="AZ156" s="16" t="s">
        <v>62</v>
      </c>
      <c r="BA156" s="16" t="s">
        <v>62</v>
      </c>
      <c r="BB156" s="16" t="s">
        <v>62</v>
      </c>
      <c r="BC156" s="16" t="s">
        <v>62</v>
      </c>
      <c r="BD156" s="16" t="s">
        <v>62</v>
      </c>
      <c r="BE156" s="16" t="s">
        <v>62</v>
      </c>
      <c r="BF156" s="16" t="s">
        <v>62</v>
      </c>
      <c r="BG156" s="16" t="s">
        <v>62</v>
      </c>
      <c r="BH156" s="16" t="s">
        <v>62</v>
      </c>
      <c r="BI156" s="15" t="s">
        <v>62</v>
      </c>
      <c r="BJ156" s="16" t="s">
        <v>62</v>
      </c>
      <c r="BK156" s="16" t="s">
        <v>62</v>
      </c>
      <c r="BL156" s="16" t="s">
        <v>62</v>
      </c>
      <c r="BM156" s="16" t="s">
        <v>62</v>
      </c>
      <c r="BN156" s="16" t="s">
        <v>62</v>
      </c>
      <c r="BO156" s="16" t="s">
        <v>62</v>
      </c>
      <c r="BP156" s="16" t="s">
        <v>62</v>
      </c>
      <c r="BQ156" s="16" t="s">
        <v>62</v>
      </c>
      <c r="BR156" s="16" t="s">
        <v>62</v>
      </c>
      <c r="BS156" s="16" t="s">
        <v>62</v>
      </c>
      <c r="BT156" s="16" t="s">
        <v>62</v>
      </c>
      <c r="BU156" s="16" t="s">
        <v>62</v>
      </c>
      <c r="BV156" s="16" t="s">
        <v>62</v>
      </c>
      <c r="BW156" s="16" t="s">
        <v>62</v>
      </c>
      <c r="BX156" s="16" t="s">
        <v>62</v>
      </c>
      <c r="BY156" s="16" t="s">
        <v>62</v>
      </c>
      <c r="BZ156" s="16" t="s">
        <v>62</v>
      </c>
      <c r="CA156" s="16" t="s">
        <v>62</v>
      </c>
      <c r="CB156" s="16" t="s">
        <v>62</v>
      </c>
      <c r="CC156" s="16" t="s">
        <v>62</v>
      </c>
      <c r="CD156" s="16" t="s">
        <v>62</v>
      </c>
      <c r="CE156" s="16" t="s">
        <v>62</v>
      </c>
      <c r="CF156" s="15" t="s">
        <v>62</v>
      </c>
      <c r="CG156" s="15" t="s">
        <v>74</v>
      </c>
      <c r="CH156" s="15">
        <v>1.382E-3</v>
      </c>
      <c r="CI156" s="14">
        <v>7</v>
      </c>
      <c r="CJ156" s="79">
        <v>3</v>
      </c>
      <c r="CK156" s="79" t="s">
        <v>224</v>
      </c>
      <c r="CL156" s="79">
        <v>0</v>
      </c>
      <c r="CM156" s="79">
        <v>451.596228</v>
      </c>
      <c r="CN156" s="79">
        <v>2</v>
      </c>
      <c r="CO156" s="79" t="s">
        <v>224</v>
      </c>
      <c r="CP156" s="79" t="s">
        <v>224</v>
      </c>
      <c r="CQ156" s="79" t="s">
        <v>224</v>
      </c>
      <c r="CR156" s="12" t="str">
        <f>IF(COUNTIF(Incl!A:A,Raw!J156),1, "")</f>
        <v/>
      </c>
    </row>
    <row r="157" spans="1:96" ht="13.5" thickTop="1" thickBot="1" x14ac:dyDescent="0.3">
      <c r="A157" s="18">
        <v>154</v>
      </c>
      <c r="B157" s="19">
        <v>1</v>
      </c>
      <c r="C157" s="20">
        <v>359.92348800000002</v>
      </c>
      <c r="D157" s="19">
        <v>157</v>
      </c>
      <c r="E157" s="19">
        <v>1</v>
      </c>
      <c r="F157" s="19">
        <v>186</v>
      </c>
      <c r="G157" s="21">
        <v>127</v>
      </c>
      <c r="H157" s="19">
        <v>127</v>
      </c>
      <c r="I157" s="19">
        <v>127</v>
      </c>
      <c r="J157" s="19">
        <v>127</v>
      </c>
      <c r="K157" s="20" t="s">
        <v>110</v>
      </c>
      <c r="L157" s="20" t="s">
        <v>112</v>
      </c>
      <c r="M157" s="20" t="s">
        <v>116</v>
      </c>
      <c r="N157" s="21">
        <v>16</v>
      </c>
      <c r="O157" s="21" t="s">
        <v>62</v>
      </c>
      <c r="P157" s="22" t="s">
        <v>62</v>
      </c>
      <c r="Q157" s="22" t="s">
        <v>62</v>
      </c>
      <c r="R157" s="22" t="s">
        <v>62</v>
      </c>
      <c r="S157" s="22" t="s">
        <v>62</v>
      </c>
      <c r="T157" s="19">
        <v>16</v>
      </c>
      <c r="U157" s="21">
        <v>16</v>
      </c>
      <c r="V157" s="21">
        <v>16</v>
      </c>
      <c r="W157" s="21">
        <v>16</v>
      </c>
      <c r="X157" s="22" t="s">
        <v>62</v>
      </c>
      <c r="Y157" s="19">
        <v>100</v>
      </c>
      <c r="Z157" s="19">
        <v>100</v>
      </c>
      <c r="AA157" s="19">
        <v>100</v>
      </c>
      <c r="AB157" s="19">
        <v>0</v>
      </c>
      <c r="AC157" s="19">
        <v>3</v>
      </c>
      <c r="AD157" s="19">
        <v>13</v>
      </c>
      <c r="AE157" s="19">
        <v>13</v>
      </c>
      <c r="AF157" s="19">
        <v>16</v>
      </c>
      <c r="AG157" s="22" t="s">
        <v>62</v>
      </c>
      <c r="AH157" s="19">
        <v>81</v>
      </c>
      <c r="AI157" s="19">
        <v>81</v>
      </c>
      <c r="AJ157" s="19">
        <v>100</v>
      </c>
      <c r="AK157" s="19">
        <v>0</v>
      </c>
      <c r="AL157" s="19">
        <v>3</v>
      </c>
      <c r="AM157" s="21">
        <v>16</v>
      </c>
      <c r="AN157" s="21">
        <v>16</v>
      </c>
      <c r="AO157" s="21">
        <v>16</v>
      </c>
      <c r="AP157" s="21">
        <v>16</v>
      </c>
      <c r="AQ157" s="21">
        <v>15</v>
      </c>
      <c r="AR157" s="21">
        <v>13</v>
      </c>
      <c r="AS157" s="21">
        <v>14</v>
      </c>
      <c r="AT157" s="21">
        <v>16</v>
      </c>
      <c r="AU157" s="21">
        <v>16</v>
      </c>
      <c r="AV157" s="21">
        <v>16</v>
      </c>
      <c r="AW157" s="21">
        <v>24</v>
      </c>
      <c r="AX157" s="21">
        <v>33</v>
      </c>
      <c r="AY157" s="21">
        <v>11</v>
      </c>
      <c r="AZ157" s="21">
        <v>1</v>
      </c>
      <c r="BA157" s="21">
        <v>4</v>
      </c>
      <c r="BB157" s="21">
        <v>0</v>
      </c>
      <c r="BC157" s="21">
        <v>1</v>
      </c>
      <c r="BD157" s="21">
        <v>0</v>
      </c>
      <c r="BE157" s="21">
        <v>0</v>
      </c>
      <c r="BF157" s="21">
        <v>0</v>
      </c>
      <c r="BG157" s="21">
        <v>74</v>
      </c>
      <c r="BH157" s="21">
        <v>4.5999999999999996</v>
      </c>
      <c r="BI157" s="20" t="s">
        <v>67</v>
      </c>
      <c r="BJ157" s="21">
        <v>13</v>
      </c>
      <c r="BK157" s="21">
        <v>16</v>
      </c>
      <c r="BL157" s="21">
        <v>16</v>
      </c>
      <c r="BM157" s="21">
        <v>13</v>
      </c>
      <c r="BN157" s="21">
        <v>13</v>
      </c>
      <c r="BO157" s="21">
        <v>15</v>
      </c>
      <c r="BP157" s="21">
        <v>15</v>
      </c>
      <c r="BQ157" s="21">
        <v>16</v>
      </c>
      <c r="BR157" s="21">
        <v>16</v>
      </c>
      <c r="BS157" s="21">
        <v>15</v>
      </c>
      <c r="BT157" s="21">
        <v>21</v>
      </c>
      <c r="BU157" s="21">
        <v>13</v>
      </c>
      <c r="BV157" s="21">
        <v>10</v>
      </c>
      <c r="BW157" s="21">
        <v>1</v>
      </c>
      <c r="BX157" s="21">
        <v>5</v>
      </c>
      <c r="BY157" s="21">
        <v>1</v>
      </c>
      <c r="BZ157" s="21">
        <v>1</v>
      </c>
      <c r="CA157" s="21">
        <v>0</v>
      </c>
      <c r="CB157" s="21">
        <v>1</v>
      </c>
      <c r="CC157" s="21">
        <v>2</v>
      </c>
      <c r="CD157" s="21">
        <v>55</v>
      </c>
      <c r="CE157" s="21">
        <v>3.4</v>
      </c>
      <c r="CF157" s="20" t="s">
        <v>65</v>
      </c>
      <c r="CG157" s="20" t="s">
        <v>71</v>
      </c>
      <c r="CH157" s="20">
        <v>1.1180000000000001E-3</v>
      </c>
      <c r="CI157" s="19">
        <v>6</v>
      </c>
      <c r="CJ157" s="78">
        <v>1</v>
      </c>
      <c r="CK157" s="78">
        <v>1</v>
      </c>
      <c r="CL157" s="78">
        <v>1</v>
      </c>
      <c r="CM157" s="78">
        <v>359.92361199999999</v>
      </c>
      <c r="CN157" s="78">
        <v>1</v>
      </c>
      <c r="CO157" s="78">
        <v>1</v>
      </c>
      <c r="CP157" s="78" t="s">
        <v>224</v>
      </c>
      <c r="CQ157" s="78" t="s">
        <v>224</v>
      </c>
      <c r="CR157" s="12">
        <f>IF(COUNTIF(Incl!A:A,Raw!J157),1, "")</f>
        <v>1</v>
      </c>
    </row>
    <row r="158" spans="1:96" ht="13.5" thickTop="1" thickBot="1" x14ac:dyDescent="0.3">
      <c r="A158" s="13">
        <v>155</v>
      </c>
      <c r="B158" s="14">
        <v>1</v>
      </c>
      <c r="C158" s="15">
        <v>432.88947000000002</v>
      </c>
      <c r="D158" s="14">
        <v>158</v>
      </c>
      <c r="E158" s="14">
        <v>2</v>
      </c>
      <c r="F158" s="14">
        <v>187</v>
      </c>
      <c r="G158" s="16">
        <v>129</v>
      </c>
      <c r="H158" s="14">
        <v>129</v>
      </c>
      <c r="I158" s="14">
        <v>129</v>
      </c>
      <c r="J158" s="14">
        <v>129</v>
      </c>
      <c r="K158" s="15" t="s">
        <v>60</v>
      </c>
      <c r="L158" s="15" t="s">
        <v>116</v>
      </c>
      <c r="M158" s="15" t="s">
        <v>117</v>
      </c>
      <c r="N158" s="17">
        <v>24</v>
      </c>
      <c r="O158" s="16" t="s">
        <v>62</v>
      </c>
      <c r="P158" s="17" t="s">
        <v>62</v>
      </c>
      <c r="Q158" s="17">
        <v>1</v>
      </c>
      <c r="R158" s="17" t="s">
        <v>62</v>
      </c>
      <c r="S158" s="17" t="s">
        <v>62</v>
      </c>
      <c r="T158" s="14">
        <v>25</v>
      </c>
      <c r="U158" s="16">
        <v>24</v>
      </c>
      <c r="V158" s="16">
        <v>19</v>
      </c>
      <c r="W158" s="16">
        <v>22</v>
      </c>
      <c r="X158" s="16" t="s">
        <v>62</v>
      </c>
      <c r="Y158" s="14">
        <v>96</v>
      </c>
      <c r="Z158" s="14">
        <v>76</v>
      </c>
      <c r="AA158" s="14">
        <v>88</v>
      </c>
      <c r="AB158" s="14">
        <v>0</v>
      </c>
      <c r="AC158" s="14">
        <v>3</v>
      </c>
      <c r="AD158" s="14">
        <v>4</v>
      </c>
      <c r="AE158" s="14">
        <v>10</v>
      </c>
      <c r="AF158" s="14">
        <v>21</v>
      </c>
      <c r="AG158" s="16" t="s">
        <v>62</v>
      </c>
      <c r="AH158" s="14">
        <v>16</v>
      </c>
      <c r="AI158" s="14">
        <v>40</v>
      </c>
      <c r="AJ158" s="14">
        <v>84</v>
      </c>
      <c r="AK158" s="14">
        <v>0</v>
      </c>
      <c r="AL158" s="14">
        <v>1</v>
      </c>
      <c r="AM158" s="17">
        <v>24</v>
      </c>
      <c r="AN158" s="17">
        <v>19</v>
      </c>
      <c r="AO158" s="17">
        <v>24</v>
      </c>
      <c r="AP158" s="17">
        <v>21</v>
      </c>
      <c r="AQ158" s="17">
        <v>19</v>
      </c>
      <c r="AR158" s="17">
        <v>11</v>
      </c>
      <c r="AS158" s="17">
        <v>11</v>
      </c>
      <c r="AT158" s="17">
        <v>16</v>
      </c>
      <c r="AU158" s="17">
        <v>22</v>
      </c>
      <c r="AV158" s="17">
        <v>22</v>
      </c>
      <c r="AW158" s="17">
        <v>68</v>
      </c>
      <c r="AX158" s="17">
        <v>44</v>
      </c>
      <c r="AY158" s="17">
        <v>4</v>
      </c>
      <c r="AZ158" s="17">
        <v>0</v>
      </c>
      <c r="BA158" s="17">
        <v>1</v>
      </c>
      <c r="BB158" s="17">
        <v>0</v>
      </c>
      <c r="BC158" s="17">
        <v>1</v>
      </c>
      <c r="BD158" s="17">
        <v>0</v>
      </c>
      <c r="BE158" s="17">
        <v>1</v>
      </c>
      <c r="BF158" s="17">
        <v>0</v>
      </c>
      <c r="BG158" s="17">
        <v>119</v>
      </c>
      <c r="BH158" s="17">
        <v>4.8</v>
      </c>
      <c r="BI158" s="17" t="s">
        <v>67</v>
      </c>
      <c r="BJ158" s="17">
        <v>4</v>
      </c>
      <c r="BK158" s="17">
        <v>11</v>
      </c>
      <c r="BL158" s="17">
        <v>9</v>
      </c>
      <c r="BM158" s="17">
        <v>10</v>
      </c>
      <c r="BN158" s="17">
        <v>10</v>
      </c>
      <c r="BO158" s="17">
        <v>17</v>
      </c>
      <c r="BP158" s="17">
        <v>16</v>
      </c>
      <c r="BQ158" s="17">
        <v>21</v>
      </c>
      <c r="BR158" s="17">
        <v>21</v>
      </c>
      <c r="BS158" s="17">
        <v>20</v>
      </c>
      <c r="BT158" s="17">
        <v>25</v>
      </c>
      <c r="BU158" s="17">
        <v>16</v>
      </c>
      <c r="BV158" s="17">
        <v>21</v>
      </c>
      <c r="BW158" s="17">
        <v>1</v>
      </c>
      <c r="BX158" s="17">
        <v>3</v>
      </c>
      <c r="BY158" s="17">
        <v>0</v>
      </c>
      <c r="BZ158" s="17">
        <v>0</v>
      </c>
      <c r="CA158" s="17">
        <v>0</v>
      </c>
      <c r="CB158" s="17">
        <v>0</v>
      </c>
      <c r="CC158" s="17">
        <v>0</v>
      </c>
      <c r="CD158" s="17">
        <v>66</v>
      </c>
      <c r="CE158" s="17">
        <v>2.6</v>
      </c>
      <c r="CF158" s="17" t="s">
        <v>63</v>
      </c>
      <c r="CG158" s="15" t="s">
        <v>71</v>
      </c>
      <c r="CH158" s="15">
        <v>1.333E-3</v>
      </c>
      <c r="CI158" s="14">
        <v>4</v>
      </c>
      <c r="CJ158" s="79">
        <v>1</v>
      </c>
      <c r="CK158" s="79">
        <v>1</v>
      </c>
      <c r="CL158" s="79">
        <v>1</v>
      </c>
      <c r="CM158" s="79">
        <v>432.88932</v>
      </c>
      <c r="CN158" s="79">
        <v>1</v>
      </c>
      <c r="CO158" s="79">
        <v>1</v>
      </c>
      <c r="CP158" s="79" t="s">
        <v>224</v>
      </c>
      <c r="CQ158" s="79" t="s">
        <v>224</v>
      </c>
      <c r="CR158" s="12">
        <f>IF(COUNTIF(Incl!A:A,Raw!J158),1, "")</f>
        <v>1</v>
      </c>
    </row>
    <row r="159" spans="1:96" ht="13.5" thickTop="1" thickBot="1" x14ac:dyDescent="0.3">
      <c r="A159" s="18">
        <v>156</v>
      </c>
      <c r="B159" s="19">
        <v>1</v>
      </c>
      <c r="C159" s="20">
        <v>324.513396</v>
      </c>
      <c r="D159" s="19">
        <v>159</v>
      </c>
      <c r="E159" s="19">
        <v>2</v>
      </c>
      <c r="F159" s="19">
        <v>188</v>
      </c>
      <c r="G159" s="21">
        <v>130</v>
      </c>
      <c r="H159" s="19">
        <v>130</v>
      </c>
      <c r="I159" s="19">
        <v>130</v>
      </c>
      <c r="J159" s="19">
        <v>130</v>
      </c>
      <c r="K159" s="20" t="s">
        <v>110</v>
      </c>
      <c r="L159" s="20" t="s">
        <v>116</v>
      </c>
      <c r="M159" s="20" t="s">
        <v>117</v>
      </c>
      <c r="N159" s="21">
        <v>14</v>
      </c>
      <c r="O159" s="22" t="s">
        <v>62</v>
      </c>
      <c r="P159" s="22" t="s">
        <v>62</v>
      </c>
      <c r="Q159" s="22" t="s">
        <v>62</v>
      </c>
      <c r="R159" s="22" t="s">
        <v>62</v>
      </c>
      <c r="S159" s="22" t="s">
        <v>62</v>
      </c>
      <c r="T159" s="19">
        <v>14</v>
      </c>
      <c r="U159" s="21">
        <v>12</v>
      </c>
      <c r="V159" s="21">
        <v>9</v>
      </c>
      <c r="W159" s="21">
        <v>14</v>
      </c>
      <c r="X159" s="22" t="s">
        <v>62</v>
      </c>
      <c r="Y159" s="19">
        <v>86</v>
      </c>
      <c r="Z159" s="19">
        <v>64</v>
      </c>
      <c r="AA159" s="19">
        <v>100</v>
      </c>
      <c r="AB159" s="19">
        <v>0</v>
      </c>
      <c r="AC159" s="19">
        <v>2</v>
      </c>
      <c r="AD159" s="19">
        <v>6</v>
      </c>
      <c r="AE159" s="19">
        <v>3</v>
      </c>
      <c r="AF159" s="19">
        <v>10</v>
      </c>
      <c r="AG159" s="22" t="s">
        <v>62</v>
      </c>
      <c r="AH159" s="19">
        <v>43</v>
      </c>
      <c r="AI159" s="19">
        <v>21</v>
      </c>
      <c r="AJ159" s="19">
        <v>71</v>
      </c>
      <c r="AK159" s="19">
        <v>0</v>
      </c>
      <c r="AL159" s="19">
        <v>0</v>
      </c>
      <c r="AM159" s="21">
        <v>12</v>
      </c>
      <c r="AN159" s="21">
        <v>12</v>
      </c>
      <c r="AO159" s="21">
        <v>14</v>
      </c>
      <c r="AP159" s="21">
        <v>11</v>
      </c>
      <c r="AQ159" s="21">
        <v>9</v>
      </c>
      <c r="AR159" s="21">
        <v>7</v>
      </c>
      <c r="AS159" s="21">
        <v>8</v>
      </c>
      <c r="AT159" s="21">
        <v>8</v>
      </c>
      <c r="AU159" s="21">
        <v>14</v>
      </c>
      <c r="AV159" s="21">
        <v>14</v>
      </c>
      <c r="AW159" s="21">
        <v>29</v>
      </c>
      <c r="AX159" s="21">
        <v>22</v>
      </c>
      <c r="AY159" s="21">
        <v>7</v>
      </c>
      <c r="AZ159" s="21">
        <v>0</v>
      </c>
      <c r="BA159" s="21">
        <v>3</v>
      </c>
      <c r="BB159" s="21">
        <v>0</v>
      </c>
      <c r="BC159" s="21">
        <v>0</v>
      </c>
      <c r="BD159" s="21">
        <v>0</v>
      </c>
      <c r="BE159" s="21">
        <v>0</v>
      </c>
      <c r="BF159" s="21">
        <v>0</v>
      </c>
      <c r="BG159" s="21">
        <v>61</v>
      </c>
      <c r="BH159" s="21">
        <v>4.4000000000000004</v>
      </c>
      <c r="BI159" s="20" t="s">
        <v>67</v>
      </c>
      <c r="BJ159" s="21">
        <v>6</v>
      </c>
      <c r="BK159" s="21">
        <v>4</v>
      </c>
      <c r="BL159" s="21">
        <v>3</v>
      </c>
      <c r="BM159" s="21">
        <v>2</v>
      </c>
      <c r="BN159" s="21">
        <v>3</v>
      </c>
      <c r="BO159" s="21">
        <v>6</v>
      </c>
      <c r="BP159" s="21">
        <v>4</v>
      </c>
      <c r="BQ159" s="21">
        <v>10</v>
      </c>
      <c r="BR159" s="21">
        <v>10</v>
      </c>
      <c r="BS159" s="21">
        <v>5</v>
      </c>
      <c r="BT159" s="21">
        <v>15</v>
      </c>
      <c r="BU159" s="21">
        <v>13</v>
      </c>
      <c r="BV159" s="21">
        <v>4</v>
      </c>
      <c r="BW159" s="21">
        <v>0</v>
      </c>
      <c r="BX159" s="21">
        <v>0</v>
      </c>
      <c r="BY159" s="21">
        <v>0</v>
      </c>
      <c r="BZ159" s="21">
        <v>0</v>
      </c>
      <c r="CA159" s="21">
        <v>0</v>
      </c>
      <c r="CB159" s="21">
        <v>0</v>
      </c>
      <c r="CC159" s="21">
        <v>0</v>
      </c>
      <c r="CD159" s="21">
        <v>32</v>
      </c>
      <c r="CE159" s="21">
        <v>2.2999999999999998</v>
      </c>
      <c r="CF159" s="20" t="s">
        <v>63</v>
      </c>
      <c r="CG159" s="20" t="s">
        <v>71</v>
      </c>
      <c r="CH159" s="20">
        <v>1.0020000000000001E-3</v>
      </c>
      <c r="CI159" s="19">
        <v>2</v>
      </c>
      <c r="CJ159" s="78">
        <v>1</v>
      </c>
      <c r="CK159" s="78">
        <v>1</v>
      </c>
      <c r="CL159" s="78">
        <v>1</v>
      </c>
      <c r="CM159" s="78">
        <v>324.51349599999998</v>
      </c>
      <c r="CN159" s="78">
        <v>1</v>
      </c>
      <c r="CO159" s="78">
        <v>1</v>
      </c>
      <c r="CP159" s="78" t="s">
        <v>224</v>
      </c>
      <c r="CQ159" s="78" t="s">
        <v>224</v>
      </c>
      <c r="CR159" s="12">
        <f>IF(COUNTIF(Incl!A:A,Raw!J159),1, "")</f>
        <v>1</v>
      </c>
    </row>
    <row r="160" spans="1:96" ht="13.5" thickTop="1" thickBot="1" x14ac:dyDescent="0.3">
      <c r="A160" s="18">
        <v>157</v>
      </c>
      <c r="B160" s="19">
        <v>1</v>
      </c>
      <c r="C160" s="20">
        <v>477.83734399999997</v>
      </c>
      <c r="D160" s="19">
        <v>160</v>
      </c>
      <c r="E160" s="19">
        <v>2</v>
      </c>
      <c r="F160" s="19">
        <v>189</v>
      </c>
      <c r="G160" s="21">
        <v>131</v>
      </c>
      <c r="H160" s="19">
        <v>131</v>
      </c>
      <c r="I160" s="19">
        <v>131</v>
      </c>
      <c r="J160" s="19">
        <v>131</v>
      </c>
      <c r="K160" s="20" t="s">
        <v>60</v>
      </c>
      <c r="L160" s="20" t="s">
        <v>118</v>
      </c>
      <c r="M160" s="20" t="s">
        <v>113</v>
      </c>
      <c r="N160" s="22">
        <v>8</v>
      </c>
      <c r="O160" s="22" t="s">
        <v>62</v>
      </c>
      <c r="P160" s="21" t="s">
        <v>62</v>
      </c>
      <c r="Q160" s="22" t="s">
        <v>62</v>
      </c>
      <c r="R160" s="22" t="s">
        <v>62</v>
      </c>
      <c r="S160" s="22" t="s">
        <v>62</v>
      </c>
      <c r="T160" s="19">
        <v>8</v>
      </c>
      <c r="U160" s="21">
        <v>3</v>
      </c>
      <c r="V160" s="21">
        <v>4</v>
      </c>
      <c r="W160" s="22">
        <v>7</v>
      </c>
      <c r="X160" s="22" t="s">
        <v>62</v>
      </c>
      <c r="Y160" s="19">
        <v>36</v>
      </c>
      <c r="Z160" s="19">
        <v>48</v>
      </c>
      <c r="AA160" s="19">
        <v>83</v>
      </c>
      <c r="AB160" s="19">
        <v>0</v>
      </c>
      <c r="AC160" s="19">
        <v>1</v>
      </c>
      <c r="AD160" s="19">
        <v>8</v>
      </c>
      <c r="AE160" s="19">
        <v>6</v>
      </c>
      <c r="AF160" s="19">
        <v>8</v>
      </c>
      <c r="AG160" s="22" t="s">
        <v>62</v>
      </c>
      <c r="AH160" s="19">
        <v>95</v>
      </c>
      <c r="AI160" s="19">
        <v>71</v>
      </c>
      <c r="AJ160" s="19">
        <v>95</v>
      </c>
      <c r="AK160" s="19">
        <v>0</v>
      </c>
      <c r="AL160" s="19">
        <v>2</v>
      </c>
      <c r="AM160" s="21">
        <v>3</v>
      </c>
      <c r="AN160" s="21">
        <v>3</v>
      </c>
      <c r="AO160" s="21">
        <v>5</v>
      </c>
      <c r="AP160" s="21">
        <v>9</v>
      </c>
      <c r="AQ160" s="21">
        <v>4</v>
      </c>
      <c r="AR160" s="21">
        <v>7</v>
      </c>
      <c r="AS160" s="21">
        <v>6</v>
      </c>
      <c r="AT160" s="21">
        <v>8</v>
      </c>
      <c r="AU160" s="21">
        <v>7</v>
      </c>
      <c r="AV160" s="21">
        <v>7</v>
      </c>
      <c r="AW160" s="21">
        <v>18</v>
      </c>
      <c r="AX160" s="21">
        <v>4</v>
      </c>
      <c r="AY160" s="21">
        <v>3</v>
      </c>
      <c r="AZ160" s="21">
        <v>1</v>
      </c>
      <c r="BA160" s="21">
        <v>0</v>
      </c>
      <c r="BB160" s="21">
        <v>0</v>
      </c>
      <c r="BC160" s="21">
        <v>0</v>
      </c>
      <c r="BD160" s="21">
        <v>0</v>
      </c>
      <c r="BE160" s="21">
        <v>0</v>
      </c>
      <c r="BF160" s="21">
        <v>2</v>
      </c>
      <c r="BG160" s="21">
        <v>28</v>
      </c>
      <c r="BH160" s="21">
        <v>3.3</v>
      </c>
      <c r="BI160" s="20" t="s">
        <v>65</v>
      </c>
      <c r="BJ160" s="21">
        <v>8</v>
      </c>
      <c r="BK160" s="21">
        <v>5</v>
      </c>
      <c r="BL160" s="21">
        <v>5</v>
      </c>
      <c r="BM160" s="21">
        <v>5</v>
      </c>
      <c r="BN160" s="21">
        <v>6</v>
      </c>
      <c r="BO160" s="21">
        <v>5</v>
      </c>
      <c r="BP160" s="21">
        <v>7</v>
      </c>
      <c r="BQ160" s="21">
        <v>7</v>
      </c>
      <c r="BR160" s="21">
        <v>8</v>
      </c>
      <c r="BS160" s="21">
        <v>8</v>
      </c>
      <c r="BT160" s="21">
        <v>8</v>
      </c>
      <c r="BU160" s="21">
        <v>1</v>
      </c>
      <c r="BV160" s="21">
        <v>2</v>
      </c>
      <c r="BW160" s="21">
        <v>3</v>
      </c>
      <c r="BX160" s="21">
        <v>1</v>
      </c>
      <c r="BY160" s="21">
        <v>1</v>
      </c>
      <c r="BZ160" s="21">
        <v>1</v>
      </c>
      <c r="CA160" s="21">
        <v>1</v>
      </c>
      <c r="CB160" s="21" t="s">
        <v>62</v>
      </c>
      <c r="CC160" s="21">
        <v>1</v>
      </c>
      <c r="CD160" s="21">
        <v>19</v>
      </c>
      <c r="CE160" s="21">
        <v>2.2999999999999998</v>
      </c>
      <c r="CF160" s="20" t="s">
        <v>63</v>
      </c>
      <c r="CG160" s="20" t="s">
        <v>74</v>
      </c>
      <c r="CH160" s="20">
        <v>1.4729999999999999E-3</v>
      </c>
      <c r="CI160" s="19">
        <v>3</v>
      </c>
      <c r="CJ160" s="78">
        <v>2</v>
      </c>
      <c r="CK160" s="78" t="s">
        <v>224</v>
      </c>
      <c r="CL160" s="78" t="s">
        <v>224</v>
      </c>
      <c r="CM160" s="78">
        <v>477.83741800000001</v>
      </c>
      <c r="CN160" s="78">
        <v>1</v>
      </c>
      <c r="CO160" s="78">
        <v>1</v>
      </c>
      <c r="CP160" s="78" t="s">
        <v>224</v>
      </c>
      <c r="CQ160" s="78" t="s">
        <v>224</v>
      </c>
      <c r="CR160" s="12" t="str">
        <f>IF(COUNTIF(Incl!A:A,Raw!J160),1, "")</f>
        <v/>
      </c>
    </row>
    <row r="161" spans="1:96" ht="13.5" thickTop="1" thickBot="1" x14ac:dyDescent="0.3">
      <c r="A161" s="13">
        <v>158</v>
      </c>
      <c r="B161" s="14">
        <v>1</v>
      </c>
      <c r="C161" s="15">
        <v>152.56846899999999</v>
      </c>
      <c r="D161" s="14">
        <v>161</v>
      </c>
      <c r="E161" s="14">
        <v>2</v>
      </c>
      <c r="F161" s="14">
        <v>190</v>
      </c>
      <c r="G161" s="16">
        <v>133</v>
      </c>
      <c r="H161" s="14">
        <v>133</v>
      </c>
      <c r="I161" s="14">
        <v>133</v>
      </c>
      <c r="J161" s="14">
        <v>133</v>
      </c>
      <c r="K161" s="15" t="s">
        <v>60</v>
      </c>
      <c r="L161" s="15" t="s">
        <v>119</v>
      </c>
      <c r="M161" s="15" t="s">
        <v>118</v>
      </c>
      <c r="N161" s="17" t="s">
        <v>62</v>
      </c>
      <c r="O161" s="17" t="s">
        <v>62</v>
      </c>
      <c r="P161" s="16" t="s">
        <v>62</v>
      </c>
      <c r="Q161" s="17" t="s">
        <v>62</v>
      </c>
      <c r="R161" s="17" t="s">
        <v>62</v>
      </c>
      <c r="S161" s="17" t="s">
        <v>62</v>
      </c>
      <c r="T161" s="14">
        <v>0</v>
      </c>
      <c r="U161" s="16" t="s">
        <v>62</v>
      </c>
      <c r="V161" s="16" t="s">
        <v>62</v>
      </c>
      <c r="W161" s="16" t="s">
        <v>62</v>
      </c>
      <c r="X161" s="17" t="s">
        <v>62</v>
      </c>
      <c r="Y161" s="14">
        <v>0</v>
      </c>
      <c r="Z161" s="14">
        <v>0</v>
      </c>
      <c r="AA161" s="14">
        <v>0</v>
      </c>
      <c r="AB161" s="14">
        <v>0</v>
      </c>
      <c r="AC161" s="14">
        <v>0</v>
      </c>
      <c r="AD161" s="14">
        <v>0</v>
      </c>
      <c r="AE161" s="14">
        <v>0</v>
      </c>
      <c r="AF161" s="14">
        <v>0</v>
      </c>
      <c r="AG161" s="17" t="s">
        <v>62</v>
      </c>
      <c r="AH161" s="14">
        <v>0</v>
      </c>
      <c r="AI161" s="14">
        <v>0</v>
      </c>
      <c r="AJ161" s="14">
        <v>0</v>
      </c>
      <c r="AK161" s="14">
        <v>0</v>
      </c>
      <c r="AL161" s="14">
        <v>0</v>
      </c>
      <c r="AM161" s="16">
        <v>0</v>
      </c>
      <c r="AN161" s="16">
        <v>0</v>
      </c>
      <c r="AO161" s="16">
        <v>0</v>
      </c>
      <c r="AP161" s="16">
        <v>0</v>
      </c>
      <c r="AQ161" s="16">
        <v>0</v>
      </c>
      <c r="AR161" s="16">
        <v>0</v>
      </c>
      <c r="AS161" s="16">
        <v>0</v>
      </c>
      <c r="AT161" s="16">
        <v>0</v>
      </c>
      <c r="AU161" s="16">
        <v>0</v>
      </c>
      <c r="AV161" s="16">
        <v>0</v>
      </c>
      <c r="AW161" s="16">
        <v>0</v>
      </c>
      <c r="AX161" s="16">
        <v>0</v>
      </c>
      <c r="AY161" s="16">
        <v>0</v>
      </c>
      <c r="AZ161" s="16">
        <v>0</v>
      </c>
      <c r="BA161" s="16">
        <v>0</v>
      </c>
      <c r="BB161" s="16">
        <v>0</v>
      </c>
      <c r="BC161" s="16">
        <v>0</v>
      </c>
      <c r="BD161" s="16">
        <v>0</v>
      </c>
      <c r="BE161" s="16">
        <v>0</v>
      </c>
      <c r="BF161" s="16">
        <v>0</v>
      </c>
      <c r="BG161" s="16">
        <v>0</v>
      </c>
      <c r="BH161" s="16">
        <v>0</v>
      </c>
      <c r="BI161" s="15" t="s">
        <v>77</v>
      </c>
      <c r="BJ161" s="16">
        <v>0</v>
      </c>
      <c r="BK161" s="16">
        <v>0</v>
      </c>
      <c r="BL161" s="16">
        <v>0</v>
      </c>
      <c r="BM161" s="16">
        <v>0</v>
      </c>
      <c r="BN161" s="16">
        <v>0</v>
      </c>
      <c r="BO161" s="16">
        <v>0</v>
      </c>
      <c r="BP161" s="16">
        <v>0</v>
      </c>
      <c r="BQ161" s="16">
        <v>0</v>
      </c>
      <c r="BR161" s="16">
        <v>0</v>
      </c>
      <c r="BS161" s="16">
        <v>0</v>
      </c>
      <c r="BT161" s="16">
        <v>0</v>
      </c>
      <c r="BU161" s="16">
        <v>0</v>
      </c>
      <c r="BV161" s="16">
        <v>0</v>
      </c>
      <c r="BW161" s="16">
        <v>0</v>
      </c>
      <c r="BX161" s="16">
        <v>0</v>
      </c>
      <c r="BY161" s="16">
        <v>0</v>
      </c>
      <c r="BZ161" s="16">
        <v>0</v>
      </c>
      <c r="CA161" s="16">
        <v>0</v>
      </c>
      <c r="CB161" s="16">
        <v>0</v>
      </c>
      <c r="CC161" s="16">
        <v>0</v>
      </c>
      <c r="CD161" s="16">
        <v>0</v>
      </c>
      <c r="CE161" s="16">
        <v>0</v>
      </c>
      <c r="CF161" s="15" t="s">
        <v>77</v>
      </c>
      <c r="CG161" s="15" t="s">
        <v>74</v>
      </c>
      <c r="CH161" s="15">
        <v>4.66E-4</v>
      </c>
      <c r="CI161" s="14">
        <v>0</v>
      </c>
      <c r="CJ161" s="79">
        <v>2</v>
      </c>
      <c r="CK161" s="79" t="s">
        <v>224</v>
      </c>
      <c r="CL161" s="79" t="s">
        <v>224</v>
      </c>
      <c r="CM161" s="79">
        <v>152.56831399999999</v>
      </c>
      <c r="CN161" s="79">
        <v>1</v>
      </c>
      <c r="CO161" s="79">
        <v>0</v>
      </c>
      <c r="CP161" s="79" t="s">
        <v>224</v>
      </c>
      <c r="CQ161" s="79" t="s">
        <v>224</v>
      </c>
      <c r="CR161" s="12" t="str">
        <f>IF(COUNTIF(Incl!A:A,Raw!J161),1, "")</f>
        <v/>
      </c>
    </row>
    <row r="162" spans="1:96" ht="13.5" thickTop="1" thickBot="1" x14ac:dyDescent="0.3">
      <c r="A162" s="18">
        <v>159</v>
      </c>
      <c r="B162" s="19">
        <v>1</v>
      </c>
      <c r="C162" s="20">
        <v>166.83704800000001</v>
      </c>
      <c r="D162" s="19">
        <v>162</v>
      </c>
      <c r="E162" s="19">
        <v>1</v>
      </c>
      <c r="F162" s="19">
        <v>191</v>
      </c>
      <c r="G162" s="21">
        <v>232</v>
      </c>
      <c r="H162" s="19">
        <v>232</v>
      </c>
      <c r="I162" s="19">
        <v>232</v>
      </c>
      <c r="J162" s="19">
        <v>232</v>
      </c>
      <c r="K162" s="20" t="s">
        <v>117</v>
      </c>
      <c r="L162" s="20" t="s">
        <v>115</v>
      </c>
      <c r="M162" s="20" t="s">
        <v>114</v>
      </c>
      <c r="N162" s="22" t="s">
        <v>62</v>
      </c>
      <c r="O162" s="22">
        <v>8</v>
      </c>
      <c r="P162" s="21" t="s">
        <v>62</v>
      </c>
      <c r="Q162" s="22" t="s">
        <v>62</v>
      </c>
      <c r="R162" s="22" t="s">
        <v>62</v>
      </c>
      <c r="S162" s="22" t="s">
        <v>62</v>
      </c>
      <c r="T162" s="19">
        <v>8</v>
      </c>
      <c r="U162" s="21">
        <v>8</v>
      </c>
      <c r="V162" s="21">
        <v>4</v>
      </c>
      <c r="W162" s="22">
        <v>4</v>
      </c>
      <c r="X162" s="22">
        <v>6</v>
      </c>
      <c r="Y162" s="19">
        <v>95</v>
      </c>
      <c r="Z162" s="19">
        <v>48</v>
      </c>
      <c r="AA162" s="19">
        <v>48</v>
      </c>
      <c r="AB162" s="19">
        <v>71</v>
      </c>
      <c r="AC162" s="19">
        <v>1</v>
      </c>
      <c r="AD162" s="19">
        <v>5</v>
      </c>
      <c r="AE162" s="19">
        <v>5</v>
      </c>
      <c r="AF162" s="19">
        <v>3</v>
      </c>
      <c r="AG162" s="22">
        <v>4</v>
      </c>
      <c r="AH162" s="19">
        <v>60</v>
      </c>
      <c r="AI162" s="19">
        <v>60</v>
      </c>
      <c r="AJ162" s="19">
        <v>36</v>
      </c>
      <c r="AK162" s="19">
        <v>48</v>
      </c>
      <c r="AL162" s="19">
        <v>0</v>
      </c>
      <c r="AM162" s="21" t="s">
        <v>62</v>
      </c>
      <c r="AN162" s="21" t="s">
        <v>62</v>
      </c>
      <c r="AO162" s="21" t="s">
        <v>62</v>
      </c>
      <c r="AP162" s="21" t="s">
        <v>62</v>
      </c>
      <c r="AQ162" s="21" t="s">
        <v>62</v>
      </c>
      <c r="AR162" s="21" t="s">
        <v>62</v>
      </c>
      <c r="AS162" s="21" t="s">
        <v>62</v>
      </c>
      <c r="AT162" s="21" t="s">
        <v>62</v>
      </c>
      <c r="AU162" s="21" t="s">
        <v>62</v>
      </c>
      <c r="AV162" s="21" t="s">
        <v>62</v>
      </c>
      <c r="AW162" s="21" t="s">
        <v>62</v>
      </c>
      <c r="AX162" s="21" t="s">
        <v>62</v>
      </c>
      <c r="AY162" s="21" t="s">
        <v>62</v>
      </c>
      <c r="AZ162" s="21" t="s">
        <v>62</v>
      </c>
      <c r="BA162" s="21" t="s">
        <v>62</v>
      </c>
      <c r="BB162" s="21" t="s">
        <v>62</v>
      </c>
      <c r="BC162" s="21" t="s">
        <v>62</v>
      </c>
      <c r="BD162" s="21" t="s">
        <v>62</v>
      </c>
      <c r="BE162" s="21" t="s">
        <v>62</v>
      </c>
      <c r="BF162" s="21" t="s">
        <v>62</v>
      </c>
      <c r="BG162" s="21" t="s">
        <v>62</v>
      </c>
      <c r="BH162" s="21" t="s">
        <v>62</v>
      </c>
      <c r="BI162" s="20" t="s">
        <v>62</v>
      </c>
      <c r="BJ162" s="21" t="s">
        <v>62</v>
      </c>
      <c r="BK162" s="21" t="s">
        <v>62</v>
      </c>
      <c r="BL162" s="21" t="s">
        <v>62</v>
      </c>
      <c r="BM162" s="21" t="s">
        <v>62</v>
      </c>
      <c r="BN162" s="21" t="s">
        <v>62</v>
      </c>
      <c r="BO162" s="21" t="s">
        <v>62</v>
      </c>
      <c r="BP162" s="21" t="s">
        <v>62</v>
      </c>
      <c r="BQ162" s="21" t="s">
        <v>62</v>
      </c>
      <c r="BR162" s="21" t="s">
        <v>62</v>
      </c>
      <c r="BS162" s="21" t="s">
        <v>62</v>
      </c>
      <c r="BT162" s="21" t="s">
        <v>62</v>
      </c>
      <c r="BU162" s="21" t="s">
        <v>62</v>
      </c>
      <c r="BV162" s="21" t="s">
        <v>62</v>
      </c>
      <c r="BW162" s="21" t="s">
        <v>62</v>
      </c>
      <c r="BX162" s="21" t="s">
        <v>62</v>
      </c>
      <c r="BY162" s="21" t="s">
        <v>62</v>
      </c>
      <c r="BZ162" s="21" t="s">
        <v>62</v>
      </c>
      <c r="CA162" s="21" t="s">
        <v>62</v>
      </c>
      <c r="CB162" s="21" t="s">
        <v>62</v>
      </c>
      <c r="CC162" s="21" t="s">
        <v>62</v>
      </c>
      <c r="CD162" s="21" t="s">
        <v>62</v>
      </c>
      <c r="CE162" s="21" t="s">
        <v>62</v>
      </c>
      <c r="CF162" s="20" t="s">
        <v>62</v>
      </c>
      <c r="CG162" s="20" t="s">
        <v>64</v>
      </c>
      <c r="CH162" s="20">
        <v>5.3600000000000002E-4</v>
      </c>
      <c r="CI162" s="19">
        <v>1</v>
      </c>
      <c r="CJ162" s="78">
        <v>3</v>
      </c>
      <c r="CK162" s="78" t="s">
        <v>224</v>
      </c>
      <c r="CL162" s="78" t="s">
        <v>224</v>
      </c>
      <c r="CM162" s="78">
        <v>166.83713599999999</v>
      </c>
      <c r="CN162" s="78">
        <v>2</v>
      </c>
      <c r="CO162" s="78" t="s">
        <v>224</v>
      </c>
      <c r="CP162" s="78" t="s">
        <v>224</v>
      </c>
      <c r="CQ162" s="78" t="s">
        <v>224</v>
      </c>
      <c r="CR162" s="12" t="str">
        <f>IF(COUNTIF(Incl!A:A,Raw!J162),1, "")</f>
        <v/>
      </c>
    </row>
    <row r="163" spans="1:96" ht="13.5" thickTop="1" thickBot="1" x14ac:dyDescent="0.3">
      <c r="A163" s="18">
        <v>160</v>
      </c>
      <c r="B163" s="19">
        <v>1</v>
      </c>
      <c r="C163" s="20">
        <v>172.417373</v>
      </c>
      <c r="D163" s="19">
        <v>163</v>
      </c>
      <c r="E163" s="19">
        <v>1</v>
      </c>
      <c r="F163" s="19">
        <v>192</v>
      </c>
      <c r="G163" s="21">
        <v>234</v>
      </c>
      <c r="H163" s="19">
        <v>234</v>
      </c>
      <c r="I163" s="19">
        <v>234</v>
      </c>
      <c r="J163" s="19">
        <v>234</v>
      </c>
      <c r="K163" s="20" t="s">
        <v>117</v>
      </c>
      <c r="L163" s="20" t="s">
        <v>69</v>
      </c>
      <c r="M163" s="20" t="s">
        <v>115</v>
      </c>
      <c r="N163" s="22" t="s">
        <v>62</v>
      </c>
      <c r="O163" s="22">
        <v>9</v>
      </c>
      <c r="P163" s="21" t="s">
        <v>62</v>
      </c>
      <c r="Q163" s="22" t="s">
        <v>62</v>
      </c>
      <c r="R163" s="22" t="s">
        <v>62</v>
      </c>
      <c r="S163" s="22" t="s">
        <v>62</v>
      </c>
      <c r="T163" s="19">
        <v>9</v>
      </c>
      <c r="U163" s="21">
        <v>9</v>
      </c>
      <c r="V163" s="22">
        <v>8</v>
      </c>
      <c r="W163" s="22">
        <v>8</v>
      </c>
      <c r="X163" s="22">
        <v>9</v>
      </c>
      <c r="Y163" s="19">
        <v>96</v>
      </c>
      <c r="Z163" s="19">
        <v>85</v>
      </c>
      <c r="AA163" s="19">
        <v>85</v>
      </c>
      <c r="AB163" s="19">
        <v>96</v>
      </c>
      <c r="AC163" s="19">
        <v>4</v>
      </c>
      <c r="AD163" s="19">
        <v>7</v>
      </c>
      <c r="AE163" s="19">
        <v>7</v>
      </c>
      <c r="AF163" s="19">
        <v>7</v>
      </c>
      <c r="AG163" s="22">
        <v>8</v>
      </c>
      <c r="AH163" s="19">
        <v>74</v>
      </c>
      <c r="AI163" s="19">
        <v>74</v>
      </c>
      <c r="AJ163" s="19">
        <v>74</v>
      </c>
      <c r="AK163" s="19">
        <v>85</v>
      </c>
      <c r="AL163" s="19">
        <v>1</v>
      </c>
      <c r="AM163" s="21" t="s">
        <v>62</v>
      </c>
      <c r="AN163" s="21" t="s">
        <v>62</v>
      </c>
      <c r="AO163" s="21" t="s">
        <v>62</v>
      </c>
      <c r="AP163" s="21" t="s">
        <v>62</v>
      </c>
      <c r="AQ163" s="21" t="s">
        <v>62</v>
      </c>
      <c r="AR163" s="21" t="s">
        <v>62</v>
      </c>
      <c r="AS163" s="21" t="s">
        <v>62</v>
      </c>
      <c r="AT163" s="21" t="s">
        <v>62</v>
      </c>
      <c r="AU163" s="21" t="s">
        <v>62</v>
      </c>
      <c r="AV163" s="21" t="s">
        <v>62</v>
      </c>
      <c r="AW163" s="21" t="s">
        <v>62</v>
      </c>
      <c r="AX163" s="21" t="s">
        <v>62</v>
      </c>
      <c r="AY163" s="21" t="s">
        <v>62</v>
      </c>
      <c r="AZ163" s="21" t="s">
        <v>62</v>
      </c>
      <c r="BA163" s="21" t="s">
        <v>62</v>
      </c>
      <c r="BB163" s="21" t="s">
        <v>62</v>
      </c>
      <c r="BC163" s="21" t="s">
        <v>62</v>
      </c>
      <c r="BD163" s="21" t="s">
        <v>62</v>
      </c>
      <c r="BE163" s="21" t="s">
        <v>62</v>
      </c>
      <c r="BF163" s="21" t="s">
        <v>62</v>
      </c>
      <c r="BG163" s="21" t="s">
        <v>62</v>
      </c>
      <c r="BH163" s="21" t="s">
        <v>62</v>
      </c>
      <c r="BI163" s="20" t="s">
        <v>62</v>
      </c>
      <c r="BJ163" s="21" t="s">
        <v>62</v>
      </c>
      <c r="BK163" s="21" t="s">
        <v>62</v>
      </c>
      <c r="BL163" s="21" t="s">
        <v>62</v>
      </c>
      <c r="BM163" s="21" t="s">
        <v>62</v>
      </c>
      <c r="BN163" s="21" t="s">
        <v>62</v>
      </c>
      <c r="BO163" s="21" t="s">
        <v>62</v>
      </c>
      <c r="BP163" s="21" t="s">
        <v>62</v>
      </c>
      <c r="BQ163" s="21" t="s">
        <v>62</v>
      </c>
      <c r="BR163" s="21" t="s">
        <v>62</v>
      </c>
      <c r="BS163" s="21" t="s">
        <v>62</v>
      </c>
      <c r="BT163" s="21" t="s">
        <v>62</v>
      </c>
      <c r="BU163" s="21" t="s">
        <v>62</v>
      </c>
      <c r="BV163" s="21" t="s">
        <v>62</v>
      </c>
      <c r="BW163" s="21" t="s">
        <v>62</v>
      </c>
      <c r="BX163" s="21" t="s">
        <v>62</v>
      </c>
      <c r="BY163" s="21" t="s">
        <v>62</v>
      </c>
      <c r="BZ163" s="21" t="s">
        <v>62</v>
      </c>
      <c r="CA163" s="21" t="s">
        <v>62</v>
      </c>
      <c r="CB163" s="21" t="s">
        <v>62</v>
      </c>
      <c r="CC163" s="21" t="s">
        <v>62</v>
      </c>
      <c r="CD163" s="21" t="s">
        <v>62</v>
      </c>
      <c r="CE163" s="21" t="s">
        <v>62</v>
      </c>
      <c r="CF163" s="20" t="s">
        <v>62</v>
      </c>
      <c r="CG163" s="20" t="s">
        <v>64</v>
      </c>
      <c r="CH163" s="20">
        <v>5.5500000000000005E-4</v>
      </c>
      <c r="CI163" s="19">
        <v>5</v>
      </c>
      <c r="CJ163" s="78">
        <v>3</v>
      </c>
      <c r="CK163" s="78" t="s">
        <v>224</v>
      </c>
      <c r="CL163" s="78" t="s">
        <v>224</v>
      </c>
      <c r="CM163" s="78">
        <v>172.417303</v>
      </c>
      <c r="CN163" s="78">
        <v>2</v>
      </c>
      <c r="CO163" s="78" t="s">
        <v>224</v>
      </c>
      <c r="CP163" s="78" t="s">
        <v>224</v>
      </c>
      <c r="CQ163" s="78" t="s">
        <v>224</v>
      </c>
      <c r="CR163" s="12" t="str">
        <f>IF(COUNTIF(Incl!A:A,Raw!J163),1, "")</f>
        <v/>
      </c>
    </row>
    <row r="164" spans="1:96" ht="13.5" thickTop="1" thickBot="1" x14ac:dyDescent="0.3">
      <c r="A164" s="13">
        <v>161</v>
      </c>
      <c r="B164" s="14">
        <v>1</v>
      </c>
      <c r="C164" s="15">
        <v>182.08908600000001</v>
      </c>
      <c r="D164" s="14">
        <v>164</v>
      </c>
      <c r="E164" s="14">
        <v>1</v>
      </c>
      <c r="F164" s="14">
        <v>193</v>
      </c>
      <c r="G164" s="16">
        <v>236</v>
      </c>
      <c r="H164" s="14">
        <v>236</v>
      </c>
      <c r="I164" s="14">
        <v>236</v>
      </c>
      <c r="J164" s="14">
        <v>236</v>
      </c>
      <c r="K164" s="15" t="s">
        <v>117</v>
      </c>
      <c r="L164" s="15" t="s">
        <v>82</v>
      </c>
      <c r="M164" s="15" t="s">
        <v>69</v>
      </c>
      <c r="N164" s="17" t="s">
        <v>62</v>
      </c>
      <c r="O164" s="16">
        <v>7</v>
      </c>
      <c r="P164" s="17" t="s">
        <v>62</v>
      </c>
      <c r="Q164" s="17" t="s">
        <v>62</v>
      </c>
      <c r="R164" s="17" t="s">
        <v>62</v>
      </c>
      <c r="S164" s="17" t="s">
        <v>62</v>
      </c>
      <c r="T164" s="14">
        <v>7</v>
      </c>
      <c r="U164" s="16">
        <v>5</v>
      </c>
      <c r="V164" s="16">
        <v>5</v>
      </c>
      <c r="W164" s="16">
        <v>6</v>
      </c>
      <c r="X164" s="17">
        <v>6</v>
      </c>
      <c r="Y164" s="14">
        <v>69</v>
      </c>
      <c r="Z164" s="14">
        <v>69</v>
      </c>
      <c r="AA164" s="14">
        <v>83</v>
      </c>
      <c r="AB164" s="14">
        <v>83</v>
      </c>
      <c r="AC164" s="14">
        <v>2</v>
      </c>
      <c r="AD164" s="14">
        <v>4</v>
      </c>
      <c r="AE164" s="14">
        <v>4</v>
      </c>
      <c r="AF164" s="14">
        <v>7</v>
      </c>
      <c r="AG164" s="17">
        <v>4</v>
      </c>
      <c r="AH164" s="14">
        <v>55</v>
      </c>
      <c r="AI164" s="14">
        <v>55</v>
      </c>
      <c r="AJ164" s="14">
        <v>97</v>
      </c>
      <c r="AK164" s="14">
        <v>55</v>
      </c>
      <c r="AL164" s="14">
        <v>1</v>
      </c>
      <c r="AM164" s="16" t="s">
        <v>62</v>
      </c>
      <c r="AN164" s="16" t="s">
        <v>62</v>
      </c>
      <c r="AO164" s="16" t="s">
        <v>62</v>
      </c>
      <c r="AP164" s="16" t="s">
        <v>62</v>
      </c>
      <c r="AQ164" s="16" t="s">
        <v>62</v>
      </c>
      <c r="AR164" s="16" t="s">
        <v>62</v>
      </c>
      <c r="AS164" s="16" t="s">
        <v>62</v>
      </c>
      <c r="AT164" s="16" t="s">
        <v>62</v>
      </c>
      <c r="AU164" s="16" t="s">
        <v>62</v>
      </c>
      <c r="AV164" s="16" t="s">
        <v>62</v>
      </c>
      <c r="AW164" s="16" t="s">
        <v>62</v>
      </c>
      <c r="AX164" s="16" t="s">
        <v>62</v>
      </c>
      <c r="AY164" s="16" t="s">
        <v>62</v>
      </c>
      <c r="AZ164" s="16" t="s">
        <v>62</v>
      </c>
      <c r="BA164" s="16" t="s">
        <v>62</v>
      </c>
      <c r="BB164" s="16" t="s">
        <v>62</v>
      </c>
      <c r="BC164" s="16" t="s">
        <v>62</v>
      </c>
      <c r="BD164" s="16" t="s">
        <v>62</v>
      </c>
      <c r="BE164" s="16" t="s">
        <v>62</v>
      </c>
      <c r="BF164" s="16" t="s">
        <v>62</v>
      </c>
      <c r="BG164" s="16" t="s">
        <v>62</v>
      </c>
      <c r="BH164" s="16" t="s">
        <v>62</v>
      </c>
      <c r="BI164" s="15" t="s">
        <v>62</v>
      </c>
      <c r="BJ164" s="16" t="s">
        <v>62</v>
      </c>
      <c r="BK164" s="16" t="s">
        <v>62</v>
      </c>
      <c r="BL164" s="16" t="s">
        <v>62</v>
      </c>
      <c r="BM164" s="16" t="s">
        <v>62</v>
      </c>
      <c r="BN164" s="16" t="s">
        <v>62</v>
      </c>
      <c r="BO164" s="16" t="s">
        <v>62</v>
      </c>
      <c r="BP164" s="16" t="s">
        <v>62</v>
      </c>
      <c r="BQ164" s="16" t="s">
        <v>62</v>
      </c>
      <c r="BR164" s="16" t="s">
        <v>62</v>
      </c>
      <c r="BS164" s="16" t="s">
        <v>62</v>
      </c>
      <c r="BT164" s="16" t="s">
        <v>62</v>
      </c>
      <c r="BU164" s="16" t="s">
        <v>62</v>
      </c>
      <c r="BV164" s="16" t="s">
        <v>62</v>
      </c>
      <c r="BW164" s="16" t="s">
        <v>62</v>
      </c>
      <c r="BX164" s="16" t="s">
        <v>62</v>
      </c>
      <c r="BY164" s="16" t="s">
        <v>62</v>
      </c>
      <c r="BZ164" s="16" t="s">
        <v>62</v>
      </c>
      <c r="CA164" s="16" t="s">
        <v>62</v>
      </c>
      <c r="CB164" s="16" t="s">
        <v>62</v>
      </c>
      <c r="CC164" s="16" t="s">
        <v>62</v>
      </c>
      <c r="CD164" s="16" t="s">
        <v>62</v>
      </c>
      <c r="CE164" s="16" t="s">
        <v>62</v>
      </c>
      <c r="CF164" s="15" t="s">
        <v>62</v>
      </c>
      <c r="CG164" s="15" t="s">
        <v>64</v>
      </c>
      <c r="CH164" s="15">
        <v>5.8500000000000002E-4</v>
      </c>
      <c r="CI164" s="14">
        <v>3</v>
      </c>
      <c r="CJ164" s="79">
        <v>3</v>
      </c>
      <c r="CK164" s="79" t="s">
        <v>224</v>
      </c>
      <c r="CL164" s="79" t="s">
        <v>224</v>
      </c>
      <c r="CM164" s="79">
        <v>182.08910599999999</v>
      </c>
      <c r="CN164" s="79">
        <v>2</v>
      </c>
      <c r="CO164" s="79" t="s">
        <v>224</v>
      </c>
      <c r="CP164" s="79" t="s">
        <v>224</v>
      </c>
      <c r="CQ164" s="79" t="s">
        <v>224</v>
      </c>
      <c r="CR164" s="12" t="str">
        <f>IF(COUNTIF(Incl!A:A,Raw!J164),1, "")</f>
        <v/>
      </c>
    </row>
    <row r="165" spans="1:96" ht="13.5" thickTop="1" thickBot="1" x14ac:dyDescent="0.3">
      <c r="A165" s="13">
        <v>162</v>
      </c>
      <c r="B165" s="14">
        <v>1</v>
      </c>
      <c r="C165" s="15">
        <v>174.898878</v>
      </c>
      <c r="D165" s="14">
        <v>165</v>
      </c>
      <c r="E165" s="14">
        <v>1</v>
      </c>
      <c r="F165" s="14">
        <v>194</v>
      </c>
      <c r="G165" s="16">
        <v>238</v>
      </c>
      <c r="H165" s="14">
        <v>238</v>
      </c>
      <c r="I165" s="14">
        <v>238</v>
      </c>
      <c r="J165" s="14">
        <v>238</v>
      </c>
      <c r="K165" s="15" t="s">
        <v>117</v>
      </c>
      <c r="L165" s="15" t="s">
        <v>60</v>
      </c>
      <c r="M165" s="15" t="s">
        <v>82</v>
      </c>
      <c r="N165" s="16" t="s">
        <v>62</v>
      </c>
      <c r="O165" s="17">
        <v>6</v>
      </c>
      <c r="P165" s="17" t="s">
        <v>62</v>
      </c>
      <c r="Q165" s="17" t="s">
        <v>62</v>
      </c>
      <c r="R165" s="17">
        <v>3</v>
      </c>
      <c r="S165" s="17" t="s">
        <v>62</v>
      </c>
      <c r="T165" s="14">
        <v>9</v>
      </c>
      <c r="U165" s="16">
        <v>8</v>
      </c>
      <c r="V165" s="17">
        <v>3</v>
      </c>
      <c r="W165" s="17">
        <v>9</v>
      </c>
      <c r="X165" s="17">
        <v>8</v>
      </c>
      <c r="Y165" s="14">
        <v>91</v>
      </c>
      <c r="Z165" s="14">
        <v>34</v>
      </c>
      <c r="AA165" s="14">
        <v>103</v>
      </c>
      <c r="AB165" s="14">
        <v>91</v>
      </c>
      <c r="AC165" s="14">
        <v>3</v>
      </c>
      <c r="AD165" s="14">
        <v>4</v>
      </c>
      <c r="AE165" s="14">
        <v>4</v>
      </c>
      <c r="AF165" s="14">
        <v>5</v>
      </c>
      <c r="AG165" s="17">
        <v>5</v>
      </c>
      <c r="AH165" s="14">
        <v>46</v>
      </c>
      <c r="AI165" s="14">
        <v>46</v>
      </c>
      <c r="AJ165" s="14">
        <v>57</v>
      </c>
      <c r="AK165" s="14">
        <v>57</v>
      </c>
      <c r="AL165" s="14">
        <v>0</v>
      </c>
      <c r="AM165" s="16" t="s">
        <v>62</v>
      </c>
      <c r="AN165" s="16" t="s">
        <v>62</v>
      </c>
      <c r="AO165" s="16" t="s">
        <v>62</v>
      </c>
      <c r="AP165" s="16" t="s">
        <v>62</v>
      </c>
      <c r="AQ165" s="16" t="s">
        <v>62</v>
      </c>
      <c r="AR165" s="16" t="s">
        <v>62</v>
      </c>
      <c r="AS165" s="16" t="s">
        <v>62</v>
      </c>
      <c r="AT165" s="16" t="s">
        <v>62</v>
      </c>
      <c r="AU165" s="16" t="s">
        <v>62</v>
      </c>
      <c r="AV165" s="16" t="s">
        <v>62</v>
      </c>
      <c r="AW165" s="16" t="s">
        <v>62</v>
      </c>
      <c r="AX165" s="16" t="s">
        <v>62</v>
      </c>
      <c r="AY165" s="16" t="s">
        <v>62</v>
      </c>
      <c r="AZ165" s="16" t="s">
        <v>62</v>
      </c>
      <c r="BA165" s="16" t="s">
        <v>62</v>
      </c>
      <c r="BB165" s="16" t="s">
        <v>62</v>
      </c>
      <c r="BC165" s="16" t="s">
        <v>62</v>
      </c>
      <c r="BD165" s="16" t="s">
        <v>62</v>
      </c>
      <c r="BE165" s="16" t="s">
        <v>62</v>
      </c>
      <c r="BF165" s="16" t="s">
        <v>62</v>
      </c>
      <c r="BG165" s="16" t="s">
        <v>62</v>
      </c>
      <c r="BH165" s="16" t="s">
        <v>62</v>
      </c>
      <c r="BI165" s="15" t="s">
        <v>62</v>
      </c>
      <c r="BJ165" s="16" t="s">
        <v>62</v>
      </c>
      <c r="BK165" s="16" t="s">
        <v>62</v>
      </c>
      <c r="BL165" s="16" t="s">
        <v>62</v>
      </c>
      <c r="BM165" s="16" t="s">
        <v>62</v>
      </c>
      <c r="BN165" s="16" t="s">
        <v>62</v>
      </c>
      <c r="BO165" s="16" t="s">
        <v>62</v>
      </c>
      <c r="BP165" s="16" t="s">
        <v>62</v>
      </c>
      <c r="BQ165" s="16" t="s">
        <v>62</v>
      </c>
      <c r="BR165" s="16" t="s">
        <v>62</v>
      </c>
      <c r="BS165" s="16" t="s">
        <v>62</v>
      </c>
      <c r="BT165" s="16" t="s">
        <v>62</v>
      </c>
      <c r="BU165" s="16" t="s">
        <v>62</v>
      </c>
      <c r="BV165" s="16" t="s">
        <v>62</v>
      </c>
      <c r="BW165" s="16" t="s">
        <v>62</v>
      </c>
      <c r="BX165" s="16" t="s">
        <v>62</v>
      </c>
      <c r="BY165" s="16" t="s">
        <v>62</v>
      </c>
      <c r="BZ165" s="16" t="s">
        <v>62</v>
      </c>
      <c r="CA165" s="16" t="s">
        <v>62</v>
      </c>
      <c r="CB165" s="16" t="s">
        <v>62</v>
      </c>
      <c r="CC165" s="16" t="s">
        <v>62</v>
      </c>
      <c r="CD165" s="16" t="s">
        <v>62</v>
      </c>
      <c r="CE165" s="16" t="s">
        <v>62</v>
      </c>
      <c r="CF165" s="15" t="s">
        <v>62</v>
      </c>
      <c r="CG165" s="15" t="s">
        <v>64</v>
      </c>
      <c r="CH165" s="15">
        <v>5.6499999999999996E-4</v>
      </c>
      <c r="CI165" s="14">
        <v>3</v>
      </c>
      <c r="CJ165" s="79">
        <v>3</v>
      </c>
      <c r="CK165" s="79" t="s">
        <v>224</v>
      </c>
      <c r="CL165" s="79">
        <v>0</v>
      </c>
      <c r="CM165" s="79">
        <v>174.89886899999999</v>
      </c>
      <c r="CN165" s="79">
        <v>2</v>
      </c>
      <c r="CO165" s="79" t="s">
        <v>224</v>
      </c>
      <c r="CP165" s="79" t="s">
        <v>224</v>
      </c>
      <c r="CQ165" s="79" t="s">
        <v>224</v>
      </c>
      <c r="CR165" s="12" t="str">
        <f>IF(COUNTIF(Incl!A:A,Raw!J165),1, "")</f>
        <v/>
      </c>
    </row>
    <row r="166" spans="1:96" ht="13.5" thickTop="1" thickBot="1" x14ac:dyDescent="0.3">
      <c r="A166" s="18">
        <v>163</v>
      </c>
      <c r="B166" s="19">
        <v>1</v>
      </c>
      <c r="C166" s="20">
        <v>239.006381</v>
      </c>
      <c r="D166" s="19">
        <v>166</v>
      </c>
      <c r="E166" s="19">
        <v>1</v>
      </c>
      <c r="F166" s="19">
        <v>195</v>
      </c>
      <c r="G166" s="21">
        <v>239</v>
      </c>
      <c r="H166" s="19">
        <v>239</v>
      </c>
      <c r="I166" s="19">
        <v>239</v>
      </c>
      <c r="J166" s="19">
        <v>239</v>
      </c>
      <c r="K166" s="20" t="s">
        <v>117</v>
      </c>
      <c r="L166" s="20" t="s">
        <v>82</v>
      </c>
      <c r="M166" s="20" t="s">
        <v>60</v>
      </c>
      <c r="N166" s="22" t="s">
        <v>62</v>
      </c>
      <c r="O166" s="22">
        <v>5</v>
      </c>
      <c r="P166" s="21" t="s">
        <v>62</v>
      </c>
      <c r="Q166" s="22" t="s">
        <v>62</v>
      </c>
      <c r="R166" s="22" t="s">
        <v>62</v>
      </c>
      <c r="S166" s="22" t="s">
        <v>62</v>
      </c>
      <c r="T166" s="19">
        <v>5</v>
      </c>
      <c r="U166" s="21">
        <v>4</v>
      </c>
      <c r="V166" s="21">
        <v>4</v>
      </c>
      <c r="W166" s="21">
        <v>4</v>
      </c>
      <c r="X166" s="22">
        <v>6</v>
      </c>
      <c r="Y166" s="19">
        <v>82</v>
      </c>
      <c r="Z166" s="19">
        <v>82</v>
      </c>
      <c r="AA166" s="19">
        <v>82</v>
      </c>
      <c r="AB166" s="19">
        <v>122</v>
      </c>
      <c r="AC166" s="19">
        <v>4</v>
      </c>
      <c r="AD166" s="19">
        <v>4</v>
      </c>
      <c r="AE166" s="19">
        <v>4</v>
      </c>
      <c r="AF166" s="19">
        <v>5</v>
      </c>
      <c r="AG166" s="22">
        <v>5</v>
      </c>
      <c r="AH166" s="19">
        <v>82</v>
      </c>
      <c r="AI166" s="19">
        <v>82</v>
      </c>
      <c r="AJ166" s="19">
        <v>102</v>
      </c>
      <c r="AK166" s="19">
        <v>102</v>
      </c>
      <c r="AL166" s="19">
        <v>4</v>
      </c>
      <c r="AM166" s="21" t="s">
        <v>62</v>
      </c>
      <c r="AN166" s="21" t="s">
        <v>62</v>
      </c>
      <c r="AO166" s="21" t="s">
        <v>62</v>
      </c>
      <c r="AP166" s="21" t="s">
        <v>62</v>
      </c>
      <c r="AQ166" s="21" t="s">
        <v>62</v>
      </c>
      <c r="AR166" s="21" t="s">
        <v>62</v>
      </c>
      <c r="AS166" s="21" t="s">
        <v>62</v>
      </c>
      <c r="AT166" s="21" t="s">
        <v>62</v>
      </c>
      <c r="AU166" s="21" t="s">
        <v>62</v>
      </c>
      <c r="AV166" s="21" t="s">
        <v>62</v>
      </c>
      <c r="AW166" s="21" t="s">
        <v>62</v>
      </c>
      <c r="AX166" s="21" t="s">
        <v>62</v>
      </c>
      <c r="AY166" s="21" t="s">
        <v>62</v>
      </c>
      <c r="AZ166" s="21" t="s">
        <v>62</v>
      </c>
      <c r="BA166" s="21" t="s">
        <v>62</v>
      </c>
      <c r="BB166" s="21" t="s">
        <v>62</v>
      </c>
      <c r="BC166" s="21" t="s">
        <v>62</v>
      </c>
      <c r="BD166" s="21" t="s">
        <v>62</v>
      </c>
      <c r="BE166" s="21" t="s">
        <v>62</v>
      </c>
      <c r="BF166" s="21" t="s">
        <v>62</v>
      </c>
      <c r="BG166" s="21" t="s">
        <v>62</v>
      </c>
      <c r="BH166" s="21" t="s">
        <v>62</v>
      </c>
      <c r="BI166" s="20" t="s">
        <v>62</v>
      </c>
      <c r="BJ166" s="21" t="s">
        <v>62</v>
      </c>
      <c r="BK166" s="21" t="s">
        <v>62</v>
      </c>
      <c r="BL166" s="21" t="s">
        <v>62</v>
      </c>
      <c r="BM166" s="21" t="s">
        <v>62</v>
      </c>
      <c r="BN166" s="21" t="s">
        <v>62</v>
      </c>
      <c r="BO166" s="21" t="s">
        <v>62</v>
      </c>
      <c r="BP166" s="21" t="s">
        <v>62</v>
      </c>
      <c r="BQ166" s="21" t="s">
        <v>62</v>
      </c>
      <c r="BR166" s="21" t="s">
        <v>62</v>
      </c>
      <c r="BS166" s="21" t="s">
        <v>62</v>
      </c>
      <c r="BT166" s="21" t="s">
        <v>62</v>
      </c>
      <c r="BU166" s="21" t="s">
        <v>62</v>
      </c>
      <c r="BV166" s="21" t="s">
        <v>62</v>
      </c>
      <c r="BW166" s="21" t="s">
        <v>62</v>
      </c>
      <c r="BX166" s="21" t="s">
        <v>62</v>
      </c>
      <c r="BY166" s="21" t="s">
        <v>62</v>
      </c>
      <c r="BZ166" s="21" t="s">
        <v>62</v>
      </c>
      <c r="CA166" s="21" t="s">
        <v>62</v>
      </c>
      <c r="CB166" s="22" t="s">
        <v>62</v>
      </c>
      <c r="CC166" s="21" t="s">
        <v>62</v>
      </c>
      <c r="CD166" s="21" t="s">
        <v>62</v>
      </c>
      <c r="CE166" s="21" t="s">
        <v>62</v>
      </c>
      <c r="CF166" s="20" t="s">
        <v>62</v>
      </c>
      <c r="CG166" s="20" t="s">
        <v>66</v>
      </c>
      <c r="CH166" s="20">
        <v>7.7399999999999995E-4</v>
      </c>
      <c r="CI166" s="19">
        <v>8</v>
      </c>
      <c r="CJ166" s="78">
        <v>3</v>
      </c>
      <c r="CK166" s="78" t="s">
        <v>224</v>
      </c>
      <c r="CL166" s="78">
        <v>0</v>
      </c>
      <c r="CM166" s="78">
        <v>239.961421</v>
      </c>
      <c r="CN166" s="78">
        <v>2</v>
      </c>
      <c r="CO166" s="78" t="s">
        <v>224</v>
      </c>
      <c r="CP166" s="78" t="s">
        <v>224</v>
      </c>
      <c r="CQ166" s="78" t="s">
        <v>224</v>
      </c>
      <c r="CR166" s="12" t="str">
        <f>IF(COUNTIF(Incl!A:A,Raw!J166),1, "")</f>
        <v/>
      </c>
    </row>
    <row r="167" spans="1:96" ht="13.5" thickTop="1" thickBot="1" x14ac:dyDescent="0.3">
      <c r="A167" s="13">
        <v>164</v>
      </c>
      <c r="B167" s="14">
        <v>1</v>
      </c>
      <c r="C167" s="15">
        <v>208.127647</v>
      </c>
      <c r="D167" s="14">
        <v>167</v>
      </c>
      <c r="E167" s="14">
        <v>1</v>
      </c>
      <c r="F167" s="14">
        <v>196</v>
      </c>
      <c r="G167" s="16">
        <v>237</v>
      </c>
      <c r="H167" s="14">
        <v>237</v>
      </c>
      <c r="I167" s="14">
        <v>237</v>
      </c>
      <c r="J167" s="14">
        <v>237</v>
      </c>
      <c r="K167" s="15" t="s">
        <v>117</v>
      </c>
      <c r="L167" s="15" t="s">
        <v>69</v>
      </c>
      <c r="M167" s="15" t="s">
        <v>82</v>
      </c>
      <c r="N167" s="17" t="s">
        <v>62</v>
      </c>
      <c r="O167" s="16">
        <v>8</v>
      </c>
      <c r="P167" s="17" t="s">
        <v>62</v>
      </c>
      <c r="Q167" s="17" t="s">
        <v>62</v>
      </c>
      <c r="R167" s="17" t="s">
        <v>62</v>
      </c>
      <c r="S167" s="17" t="s">
        <v>62</v>
      </c>
      <c r="T167" s="14">
        <v>8</v>
      </c>
      <c r="U167" s="17">
        <v>8</v>
      </c>
      <c r="V167" s="17">
        <v>6</v>
      </c>
      <c r="W167" s="16">
        <v>8</v>
      </c>
      <c r="X167" s="17">
        <v>7</v>
      </c>
      <c r="Y167" s="14">
        <v>101</v>
      </c>
      <c r="Z167" s="14">
        <v>76</v>
      </c>
      <c r="AA167" s="14">
        <v>101</v>
      </c>
      <c r="AB167" s="14">
        <v>89</v>
      </c>
      <c r="AC167" s="14">
        <v>4</v>
      </c>
      <c r="AD167" s="14">
        <v>6</v>
      </c>
      <c r="AE167" s="14">
        <v>6</v>
      </c>
      <c r="AF167" s="14">
        <v>7</v>
      </c>
      <c r="AG167" s="17">
        <v>7</v>
      </c>
      <c r="AH167" s="14">
        <v>76</v>
      </c>
      <c r="AI167" s="14">
        <v>76</v>
      </c>
      <c r="AJ167" s="14">
        <v>89</v>
      </c>
      <c r="AK167" s="14">
        <v>89</v>
      </c>
      <c r="AL167" s="14">
        <v>4</v>
      </c>
      <c r="AM167" s="16" t="s">
        <v>62</v>
      </c>
      <c r="AN167" s="16" t="s">
        <v>62</v>
      </c>
      <c r="AO167" s="16" t="s">
        <v>62</v>
      </c>
      <c r="AP167" s="16" t="s">
        <v>62</v>
      </c>
      <c r="AQ167" s="16" t="s">
        <v>62</v>
      </c>
      <c r="AR167" s="16" t="s">
        <v>62</v>
      </c>
      <c r="AS167" s="16" t="s">
        <v>62</v>
      </c>
      <c r="AT167" s="16" t="s">
        <v>62</v>
      </c>
      <c r="AU167" s="16" t="s">
        <v>62</v>
      </c>
      <c r="AV167" s="16" t="s">
        <v>62</v>
      </c>
      <c r="AW167" s="16" t="s">
        <v>62</v>
      </c>
      <c r="AX167" s="16" t="s">
        <v>62</v>
      </c>
      <c r="AY167" s="16" t="s">
        <v>62</v>
      </c>
      <c r="AZ167" s="16" t="s">
        <v>62</v>
      </c>
      <c r="BA167" s="16" t="s">
        <v>62</v>
      </c>
      <c r="BB167" s="16" t="s">
        <v>62</v>
      </c>
      <c r="BC167" s="16" t="s">
        <v>62</v>
      </c>
      <c r="BD167" s="16" t="s">
        <v>62</v>
      </c>
      <c r="BE167" s="16" t="s">
        <v>62</v>
      </c>
      <c r="BF167" s="16" t="s">
        <v>62</v>
      </c>
      <c r="BG167" s="16" t="s">
        <v>62</v>
      </c>
      <c r="BH167" s="16" t="s">
        <v>62</v>
      </c>
      <c r="BI167" s="15" t="s">
        <v>62</v>
      </c>
      <c r="BJ167" s="16" t="s">
        <v>62</v>
      </c>
      <c r="BK167" s="16" t="s">
        <v>62</v>
      </c>
      <c r="BL167" s="16" t="s">
        <v>62</v>
      </c>
      <c r="BM167" s="16" t="s">
        <v>62</v>
      </c>
      <c r="BN167" s="16" t="s">
        <v>62</v>
      </c>
      <c r="BO167" s="16" t="s">
        <v>62</v>
      </c>
      <c r="BP167" s="16" t="s">
        <v>62</v>
      </c>
      <c r="BQ167" s="16" t="s">
        <v>62</v>
      </c>
      <c r="BR167" s="16" t="s">
        <v>62</v>
      </c>
      <c r="BS167" s="16" t="s">
        <v>62</v>
      </c>
      <c r="BT167" s="16" t="s">
        <v>62</v>
      </c>
      <c r="BU167" s="16" t="s">
        <v>62</v>
      </c>
      <c r="BV167" s="16" t="s">
        <v>62</v>
      </c>
      <c r="BW167" s="16" t="s">
        <v>62</v>
      </c>
      <c r="BX167" s="16" t="s">
        <v>62</v>
      </c>
      <c r="BY167" s="16" t="s">
        <v>62</v>
      </c>
      <c r="BZ167" s="16" t="s">
        <v>62</v>
      </c>
      <c r="CA167" s="16" t="s">
        <v>62</v>
      </c>
      <c r="CB167" s="16" t="s">
        <v>62</v>
      </c>
      <c r="CC167" s="16" t="s">
        <v>62</v>
      </c>
      <c r="CD167" s="16" t="s">
        <v>62</v>
      </c>
      <c r="CE167" s="16" t="s">
        <v>62</v>
      </c>
      <c r="CF167" s="15" t="s">
        <v>62</v>
      </c>
      <c r="CG167" s="15" t="s">
        <v>66</v>
      </c>
      <c r="CH167" s="15">
        <v>6.7599999999999995E-4</v>
      </c>
      <c r="CI167" s="14">
        <v>8</v>
      </c>
      <c r="CJ167" s="79">
        <v>3</v>
      </c>
      <c r="CK167" s="79" t="s">
        <v>224</v>
      </c>
      <c r="CL167" s="79" t="s">
        <v>224</v>
      </c>
      <c r="CM167" s="79">
        <v>208.12755899999999</v>
      </c>
      <c r="CN167" s="79">
        <v>2</v>
      </c>
      <c r="CO167" s="79" t="s">
        <v>224</v>
      </c>
      <c r="CP167" s="79" t="s">
        <v>224</v>
      </c>
      <c r="CQ167" s="79" t="s">
        <v>224</v>
      </c>
      <c r="CR167" s="12" t="str">
        <f>IF(COUNTIF(Incl!A:A,Raw!J167),1, "")</f>
        <v/>
      </c>
    </row>
    <row r="168" spans="1:96" ht="13.5" thickTop="1" thickBot="1" x14ac:dyDescent="0.3">
      <c r="A168" s="18">
        <v>165</v>
      </c>
      <c r="B168" s="19">
        <v>1</v>
      </c>
      <c r="C168" s="20">
        <v>194.60396700000001</v>
      </c>
      <c r="D168" s="19">
        <v>168</v>
      </c>
      <c r="E168" s="19">
        <v>1</v>
      </c>
      <c r="F168" s="19">
        <v>197</v>
      </c>
      <c r="G168" s="21">
        <v>235</v>
      </c>
      <c r="H168" s="19">
        <v>235</v>
      </c>
      <c r="I168" s="19">
        <v>235</v>
      </c>
      <c r="J168" s="19">
        <v>235</v>
      </c>
      <c r="K168" s="20" t="s">
        <v>117</v>
      </c>
      <c r="L168" s="20" t="s">
        <v>115</v>
      </c>
      <c r="M168" s="20" t="s">
        <v>69</v>
      </c>
      <c r="N168" s="22" t="s">
        <v>62</v>
      </c>
      <c r="O168" s="21">
        <v>8</v>
      </c>
      <c r="P168" s="22" t="s">
        <v>62</v>
      </c>
      <c r="Q168" s="22" t="s">
        <v>62</v>
      </c>
      <c r="R168" s="22" t="s">
        <v>62</v>
      </c>
      <c r="S168" s="22" t="s">
        <v>62</v>
      </c>
      <c r="T168" s="19">
        <v>8</v>
      </c>
      <c r="U168" s="21">
        <v>8</v>
      </c>
      <c r="V168" s="21">
        <v>8</v>
      </c>
      <c r="W168" s="21">
        <v>6</v>
      </c>
      <c r="X168" s="22">
        <v>8</v>
      </c>
      <c r="Y168" s="19">
        <v>95</v>
      </c>
      <c r="Z168" s="19">
        <v>95</v>
      </c>
      <c r="AA168" s="19">
        <v>71</v>
      </c>
      <c r="AB168" s="19">
        <v>95</v>
      </c>
      <c r="AC168" s="19">
        <v>3</v>
      </c>
      <c r="AD168" s="19">
        <v>8</v>
      </c>
      <c r="AE168" s="19">
        <v>8</v>
      </c>
      <c r="AF168" s="19">
        <v>8</v>
      </c>
      <c r="AG168" s="22">
        <v>6</v>
      </c>
      <c r="AH168" s="19">
        <v>95</v>
      </c>
      <c r="AI168" s="19">
        <v>95</v>
      </c>
      <c r="AJ168" s="19">
        <v>95</v>
      </c>
      <c r="AK168" s="19">
        <v>71</v>
      </c>
      <c r="AL168" s="19">
        <v>3</v>
      </c>
      <c r="AM168" s="21" t="s">
        <v>62</v>
      </c>
      <c r="AN168" s="21" t="s">
        <v>62</v>
      </c>
      <c r="AO168" s="21" t="s">
        <v>62</v>
      </c>
      <c r="AP168" s="21" t="s">
        <v>62</v>
      </c>
      <c r="AQ168" s="21" t="s">
        <v>62</v>
      </c>
      <c r="AR168" s="21" t="s">
        <v>62</v>
      </c>
      <c r="AS168" s="21" t="s">
        <v>62</v>
      </c>
      <c r="AT168" s="21" t="s">
        <v>62</v>
      </c>
      <c r="AU168" s="21" t="s">
        <v>62</v>
      </c>
      <c r="AV168" s="21" t="s">
        <v>62</v>
      </c>
      <c r="AW168" s="21" t="s">
        <v>62</v>
      </c>
      <c r="AX168" s="21" t="s">
        <v>62</v>
      </c>
      <c r="AY168" s="21" t="s">
        <v>62</v>
      </c>
      <c r="AZ168" s="21" t="s">
        <v>62</v>
      </c>
      <c r="BA168" s="21" t="s">
        <v>62</v>
      </c>
      <c r="BB168" s="21" t="s">
        <v>62</v>
      </c>
      <c r="BC168" s="21" t="s">
        <v>62</v>
      </c>
      <c r="BD168" s="21" t="s">
        <v>62</v>
      </c>
      <c r="BE168" s="21" t="s">
        <v>62</v>
      </c>
      <c r="BF168" s="21" t="s">
        <v>62</v>
      </c>
      <c r="BG168" s="21" t="s">
        <v>62</v>
      </c>
      <c r="BH168" s="21" t="s">
        <v>62</v>
      </c>
      <c r="BI168" s="20" t="s">
        <v>62</v>
      </c>
      <c r="BJ168" s="21" t="s">
        <v>62</v>
      </c>
      <c r="BK168" s="21" t="s">
        <v>62</v>
      </c>
      <c r="BL168" s="21" t="s">
        <v>62</v>
      </c>
      <c r="BM168" s="21" t="s">
        <v>62</v>
      </c>
      <c r="BN168" s="21" t="s">
        <v>62</v>
      </c>
      <c r="BO168" s="21" t="s">
        <v>62</v>
      </c>
      <c r="BP168" s="21" t="s">
        <v>62</v>
      </c>
      <c r="BQ168" s="21" t="s">
        <v>62</v>
      </c>
      <c r="BR168" s="21" t="s">
        <v>62</v>
      </c>
      <c r="BS168" s="21" t="s">
        <v>62</v>
      </c>
      <c r="BT168" s="21" t="s">
        <v>62</v>
      </c>
      <c r="BU168" s="21" t="s">
        <v>62</v>
      </c>
      <c r="BV168" s="21" t="s">
        <v>62</v>
      </c>
      <c r="BW168" s="21" t="s">
        <v>62</v>
      </c>
      <c r="BX168" s="21" t="s">
        <v>62</v>
      </c>
      <c r="BY168" s="21" t="s">
        <v>62</v>
      </c>
      <c r="BZ168" s="21" t="s">
        <v>62</v>
      </c>
      <c r="CA168" s="21" t="s">
        <v>62</v>
      </c>
      <c r="CB168" s="21" t="s">
        <v>62</v>
      </c>
      <c r="CC168" s="21" t="s">
        <v>62</v>
      </c>
      <c r="CD168" s="21" t="s">
        <v>62</v>
      </c>
      <c r="CE168" s="21" t="s">
        <v>62</v>
      </c>
      <c r="CF168" s="20" t="s">
        <v>62</v>
      </c>
      <c r="CG168" s="20" t="s">
        <v>66</v>
      </c>
      <c r="CH168" s="20">
        <v>6.3100000000000005E-4</v>
      </c>
      <c r="CI168" s="19">
        <v>6</v>
      </c>
      <c r="CJ168" s="78">
        <v>3</v>
      </c>
      <c r="CK168" s="78" t="s">
        <v>224</v>
      </c>
      <c r="CL168" s="78" t="s">
        <v>224</v>
      </c>
      <c r="CM168" s="78">
        <v>194.60390100000001</v>
      </c>
      <c r="CN168" s="78">
        <v>2</v>
      </c>
      <c r="CO168" s="78" t="s">
        <v>224</v>
      </c>
      <c r="CP168" s="78" t="s">
        <v>224</v>
      </c>
      <c r="CQ168" s="78" t="s">
        <v>224</v>
      </c>
      <c r="CR168" s="12" t="str">
        <f>IF(COUNTIF(Incl!A:A,Raw!J168),1, "")</f>
        <v/>
      </c>
    </row>
    <row r="169" spans="1:96" ht="13.5" thickTop="1" thickBot="1" x14ac:dyDescent="0.3">
      <c r="A169" s="13">
        <v>166</v>
      </c>
      <c r="B169" s="14">
        <v>1</v>
      </c>
      <c r="C169" s="15">
        <v>199.61381</v>
      </c>
      <c r="D169" s="14">
        <v>169</v>
      </c>
      <c r="E169" s="14">
        <v>1</v>
      </c>
      <c r="F169" s="14">
        <v>198</v>
      </c>
      <c r="G169" s="16">
        <v>233</v>
      </c>
      <c r="H169" s="14">
        <v>233</v>
      </c>
      <c r="I169" s="14">
        <v>233</v>
      </c>
      <c r="J169" s="14">
        <v>233</v>
      </c>
      <c r="K169" s="15" t="s">
        <v>117</v>
      </c>
      <c r="L169" s="15" t="s">
        <v>114</v>
      </c>
      <c r="M169" s="15" t="s">
        <v>115</v>
      </c>
      <c r="N169" s="17" t="s">
        <v>62</v>
      </c>
      <c r="O169" s="16">
        <v>10</v>
      </c>
      <c r="P169" s="17" t="s">
        <v>62</v>
      </c>
      <c r="Q169" s="17" t="s">
        <v>62</v>
      </c>
      <c r="R169" s="17" t="s">
        <v>62</v>
      </c>
      <c r="S169" s="17" t="s">
        <v>62</v>
      </c>
      <c r="T169" s="14">
        <v>10</v>
      </c>
      <c r="U169" s="16">
        <v>8</v>
      </c>
      <c r="V169" s="16">
        <v>5</v>
      </c>
      <c r="W169" s="16">
        <v>4</v>
      </c>
      <c r="X169" s="16">
        <v>7</v>
      </c>
      <c r="Y169" s="14">
        <v>78</v>
      </c>
      <c r="Z169" s="14">
        <v>49</v>
      </c>
      <c r="AA169" s="14">
        <v>39</v>
      </c>
      <c r="AB169" s="14">
        <v>69</v>
      </c>
      <c r="AC169" s="14">
        <v>1</v>
      </c>
      <c r="AD169" s="14">
        <v>4</v>
      </c>
      <c r="AE169" s="14">
        <v>4</v>
      </c>
      <c r="AF169" s="14">
        <v>4</v>
      </c>
      <c r="AG169" s="16">
        <v>6</v>
      </c>
      <c r="AH169" s="14">
        <v>39</v>
      </c>
      <c r="AI169" s="14">
        <v>39</v>
      </c>
      <c r="AJ169" s="14">
        <v>39</v>
      </c>
      <c r="AK169" s="14">
        <v>59</v>
      </c>
      <c r="AL169" s="14">
        <v>0</v>
      </c>
      <c r="AM169" s="17" t="s">
        <v>62</v>
      </c>
      <c r="AN169" s="17" t="s">
        <v>62</v>
      </c>
      <c r="AO169" s="17" t="s">
        <v>62</v>
      </c>
      <c r="AP169" s="17" t="s">
        <v>62</v>
      </c>
      <c r="AQ169" s="17" t="s">
        <v>62</v>
      </c>
      <c r="AR169" s="17" t="s">
        <v>62</v>
      </c>
      <c r="AS169" s="17" t="s">
        <v>62</v>
      </c>
      <c r="AT169" s="17" t="s">
        <v>62</v>
      </c>
      <c r="AU169" s="17" t="s">
        <v>62</v>
      </c>
      <c r="AV169" s="17" t="s">
        <v>62</v>
      </c>
      <c r="AW169" s="17" t="s">
        <v>62</v>
      </c>
      <c r="AX169" s="17" t="s">
        <v>62</v>
      </c>
      <c r="AY169" s="17" t="s">
        <v>62</v>
      </c>
      <c r="AZ169" s="17" t="s">
        <v>62</v>
      </c>
      <c r="BA169" s="17" t="s">
        <v>62</v>
      </c>
      <c r="BB169" s="17" t="s">
        <v>62</v>
      </c>
      <c r="BC169" s="17" t="s">
        <v>62</v>
      </c>
      <c r="BD169" s="17" t="s">
        <v>62</v>
      </c>
      <c r="BE169" s="17" t="s">
        <v>62</v>
      </c>
      <c r="BF169" s="17" t="s">
        <v>62</v>
      </c>
      <c r="BG169" s="17" t="s">
        <v>62</v>
      </c>
      <c r="BH169" s="17" t="s">
        <v>62</v>
      </c>
      <c r="BI169" s="17" t="s">
        <v>62</v>
      </c>
      <c r="BJ169" s="17" t="s">
        <v>62</v>
      </c>
      <c r="BK169" s="17" t="s">
        <v>62</v>
      </c>
      <c r="BL169" s="17" t="s">
        <v>62</v>
      </c>
      <c r="BM169" s="17" t="s">
        <v>62</v>
      </c>
      <c r="BN169" s="17" t="s">
        <v>62</v>
      </c>
      <c r="BO169" s="17" t="s">
        <v>62</v>
      </c>
      <c r="BP169" s="17" t="s">
        <v>62</v>
      </c>
      <c r="BQ169" s="17" t="s">
        <v>62</v>
      </c>
      <c r="BR169" s="17" t="s">
        <v>62</v>
      </c>
      <c r="BS169" s="17" t="s">
        <v>62</v>
      </c>
      <c r="BT169" s="17" t="s">
        <v>62</v>
      </c>
      <c r="BU169" s="17" t="s">
        <v>62</v>
      </c>
      <c r="BV169" s="17" t="s">
        <v>62</v>
      </c>
      <c r="BW169" s="17" t="s">
        <v>62</v>
      </c>
      <c r="BX169" s="17" t="s">
        <v>62</v>
      </c>
      <c r="BY169" s="17" t="s">
        <v>62</v>
      </c>
      <c r="BZ169" s="17" t="s">
        <v>62</v>
      </c>
      <c r="CA169" s="17" t="s">
        <v>62</v>
      </c>
      <c r="CB169" s="17" t="s">
        <v>62</v>
      </c>
      <c r="CC169" s="17" t="s">
        <v>62</v>
      </c>
      <c r="CD169" s="17" t="s">
        <v>62</v>
      </c>
      <c r="CE169" s="17" t="s">
        <v>62</v>
      </c>
      <c r="CF169" s="17" t="s">
        <v>62</v>
      </c>
      <c r="CG169" s="15" t="s">
        <v>66</v>
      </c>
      <c r="CH169" s="15">
        <v>6.4199999999999999E-4</v>
      </c>
      <c r="CI169" s="14">
        <v>1</v>
      </c>
      <c r="CJ169" s="79">
        <v>3</v>
      </c>
      <c r="CK169" s="79" t="s">
        <v>224</v>
      </c>
      <c r="CL169" s="79" t="s">
        <v>224</v>
      </c>
      <c r="CM169" s="79">
        <v>199.61408499999999</v>
      </c>
      <c r="CN169" s="79">
        <v>2</v>
      </c>
      <c r="CO169" s="79" t="s">
        <v>224</v>
      </c>
      <c r="CP169" s="79" t="s">
        <v>224</v>
      </c>
      <c r="CQ169" s="79" t="s">
        <v>224</v>
      </c>
      <c r="CR169" s="12" t="str">
        <f>IF(COUNTIF(Incl!A:A,Raw!J169),1, "")</f>
        <v/>
      </c>
    </row>
    <row r="170" spans="1:96" ht="13.5" thickTop="1" thickBot="1" x14ac:dyDescent="0.3">
      <c r="A170" s="18">
        <v>167</v>
      </c>
      <c r="B170" s="19">
        <v>1</v>
      </c>
      <c r="C170" s="20">
        <v>1105.9404030000001</v>
      </c>
      <c r="D170" s="19">
        <v>170</v>
      </c>
      <c r="E170" s="19">
        <v>1</v>
      </c>
      <c r="F170" s="19">
        <v>199</v>
      </c>
      <c r="G170" s="21">
        <v>1</v>
      </c>
      <c r="H170" s="19">
        <v>1</v>
      </c>
      <c r="I170" s="19">
        <v>1</v>
      </c>
      <c r="J170" s="19">
        <v>1</v>
      </c>
      <c r="K170" s="20" t="s">
        <v>98</v>
      </c>
      <c r="L170" s="20" t="s">
        <v>93</v>
      </c>
      <c r="M170" s="20" t="s">
        <v>97</v>
      </c>
      <c r="N170" s="22" t="s">
        <v>62</v>
      </c>
      <c r="O170" s="21" t="s">
        <v>62</v>
      </c>
      <c r="P170" s="22">
        <v>44</v>
      </c>
      <c r="Q170" s="22" t="s">
        <v>62</v>
      </c>
      <c r="R170" s="22" t="s">
        <v>62</v>
      </c>
      <c r="S170" s="22" t="s">
        <v>62</v>
      </c>
      <c r="T170" s="19">
        <v>44</v>
      </c>
      <c r="U170" s="21">
        <v>30</v>
      </c>
      <c r="V170" s="21">
        <v>28</v>
      </c>
      <c r="W170" s="21">
        <v>27</v>
      </c>
      <c r="X170" s="21">
        <v>28</v>
      </c>
      <c r="Y170" s="19">
        <v>68</v>
      </c>
      <c r="Z170" s="19">
        <v>63</v>
      </c>
      <c r="AA170" s="19">
        <v>61</v>
      </c>
      <c r="AB170" s="19">
        <v>63</v>
      </c>
      <c r="AC170" s="19">
        <v>0</v>
      </c>
      <c r="AD170" s="19">
        <v>21</v>
      </c>
      <c r="AE170" s="19">
        <v>23</v>
      </c>
      <c r="AF170" s="19">
        <v>26</v>
      </c>
      <c r="AG170" s="21">
        <v>26</v>
      </c>
      <c r="AH170" s="19">
        <v>47</v>
      </c>
      <c r="AI170" s="19">
        <v>52</v>
      </c>
      <c r="AJ170" s="19">
        <v>59</v>
      </c>
      <c r="AK170" s="19">
        <v>59</v>
      </c>
      <c r="AL170" s="19">
        <v>0</v>
      </c>
      <c r="AM170" s="22" t="s">
        <v>62</v>
      </c>
      <c r="AN170" s="22" t="s">
        <v>62</v>
      </c>
      <c r="AO170" s="22" t="s">
        <v>62</v>
      </c>
      <c r="AP170" s="22" t="s">
        <v>62</v>
      </c>
      <c r="AQ170" s="22" t="s">
        <v>62</v>
      </c>
      <c r="AR170" s="22" t="s">
        <v>62</v>
      </c>
      <c r="AS170" s="22" t="s">
        <v>62</v>
      </c>
      <c r="AT170" s="22" t="s">
        <v>62</v>
      </c>
      <c r="AU170" s="22" t="s">
        <v>62</v>
      </c>
      <c r="AV170" s="22" t="s">
        <v>62</v>
      </c>
      <c r="AW170" s="22" t="s">
        <v>62</v>
      </c>
      <c r="AX170" s="22" t="s">
        <v>62</v>
      </c>
      <c r="AY170" s="22" t="s">
        <v>62</v>
      </c>
      <c r="AZ170" s="22" t="s">
        <v>62</v>
      </c>
      <c r="BA170" s="22" t="s">
        <v>62</v>
      </c>
      <c r="BB170" s="22" t="s">
        <v>62</v>
      </c>
      <c r="BC170" s="22" t="s">
        <v>62</v>
      </c>
      <c r="BD170" s="22" t="s">
        <v>62</v>
      </c>
      <c r="BE170" s="22" t="s">
        <v>62</v>
      </c>
      <c r="BF170" s="22" t="s">
        <v>62</v>
      </c>
      <c r="BG170" s="22" t="s">
        <v>62</v>
      </c>
      <c r="BH170" s="22" t="s">
        <v>62</v>
      </c>
      <c r="BI170" s="22" t="s">
        <v>62</v>
      </c>
      <c r="BJ170" s="22" t="s">
        <v>62</v>
      </c>
      <c r="BK170" s="22" t="s">
        <v>62</v>
      </c>
      <c r="BL170" s="22" t="s">
        <v>62</v>
      </c>
      <c r="BM170" s="22" t="s">
        <v>62</v>
      </c>
      <c r="BN170" s="22" t="s">
        <v>62</v>
      </c>
      <c r="BO170" s="22" t="s">
        <v>62</v>
      </c>
      <c r="BP170" s="22" t="s">
        <v>62</v>
      </c>
      <c r="BQ170" s="22" t="s">
        <v>62</v>
      </c>
      <c r="BR170" s="22" t="s">
        <v>62</v>
      </c>
      <c r="BS170" s="22" t="s">
        <v>62</v>
      </c>
      <c r="BT170" s="22" t="s">
        <v>62</v>
      </c>
      <c r="BU170" s="22" t="s">
        <v>62</v>
      </c>
      <c r="BV170" s="22" t="s">
        <v>62</v>
      </c>
      <c r="BW170" s="22" t="s">
        <v>62</v>
      </c>
      <c r="BX170" s="22" t="s">
        <v>62</v>
      </c>
      <c r="BY170" s="22" t="s">
        <v>62</v>
      </c>
      <c r="BZ170" s="22" t="s">
        <v>62</v>
      </c>
      <c r="CA170" s="22" t="s">
        <v>62</v>
      </c>
      <c r="CB170" s="22" t="s">
        <v>62</v>
      </c>
      <c r="CC170" s="22" t="s">
        <v>62</v>
      </c>
      <c r="CD170" s="22" t="s">
        <v>62</v>
      </c>
      <c r="CE170" s="22" t="s">
        <v>62</v>
      </c>
      <c r="CF170" s="22" t="s">
        <v>62</v>
      </c>
      <c r="CG170" s="20" t="s">
        <v>71</v>
      </c>
      <c r="CH170" s="20">
        <v>3.3249999999999998E-3</v>
      </c>
      <c r="CI170" s="19">
        <v>0</v>
      </c>
      <c r="CJ170" s="78">
        <v>3</v>
      </c>
      <c r="CK170" s="78" t="s">
        <v>224</v>
      </c>
      <c r="CL170" s="78" t="s">
        <v>224</v>
      </c>
      <c r="CM170" s="78">
        <v>1105.9404689999999</v>
      </c>
      <c r="CN170" s="78">
        <v>2</v>
      </c>
      <c r="CO170" s="78" t="s">
        <v>224</v>
      </c>
      <c r="CP170" s="78" t="s">
        <v>224</v>
      </c>
      <c r="CQ170" s="78" t="s">
        <v>224</v>
      </c>
      <c r="CR170" s="12" t="str">
        <f>IF(COUNTIF(Incl!A:A,Raw!J170),1, "")</f>
        <v/>
      </c>
    </row>
    <row r="171" spans="1:96" ht="13.5" thickTop="1" thickBot="1" x14ac:dyDescent="0.3">
      <c r="A171" s="18">
        <v>168</v>
      </c>
      <c r="B171" s="19">
        <v>1</v>
      </c>
      <c r="C171" s="20">
        <v>409.95727299999999</v>
      </c>
      <c r="D171" s="19">
        <v>171</v>
      </c>
      <c r="E171" s="19">
        <v>1</v>
      </c>
      <c r="F171" s="19">
        <v>200</v>
      </c>
      <c r="G171" s="21">
        <v>181</v>
      </c>
      <c r="H171" s="19">
        <v>181</v>
      </c>
      <c r="I171" s="19">
        <v>181</v>
      </c>
      <c r="J171" s="19">
        <v>181</v>
      </c>
      <c r="K171" s="20" t="s">
        <v>96</v>
      </c>
      <c r="L171" s="20" t="s">
        <v>98</v>
      </c>
      <c r="M171" s="20" t="s">
        <v>95</v>
      </c>
      <c r="N171" s="21" t="s">
        <v>62</v>
      </c>
      <c r="O171" s="22" t="s">
        <v>62</v>
      </c>
      <c r="P171" s="21">
        <v>20</v>
      </c>
      <c r="Q171" s="22" t="s">
        <v>62</v>
      </c>
      <c r="R171" s="22" t="s">
        <v>62</v>
      </c>
      <c r="S171" s="22" t="s">
        <v>62</v>
      </c>
      <c r="T171" s="19">
        <v>20</v>
      </c>
      <c r="U171" s="21">
        <v>11</v>
      </c>
      <c r="V171" s="21">
        <v>16</v>
      </c>
      <c r="W171" s="21">
        <v>10</v>
      </c>
      <c r="X171" s="21">
        <v>12</v>
      </c>
      <c r="Y171" s="19">
        <v>56</v>
      </c>
      <c r="Z171" s="19">
        <v>81</v>
      </c>
      <c r="AA171" s="19">
        <v>51</v>
      </c>
      <c r="AB171" s="19">
        <v>61</v>
      </c>
      <c r="AC171" s="19">
        <v>1</v>
      </c>
      <c r="AD171" s="19">
        <v>9</v>
      </c>
      <c r="AE171" s="19">
        <v>11</v>
      </c>
      <c r="AF171" s="19">
        <v>9</v>
      </c>
      <c r="AG171" s="21">
        <v>11</v>
      </c>
      <c r="AH171" s="19">
        <v>46</v>
      </c>
      <c r="AI171" s="19">
        <v>56</v>
      </c>
      <c r="AJ171" s="19">
        <v>46</v>
      </c>
      <c r="AK171" s="19">
        <v>56</v>
      </c>
      <c r="AL171" s="19">
        <v>0</v>
      </c>
      <c r="AM171" s="22" t="s">
        <v>62</v>
      </c>
      <c r="AN171" s="22" t="s">
        <v>62</v>
      </c>
      <c r="AO171" s="22" t="s">
        <v>62</v>
      </c>
      <c r="AP171" s="22" t="s">
        <v>62</v>
      </c>
      <c r="AQ171" s="22" t="s">
        <v>62</v>
      </c>
      <c r="AR171" s="22" t="s">
        <v>62</v>
      </c>
      <c r="AS171" s="22" t="s">
        <v>62</v>
      </c>
      <c r="AT171" s="22" t="s">
        <v>62</v>
      </c>
      <c r="AU171" s="22" t="s">
        <v>62</v>
      </c>
      <c r="AV171" s="22" t="s">
        <v>62</v>
      </c>
      <c r="AW171" s="22" t="s">
        <v>62</v>
      </c>
      <c r="AX171" s="22" t="s">
        <v>62</v>
      </c>
      <c r="AY171" s="22" t="s">
        <v>62</v>
      </c>
      <c r="AZ171" s="22" t="s">
        <v>62</v>
      </c>
      <c r="BA171" s="22" t="s">
        <v>62</v>
      </c>
      <c r="BB171" s="22" t="s">
        <v>62</v>
      </c>
      <c r="BC171" s="22" t="s">
        <v>62</v>
      </c>
      <c r="BD171" s="22" t="s">
        <v>62</v>
      </c>
      <c r="BE171" s="22" t="s">
        <v>62</v>
      </c>
      <c r="BF171" s="22" t="s">
        <v>62</v>
      </c>
      <c r="BG171" s="22" t="s">
        <v>62</v>
      </c>
      <c r="BH171" s="22" t="s">
        <v>62</v>
      </c>
      <c r="BI171" s="22" t="s">
        <v>62</v>
      </c>
      <c r="BJ171" s="22" t="s">
        <v>62</v>
      </c>
      <c r="BK171" s="22" t="s">
        <v>62</v>
      </c>
      <c r="BL171" s="22" t="s">
        <v>62</v>
      </c>
      <c r="BM171" s="22" t="s">
        <v>62</v>
      </c>
      <c r="BN171" s="22" t="s">
        <v>62</v>
      </c>
      <c r="BO171" s="22" t="s">
        <v>62</v>
      </c>
      <c r="BP171" s="22" t="s">
        <v>62</v>
      </c>
      <c r="BQ171" s="22" t="s">
        <v>62</v>
      </c>
      <c r="BR171" s="22" t="s">
        <v>62</v>
      </c>
      <c r="BS171" s="22" t="s">
        <v>62</v>
      </c>
      <c r="BT171" s="22" t="s">
        <v>62</v>
      </c>
      <c r="BU171" s="22" t="s">
        <v>62</v>
      </c>
      <c r="BV171" s="22" t="s">
        <v>62</v>
      </c>
      <c r="BW171" s="22" t="s">
        <v>62</v>
      </c>
      <c r="BX171" s="22" t="s">
        <v>62</v>
      </c>
      <c r="BY171" s="22" t="s">
        <v>62</v>
      </c>
      <c r="BZ171" s="22" t="s">
        <v>62</v>
      </c>
      <c r="CA171" s="22" t="s">
        <v>62</v>
      </c>
      <c r="CB171" s="22" t="s">
        <v>62</v>
      </c>
      <c r="CC171" s="22" t="s">
        <v>62</v>
      </c>
      <c r="CD171" s="22" t="s">
        <v>62</v>
      </c>
      <c r="CE171" s="22" t="s">
        <v>62</v>
      </c>
      <c r="CF171" s="22" t="s">
        <v>62</v>
      </c>
      <c r="CG171" s="20" t="s">
        <v>66</v>
      </c>
      <c r="CH171" s="20">
        <v>1.325E-3</v>
      </c>
      <c r="CI171" s="19">
        <v>1</v>
      </c>
      <c r="CJ171" s="78">
        <v>3</v>
      </c>
      <c r="CK171" s="78" t="s">
        <v>224</v>
      </c>
      <c r="CL171" s="78" t="s">
        <v>224</v>
      </c>
      <c r="CM171" s="78">
        <v>409.95720799999998</v>
      </c>
      <c r="CN171" s="78">
        <v>2</v>
      </c>
      <c r="CO171" s="78" t="s">
        <v>224</v>
      </c>
      <c r="CP171" s="78" t="s">
        <v>224</v>
      </c>
      <c r="CQ171" s="78" t="s">
        <v>224</v>
      </c>
      <c r="CR171" s="12" t="str">
        <f>IF(COUNTIF(Incl!A:A,Raw!J171),1, "")</f>
        <v/>
      </c>
    </row>
    <row r="172" spans="1:96" ht="13.5" thickTop="1" thickBot="1" x14ac:dyDescent="0.3">
      <c r="A172" s="18">
        <v>169</v>
      </c>
      <c r="B172" s="19">
        <v>1</v>
      </c>
      <c r="C172" s="20">
        <v>488.28917999999999</v>
      </c>
      <c r="D172" s="19">
        <v>172</v>
      </c>
      <c r="E172" s="19">
        <v>1</v>
      </c>
      <c r="F172" s="19">
        <v>201</v>
      </c>
      <c r="G172" s="21">
        <v>3</v>
      </c>
      <c r="H172" s="19">
        <v>3</v>
      </c>
      <c r="I172" s="19">
        <v>3</v>
      </c>
      <c r="J172" s="19">
        <v>3</v>
      </c>
      <c r="K172" s="20" t="s">
        <v>98</v>
      </c>
      <c r="L172" s="20" t="s">
        <v>97</v>
      </c>
      <c r="M172" s="20" t="s">
        <v>96</v>
      </c>
      <c r="N172" s="22" t="s">
        <v>62</v>
      </c>
      <c r="O172" s="21" t="s">
        <v>62</v>
      </c>
      <c r="P172" s="22">
        <v>23</v>
      </c>
      <c r="Q172" s="22" t="s">
        <v>62</v>
      </c>
      <c r="R172" s="22" t="s">
        <v>62</v>
      </c>
      <c r="S172" s="22" t="s">
        <v>62</v>
      </c>
      <c r="T172" s="19">
        <v>23</v>
      </c>
      <c r="U172" s="21">
        <v>14</v>
      </c>
      <c r="V172" s="21">
        <v>12</v>
      </c>
      <c r="W172" s="21">
        <v>12</v>
      </c>
      <c r="X172" s="21">
        <v>14</v>
      </c>
      <c r="Y172" s="19">
        <v>60</v>
      </c>
      <c r="Z172" s="19">
        <v>51</v>
      </c>
      <c r="AA172" s="19">
        <v>51</v>
      </c>
      <c r="AB172" s="19">
        <v>60</v>
      </c>
      <c r="AC172" s="19">
        <v>0</v>
      </c>
      <c r="AD172" s="19">
        <v>8</v>
      </c>
      <c r="AE172" s="19">
        <v>11</v>
      </c>
      <c r="AF172" s="19">
        <v>4</v>
      </c>
      <c r="AG172" s="21">
        <v>14</v>
      </c>
      <c r="AH172" s="19">
        <v>34</v>
      </c>
      <c r="AI172" s="19">
        <v>47</v>
      </c>
      <c r="AJ172" s="19">
        <v>17</v>
      </c>
      <c r="AK172" s="19">
        <v>60</v>
      </c>
      <c r="AL172" s="19">
        <v>0</v>
      </c>
      <c r="AM172" s="22" t="s">
        <v>62</v>
      </c>
      <c r="AN172" s="22" t="s">
        <v>62</v>
      </c>
      <c r="AO172" s="22" t="s">
        <v>62</v>
      </c>
      <c r="AP172" s="22" t="s">
        <v>62</v>
      </c>
      <c r="AQ172" s="22" t="s">
        <v>62</v>
      </c>
      <c r="AR172" s="22" t="s">
        <v>62</v>
      </c>
      <c r="AS172" s="22" t="s">
        <v>62</v>
      </c>
      <c r="AT172" s="22" t="s">
        <v>62</v>
      </c>
      <c r="AU172" s="22" t="s">
        <v>62</v>
      </c>
      <c r="AV172" s="22" t="s">
        <v>62</v>
      </c>
      <c r="AW172" s="22" t="s">
        <v>62</v>
      </c>
      <c r="AX172" s="22" t="s">
        <v>62</v>
      </c>
      <c r="AY172" s="22" t="s">
        <v>62</v>
      </c>
      <c r="AZ172" s="22" t="s">
        <v>62</v>
      </c>
      <c r="BA172" s="22" t="s">
        <v>62</v>
      </c>
      <c r="BB172" s="22" t="s">
        <v>62</v>
      </c>
      <c r="BC172" s="22" t="s">
        <v>62</v>
      </c>
      <c r="BD172" s="22" t="s">
        <v>62</v>
      </c>
      <c r="BE172" s="22" t="s">
        <v>62</v>
      </c>
      <c r="BF172" s="22" t="s">
        <v>62</v>
      </c>
      <c r="BG172" s="22" t="s">
        <v>62</v>
      </c>
      <c r="BH172" s="22" t="s">
        <v>62</v>
      </c>
      <c r="BI172" s="22" t="s">
        <v>62</v>
      </c>
      <c r="BJ172" s="22" t="s">
        <v>62</v>
      </c>
      <c r="BK172" s="22" t="s">
        <v>62</v>
      </c>
      <c r="BL172" s="22" t="s">
        <v>62</v>
      </c>
      <c r="BM172" s="22" t="s">
        <v>62</v>
      </c>
      <c r="BN172" s="22" t="s">
        <v>62</v>
      </c>
      <c r="BO172" s="22" t="s">
        <v>62</v>
      </c>
      <c r="BP172" s="22" t="s">
        <v>62</v>
      </c>
      <c r="BQ172" s="22" t="s">
        <v>62</v>
      </c>
      <c r="BR172" s="22" t="s">
        <v>62</v>
      </c>
      <c r="BS172" s="22" t="s">
        <v>62</v>
      </c>
      <c r="BT172" s="22" t="s">
        <v>62</v>
      </c>
      <c r="BU172" s="22" t="s">
        <v>62</v>
      </c>
      <c r="BV172" s="22" t="s">
        <v>62</v>
      </c>
      <c r="BW172" s="22" t="s">
        <v>62</v>
      </c>
      <c r="BX172" s="22" t="s">
        <v>62</v>
      </c>
      <c r="BY172" s="22" t="s">
        <v>62</v>
      </c>
      <c r="BZ172" s="22" t="s">
        <v>62</v>
      </c>
      <c r="CA172" s="22" t="s">
        <v>62</v>
      </c>
      <c r="CB172" s="22" t="s">
        <v>62</v>
      </c>
      <c r="CC172" s="22" t="s">
        <v>62</v>
      </c>
      <c r="CD172" s="22" t="s">
        <v>62</v>
      </c>
      <c r="CE172" s="22" t="s">
        <v>62</v>
      </c>
      <c r="CF172" s="22" t="s">
        <v>62</v>
      </c>
      <c r="CG172" s="20" t="s">
        <v>74</v>
      </c>
      <c r="CH172" s="20">
        <v>1.469E-3</v>
      </c>
      <c r="CI172" s="19">
        <v>0</v>
      </c>
      <c r="CJ172" s="78">
        <v>3</v>
      </c>
      <c r="CK172" s="78" t="s">
        <v>224</v>
      </c>
      <c r="CL172" s="78" t="s">
        <v>224</v>
      </c>
      <c r="CM172" s="78">
        <v>488.28918299999998</v>
      </c>
      <c r="CN172" s="78">
        <v>2</v>
      </c>
      <c r="CO172" s="78" t="s">
        <v>224</v>
      </c>
      <c r="CP172" s="78" t="s">
        <v>224</v>
      </c>
      <c r="CQ172" s="78" t="s">
        <v>224</v>
      </c>
      <c r="CR172" s="12" t="str">
        <f>IF(COUNTIF(Incl!A:A,Raw!J172),1, "")</f>
        <v/>
      </c>
    </row>
    <row r="173" spans="1:96" ht="13.5" thickTop="1" thickBot="1" x14ac:dyDescent="0.3">
      <c r="A173" s="18">
        <v>170</v>
      </c>
      <c r="B173" s="19">
        <v>1</v>
      </c>
      <c r="C173" s="20">
        <v>196.49186800000001</v>
      </c>
      <c r="D173" s="19">
        <v>173</v>
      </c>
      <c r="E173" s="19">
        <v>1</v>
      </c>
      <c r="F173" s="19">
        <v>202</v>
      </c>
      <c r="G173" s="21">
        <v>188</v>
      </c>
      <c r="H173" s="19">
        <v>188</v>
      </c>
      <c r="I173" s="19">
        <v>188</v>
      </c>
      <c r="J173" s="19">
        <v>188</v>
      </c>
      <c r="K173" s="20" t="s">
        <v>97</v>
      </c>
      <c r="L173" s="20" t="s">
        <v>120</v>
      </c>
      <c r="M173" s="20" t="s">
        <v>98</v>
      </c>
      <c r="N173" s="21" t="s">
        <v>62</v>
      </c>
      <c r="O173" s="22" t="s">
        <v>62</v>
      </c>
      <c r="P173" s="22">
        <v>9</v>
      </c>
      <c r="Q173" s="22" t="s">
        <v>62</v>
      </c>
      <c r="R173" s="22" t="s">
        <v>62</v>
      </c>
      <c r="S173" s="22" t="s">
        <v>62</v>
      </c>
      <c r="T173" s="19">
        <v>9</v>
      </c>
      <c r="U173" s="21">
        <v>3</v>
      </c>
      <c r="V173" s="22">
        <v>3</v>
      </c>
      <c r="W173" s="21">
        <v>3</v>
      </c>
      <c r="X173" s="22">
        <v>4</v>
      </c>
      <c r="Y173" s="19">
        <v>32</v>
      </c>
      <c r="Z173" s="19">
        <v>32</v>
      </c>
      <c r="AA173" s="19">
        <v>32</v>
      </c>
      <c r="AB173" s="19">
        <v>43</v>
      </c>
      <c r="AC173" s="19">
        <v>0</v>
      </c>
      <c r="AD173" s="19">
        <v>4</v>
      </c>
      <c r="AE173" s="19">
        <v>3</v>
      </c>
      <c r="AF173" s="19">
        <v>4</v>
      </c>
      <c r="AG173" s="22">
        <v>4</v>
      </c>
      <c r="AH173" s="19">
        <v>43</v>
      </c>
      <c r="AI173" s="19">
        <v>32</v>
      </c>
      <c r="AJ173" s="19">
        <v>43</v>
      </c>
      <c r="AK173" s="19">
        <v>43</v>
      </c>
      <c r="AL173" s="19">
        <v>0</v>
      </c>
      <c r="AM173" s="21" t="s">
        <v>62</v>
      </c>
      <c r="AN173" s="21" t="s">
        <v>62</v>
      </c>
      <c r="AO173" s="21" t="s">
        <v>62</v>
      </c>
      <c r="AP173" s="21" t="s">
        <v>62</v>
      </c>
      <c r="AQ173" s="21" t="s">
        <v>62</v>
      </c>
      <c r="AR173" s="21" t="s">
        <v>62</v>
      </c>
      <c r="AS173" s="21" t="s">
        <v>62</v>
      </c>
      <c r="AT173" s="21" t="s">
        <v>62</v>
      </c>
      <c r="AU173" s="21" t="s">
        <v>62</v>
      </c>
      <c r="AV173" s="21" t="s">
        <v>62</v>
      </c>
      <c r="AW173" s="21" t="s">
        <v>62</v>
      </c>
      <c r="AX173" s="21" t="s">
        <v>62</v>
      </c>
      <c r="AY173" s="21" t="s">
        <v>62</v>
      </c>
      <c r="AZ173" s="21" t="s">
        <v>62</v>
      </c>
      <c r="BA173" s="21" t="s">
        <v>62</v>
      </c>
      <c r="BB173" s="21" t="s">
        <v>62</v>
      </c>
      <c r="BC173" s="21" t="s">
        <v>62</v>
      </c>
      <c r="BD173" s="21" t="s">
        <v>62</v>
      </c>
      <c r="BE173" s="21" t="s">
        <v>62</v>
      </c>
      <c r="BF173" s="21" t="s">
        <v>62</v>
      </c>
      <c r="BG173" s="21" t="s">
        <v>62</v>
      </c>
      <c r="BH173" s="21" t="s">
        <v>62</v>
      </c>
      <c r="BI173" s="20" t="s">
        <v>62</v>
      </c>
      <c r="BJ173" s="21" t="s">
        <v>62</v>
      </c>
      <c r="BK173" s="21" t="s">
        <v>62</v>
      </c>
      <c r="BL173" s="21" t="s">
        <v>62</v>
      </c>
      <c r="BM173" s="21" t="s">
        <v>62</v>
      </c>
      <c r="BN173" s="21" t="s">
        <v>62</v>
      </c>
      <c r="BO173" s="21" t="s">
        <v>62</v>
      </c>
      <c r="BP173" s="21" t="s">
        <v>62</v>
      </c>
      <c r="BQ173" s="21" t="s">
        <v>62</v>
      </c>
      <c r="BR173" s="21" t="s">
        <v>62</v>
      </c>
      <c r="BS173" s="21" t="s">
        <v>62</v>
      </c>
      <c r="BT173" s="21" t="s">
        <v>62</v>
      </c>
      <c r="BU173" s="21" t="s">
        <v>62</v>
      </c>
      <c r="BV173" s="21" t="s">
        <v>62</v>
      </c>
      <c r="BW173" s="21" t="s">
        <v>62</v>
      </c>
      <c r="BX173" s="21" t="s">
        <v>62</v>
      </c>
      <c r="BY173" s="21" t="s">
        <v>62</v>
      </c>
      <c r="BZ173" s="21" t="s">
        <v>62</v>
      </c>
      <c r="CA173" s="21" t="s">
        <v>62</v>
      </c>
      <c r="CB173" s="21" t="s">
        <v>62</v>
      </c>
      <c r="CC173" s="21" t="s">
        <v>62</v>
      </c>
      <c r="CD173" s="21" t="s">
        <v>62</v>
      </c>
      <c r="CE173" s="21" t="s">
        <v>62</v>
      </c>
      <c r="CF173" s="20" t="s">
        <v>62</v>
      </c>
      <c r="CG173" s="20" t="s">
        <v>64</v>
      </c>
      <c r="CH173" s="20">
        <v>5.7399999999999997E-4</v>
      </c>
      <c r="CI173" s="19">
        <v>0</v>
      </c>
      <c r="CJ173" s="78">
        <v>3</v>
      </c>
      <c r="CK173" s="78" t="s">
        <v>224</v>
      </c>
      <c r="CL173" s="78" t="s">
        <v>224</v>
      </c>
      <c r="CM173" s="78">
        <v>196.491761</v>
      </c>
      <c r="CN173" s="78">
        <v>2</v>
      </c>
      <c r="CO173" s="78" t="s">
        <v>224</v>
      </c>
      <c r="CP173" s="78" t="s">
        <v>224</v>
      </c>
      <c r="CQ173" s="78" t="s">
        <v>224</v>
      </c>
      <c r="CR173" s="12" t="str">
        <f>IF(COUNTIF(Incl!A:A,Raw!J173),1, "")</f>
        <v/>
      </c>
    </row>
    <row r="174" spans="1:96" ht="13.5" thickTop="1" thickBot="1" x14ac:dyDescent="0.3">
      <c r="A174" s="13">
        <v>171</v>
      </c>
      <c r="B174" s="14">
        <v>1</v>
      </c>
      <c r="C174" s="15">
        <v>297.09849600000001</v>
      </c>
      <c r="D174" s="14">
        <v>174</v>
      </c>
      <c r="E174" s="14">
        <v>1</v>
      </c>
      <c r="F174" s="14">
        <v>203</v>
      </c>
      <c r="G174" s="16">
        <v>12</v>
      </c>
      <c r="H174" s="14">
        <v>12</v>
      </c>
      <c r="I174" s="14">
        <v>12</v>
      </c>
      <c r="J174" s="14">
        <v>12</v>
      </c>
      <c r="K174" s="15" t="s">
        <v>120</v>
      </c>
      <c r="L174" s="15" t="s">
        <v>97</v>
      </c>
      <c r="M174" s="15" t="s">
        <v>107</v>
      </c>
      <c r="N174" s="17" t="s">
        <v>62</v>
      </c>
      <c r="O174" s="17" t="s">
        <v>62</v>
      </c>
      <c r="P174" s="17">
        <v>10</v>
      </c>
      <c r="Q174" s="17" t="s">
        <v>62</v>
      </c>
      <c r="R174" s="17" t="s">
        <v>62</v>
      </c>
      <c r="S174" s="17" t="s">
        <v>62</v>
      </c>
      <c r="T174" s="14">
        <v>10</v>
      </c>
      <c r="U174" s="17">
        <v>8</v>
      </c>
      <c r="V174" s="17">
        <v>4</v>
      </c>
      <c r="W174" s="17">
        <v>7</v>
      </c>
      <c r="X174" s="17">
        <v>6</v>
      </c>
      <c r="Y174" s="14">
        <v>77</v>
      </c>
      <c r="Z174" s="14">
        <v>38</v>
      </c>
      <c r="AA174" s="14">
        <v>67</v>
      </c>
      <c r="AB174" s="14">
        <v>58</v>
      </c>
      <c r="AC174" s="14">
        <v>1</v>
      </c>
      <c r="AD174" s="14">
        <v>5</v>
      </c>
      <c r="AE174" s="14">
        <v>4</v>
      </c>
      <c r="AF174" s="14">
        <v>3</v>
      </c>
      <c r="AG174" s="17">
        <v>3</v>
      </c>
      <c r="AH174" s="14">
        <v>48</v>
      </c>
      <c r="AI174" s="14">
        <v>38</v>
      </c>
      <c r="AJ174" s="14">
        <v>29</v>
      </c>
      <c r="AK174" s="14">
        <v>29</v>
      </c>
      <c r="AL174" s="14">
        <v>0</v>
      </c>
      <c r="AM174" s="16" t="s">
        <v>62</v>
      </c>
      <c r="AN174" s="16" t="s">
        <v>62</v>
      </c>
      <c r="AO174" s="16" t="s">
        <v>62</v>
      </c>
      <c r="AP174" s="16" t="s">
        <v>62</v>
      </c>
      <c r="AQ174" s="16" t="s">
        <v>62</v>
      </c>
      <c r="AR174" s="16" t="s">
        <v>62</v>
      </c>
      <c r="AS174" s="16" t="s">
        <v>62</v>
      </c>
      <c r="AT174" s="16" t="s">
        <v>62</v>
      </c>
      <c r="AU174" s="16" t="s">
        <v>62</v>
      </c>
      <c r="AV174" s="16" t="s">
        <v>62</v>
      </c>
      <c r="AW174" s="16" t="s">
        <v>62</v>
      </c>
      <c r="AX174" s="16" t="s">
        <v>62</v>
      </c>
      <c r="AY174" s="16" t="s">
        <v>62</v>
      </c>
      <c r="AZ174" s="16" t="s">
        <v>62</v>
      </c>
      <c r="BA174" s="16" t="s">
        <v>62</v>
      </c>
      <c r="BB174" s="16" t="s">
        <v>62</v>
      </c>
      <c r="BC174" s="16" t="s">
        <v>62</v>
      </c>
      <c r="BD174" s="16" t="s">
        <v>62</v>
      </c>
      <c r="BE174" s="16" t="s">
        <v>62</v>
      </c>
      <c r="BF174" s="16" t="s">
        <v>62</v>
      </c>
      <c r="BG174" s="16" t="s">
        <v>62</v>
      </c>
      <c r="BH174" s="16" t="s">
        <v>62</v>
      </c>
      <c r="BI174" s="15" t="s">
        <v>62</v>
      </c>
      <c r="BJ174" s="16" t="s">
        <v>62</v>
      </c>
      <c r="BK174" s="16" t="s">
        <v>62</v>
      </c>
      <c r="BL174" s="16" t="s">
        <v>62</v>
      </c>
      <c r="BM174" s="16" t="s">
        <v>62</v>
      </c>
      <c r="BN174" s="16" t="s">
        <v>62</v>
      </c>
      <c r="BO174" s="16" t="s">
        <v>62</v>
      </c>
      <c r="BP174" s="16" t="s">
        <v>62</v>
      </c>
      <c r="BQ174" s="16" t="s">
        <v>62</v>
      </c>
      <c r="BR174" s="16" t="s">
        <v>62</v>
      </c>
      <c r="BS174" s="16" t="s">
        <v>62</v>
      </c>
      <c r="BT174" s="16" t="s">
        <v>62</v>
      </c>
      <c r="BU174" s="16" t="s">
        <v>62</v>
      </c>
      <c r="BV174" s="16" t="s">
        <v>62</v>
      </c>
      <c r="BW174" s="16" t="s">
        <v>62</v>
      </c>
      <c r="BX174" s="16" t="s">
        <v>62</v>
      </c>
      <c r="BY174" s="16" t="s">
        <v>62</v>
      </c>
      <c r="BZ174" s="16" t="s">
        <v>62</v>
      </c>
      <c r="CA174" s="16" t="s">
        <v>62</v>
      </c>
      <c r="CB174" s="16" t="s">
        <v>62</v>
      </c>
      <c r="CC174" s="16" t="s">
        <v>62</v>
      </c>
      <c r="CD174" s="16" t="s">
        <v>62</v>
      </c>
      <c r="CE174" s="16" t="s">
        <v>62</v>
      </c>
      <c r="CF174" s="15" t="s">
        <v>62</v>
      </c>
      <c r="CG174" s="15" t="s">
        <v>71</v>
      </c>
      <c r="CH174" s="15">
        <v>8.7500000000000002E-4</v>
      </c>
      <c r="CI174" s="14">
        <v>1</v>
      </c>
      <c r="CJ174" s="79">
        <v>3</v>
      </c>
      <c r="CK174" s="79" t="s">
        <v>224</v>
      </c>
      <c r="CL174" s="79" t="s">
        <v>224</v>
      </c>
      <c r="CM174" s="79">
        <v>297.09858700000001</v>
      </c>
      <c r="CN174" s="79">
        <v>2</v>
      </c>
      <c r="CO174" s="79" t="s">
        <v>224</v>
      </c>
      <c r="CP174" s="79" t="s">
        <v>224</v>
      </c>
      <c r="CQ174" s="79" t="s">
        <v>224</v>
      </c>
      <c r="CR174" s="12" t="str">
        <f>IF(COUNTIF(Incl!A:A,Raw!J174),1, "")</f>
        <v/>
      </c>
    </row>
    <row r="175" spans="1:96" ht="13.5" thickTop="1" thickBot="1" x14ac:dyDescent="0.3">
      <c r="A175" s="18">
        <v>172</v>
      </c>
      <c r="B175" s="19">
        <v>1</v>
      </c>
      <c r="C175" s="20">
        <v>307.51547099999999</v>
      </c>
      <c r="D175" s="19">
        <v>175</v>
      </c>
      <c r="E175" s="19">
        <v>1</v>
      </c>
      <c r="F175" s="19">
        <v>204</v>
      </c>
      <c r="G175" s="21">
        <v>13</v>
      </c>
      <c r="H175" s="19">
        <v>13</v>
      </c>
      <c r="I175" s="19">
        <v>13</v>
      </c>
      <c r="J175" s="19">
        <v>13</v>
      </c>
      <c r="K175" s="20" t="s">
        <v>120</v>
      </c>
      <c r="L175" s="20" t="s">
        <v>107</v>
      </c>
      <c r="M175" s="20" t="s">
        <v>97</v>
      </c>
      <c r="N175" s="22" t="s">
        <v>62</v>
      </c>
      <c r="O175" s="22" t="s">
        <v>62</v>
      </c>
      <c r="P175" s="21">
        <v>14</v>
      </c>
      <c r="Q175" s="22" t="s">
        <v>62</v>
      </c>
      <c r="R175" s="22" t="s">
        <v>62</v>
      </c>
      <c r="S175" s="22" t="s">
        <v>62</v>
      </c>
      <c r="T175" s="19">
        <v>14</v>
      </c>
      <c r="U175" s="21">
        <v>4</v>
      </c>
      <c r="V175" s="21">
        <v>5</v>
      </c>
      <c r="W175" s="21">
        <v>3</v>
      </c>
      <c r="X175" s="21">
        <v>3</v>
      </c>
      <c r="Y175" s="19">
        <v>29</v>
      </c>
      <c r="Z175" s="19">
        <v>36</v>
      </c>
      <c r="AA175" s="19">
        <v>22</v>
      </c>
      <c r="AB175" s="19">
        <v>22</v>
      </c>
      <c r="AC175" s="19">
        <v>0</v>
      </c>
      <c r="AD175" s="19">
        <v>2</v>
      </c>
      <c r="AE175" s="19">
        <v>8</v>
      </c>
      <c r="AF175" s="19">
        <v>7</v>
      </c>
      <c r="AG175" s="21">
        <v>9</v>
      </c>
      <c r="AH175" s="19">
        <v>15</v>
      </c>
      <c r="AI175" s="19">
        <v>58</v>
      </c>
      <c r="AJ175" s="19">
        <v>51</v>
      </c>
      <c r="AK175" s="19">
        <v>66</v>
      </c>
      <c r="AL175" s="19">
        <v>0</v>
      </c>
      <c r="AM175" s="22" t="s">
        <v>62</v>
      </c>
      <c r="AN175" s="22" t="s">
        <v>62</v>
      </c>
      <c r="AO175" s="22" t="s">
        <v>62</v>
      </c>
      <c r="AP175" s="22" t="s">
        <v>62</v>
      </c>
      <c r="AQ175" s="22" t="s">
        <v>62</v>
      </c>
      <c r="AR175" s="22" t="s">
        <v>62</v>
      </c>
      <c r="AS175" s="22" t="s">
        <v>62</v>
      </c>
      <c r="AT175" s="22" t="s">
        <v>62</v>
      </c>
      <c r="AU175" s="22" t="s">
        <v>62</v>
      </c>
      <c r="AV175" s="22" t="s">
        <v>62</v>
      </c>
      <c r="AW175" s="22" t="s">
        <v>62</v>
      </c>
      <c r="AX175" s="22" t="s">
        <v>62</v>
      </c>
      <c r="AY175" s="22" t="s">
        <v>62</v>
      </c>
      <c r="AZ175" s="22" t="s">
        <v>62</v>
      </c>
      <c r="BA175" s="22" t="s">
        <v>62</v>
      </c>
      <c r="BB175" s="22" t="s">
        <v>62</v>
      </c>
      <c r="BC175" s="22" t="s">
        <v>62</v>
      </c>
      <c r="BD175" s="22" t="s">
        <v>62</v>
      </c>
      <c r="BE175" s="22" t="s">
        <v>62</v>
      </c>
      <c r="BF175" s="22" t="s">
        <v>62</v>
      </c>
      <c r="BG175" s="22" t="s">
        <v>62</v>
      </c>
      <c r="BH175" s="22" t="s">
        <v>62</v>
      </c>
      <c r="BI175" s="22" t="s">
        <v>62</v>
      </c>
      <c r="BJ175" s="22" t="s">
        <v>62</v>
      </c>
      <c r="BK175" s="22" t="s">
        <v>62</v>
      </c>
      <c r="BL175" s="22" t="s">
        <v>62</v>
      </c>
      <c r="BM175" s="22" t="s">
        <v>62</v>
      </c>
      <c r="BN175" s="22" t="s">
        <v>62</v>
      </c>
      <c r="BO175" s="22" t="s">
        <v>62</v>
      </c>
      <c r="BP175" s="22" t="s">
        <v>62</v>
      </c>
      <c r="BQ175" s="22" t="s">
        <v>62</v>
      </c>
      <c r="BR175" s="22" t="s">
        <v>62</v>
      </c>
      <c r="BS175" s="22" t="s">
        <v>62</v>
      </c>
      <c r="BT175" s="22" t="s">
        <v>62</v>
      </c>
      <c r="BU175" s="22" t="s">
        <v>62</v>
      </c>
      <c r="BV175" s="22" t="s">
        <v>62</v>
      </c>
      <c r="BW175" s="22" t="s">
        <v>62</v>
      </c>
      <c r="BX175" s="22" t="s">
        <v>62</v>
      </c>
      <c r="BY175" s="22" t="s">
        <v>62</v>
      </c>
      <c r="BZ175" s="22" t="s">
        <v>62</v>
      </c>
      <c r="CA175" s="22" t="s">
        <v>62</v>
      </c>
      <c r="CB175" s="22" t="s">
        <v>62</v>
      </c>
      <c r="CC175" s="22" t="s">
        <v>62</v>
      </c>
      <c r="CD175" s="22" t="s">
        <v>62</v>
      </c>
      <c r="CE175" s="22" t="s">
        <v>62</v>
      </c>
      <c r="CF175" s="22" t="s">
        <v>62</v>
      </c>
      <c r="CG175" s="20" t="s">
        <v>74</v>
      </c>
      <c r="CH175" s="20">
        <v>9.3499999999999996E-4</v>
      </c>
      <c r="CI175" s="19">
        <v>0</v>
      </c>
      <c r="CJ175" s="78">
        <v>3</v>
      </c>
      <c r="CK175" s="78" t="s">
        <v>224</v>
      </c>
      <c r="CL175" s="78" t="s">
        <v>224</v>
      </c>
      <c r="CM175" s="78">
        <v>307.51564300000001</v>
      </c>
      <c r="CN175" s="78">
        <v>2</v>
      </c>
      <c r="CO175" s="78" t="s">
        <v>224</v>
      </c>
      <c r="CP175" s="78" t="s">
        <v>224</v>
      </c>
      <c r="CQ175" s="78" t="s">
        <v>224</v>
      </c>
      <c r="CR175" s="12" t="str">
        <f>IF(COUNTIF(Incl!A:A,Raw!J175),1, "")</f>
        <v/>
      </c>
    </row>
    <row r="176" spans="1:96" ht="13.5" thickTop="1" thickBot="1" x14ac:dyDescent="0.3">
      <c r="A176" s="13">
        <v>173</v>
      </c>
      <c r="B176" s="14">
        <v>1</v>
      </c>
      <c r="C176" s="15">
        <v>333.76279799999998</v>
      </c>
      <c r="D176" s="14">
        <v>176</v>
      </c>
      <c r="E176" s="14">
        <v>1</v>
      </c>
      <c r="F176" s="14">
        <v>205</v>
      </c>
      <c r="G176" s="16">
        <v>25</v>
      </c>
      <c r="H176" s="14">
        <v>25</v>
      </c>
      <c r="I176" s="14">
        <v>25</v>
      </c>
      <c r="J176" s="14">
        <v>25</v>
      </c>
      <c r="K176" s="15" t="s">
        <v>95</v>
      </c>
      <c r="L176" s="15" t="s">
        <v>96</v>
      </c>
      <c r="M176" s="15" t="s">
        <v>97</v>
      </c>
      <c r="N176" s="17" t="s">
        <v>62</v>
      </c>
      <c r="O176" s="17" t="s">
        <v>62</v>
      </c>
      <c r="P176" s="16">
        <v>13</v>
      </c>
      <c r="Q176" s="17" t="s">
        <v>62</v>
      </c>
      <c r="R176" s="17" t="s">
        <v>62</v>
      </c>
      <c r="S176" s="17" t="s">
        <v>62</v>
      </c>
      <c r="T176" s="14">
        <v>13</v>
      </c>
      <c r="U176" s="16">
        <v>4</v>
      </c>
      <c r="V176" s="16">
        <v>8</v>
      </c>
      <c r="W176" s="16">
        <v>5</v>
      </c>
      <c r="X176" s="16">
        <v>2</v>
      </c>
      <c r="Y176" s="14">
        <v>30</v>
      </c>
      <c r="Z176" s="14">
        <v>61</v>
      </c>
      <c r="AA176" s="14">
        <v>38</v>
      </c>
      <c r="AB176" s="14">
        <v>15</v>
      </c>
      <c r="AC176" s="14">
        <v>0</v>
      </c>
      <c r="AD176" s="14">
        <v>10</v>
      </c>
      <c r="AE176" s="14">
        <v>2</v>
      </c>
      <c r="AF176" s="14">
        <v>8</v>
      </c>
      <c r="AG176" s="16">
        <v>5</v>
      </c>
      <c r="AH176" s="14">
        <v>76</v>
      </c>
      <c r="AI176" s="14">
        <v>15</v>
      </c>
      <c r="AJ176" s="14">
        <v>61</v>
      </c>
      <c r="AK176" s="14">
        <v>38</v>
      </c>
      <c r="AL176" s="14">
        <v>1</v>
      </c>
      <c r="AM176" s="17" t="s">
        <v>62</v>
      </c>
      <c r="AN176" s="17" t="s">
        <v>62</v>
      </c>
      <c r="AO176" s="17" t="s">
        <v>62</v>
      </c>
      <c r="AP176" s="17" t="s">
        <v>62</v>
      </c>
      <c r="AQ176" s="17" t="s">
        <v>62</v>
      </c>
      <c r="AR176" s="17" t="s">
        <v>62</v>
      </c>
      <c r="AS176" s="17" t="s">
        <v>62</v>
      </c>
      <c r="AT176" s="17" t="s">
        <v>62</v>
      </c>
      <c r="AU176" s="17" t="s">
        <v>62</v>
      </c>
      <c r="AV176" s="17" t="s">
        <v>62</v>
      </c>
      <c r="AW176" s="17" t="s">
        <v>62</v>
      </c>
      <c r="AX176" s="17" t="s">
        <v>62</v>
      </c>
      <c r="AY176" s="17" t="s">
        <v>62</v>
      </c>
      <c r="AZ176" s="17" t="s">
        <v>62</v>
      </c>
      <c r="BA176" s="17" t="s">
        <v>62</v>
      </c>
      <c r="BB176" s="17" t="s">
        <v>62</v>
      </c>
      <c r="BC176" s="17" t="s">
        <v>62</v>
      </c>
      <c r="BD176" s="17" t="s">
        <v>62</v>
      </c>
      <c r="BE176" s="17" t="s">
        <v>62</v>
      </c>
      <c r="BF176" s="17" t="s">
        <v>62</v>
      </c>
      <c r="BG176" s="17" t="s">
        <v>62</v>
      </c>
      <c r="BH176" s="17" t="s">
        <v>62</v>
      </c>
      <c r="BI176" s="17" t="s">
        <v>62</v>
      </c>
      <c r="BJ176" s="17" t="s">
        <v>62</v>
      </c>
      <c r="BK176" s="17" t="s">
        <v>62</v>
      </c>
      <c r="BL176" s="17" t="s">
        <v>62</v>
      </c>
      <c r="BM176" s="17" t="s">
        <v>62</v>
      </c>
      <c r="BN176" s="17" t="s">
        <v>62</v>
      </c>
      <c r="BO176" s="17" t="s">
        <v>62</v>
      </c>
      <c r="BP176" s="17" t="s">
        <v>62</v>
      </c>
      <c r="BQ176" s="17" t="s">
        <v>62</v>
      </c>
      <c r="BR176" s="17" t="s">
        <v>62</v>
      </c>
      <c r="BS176" s="17" t="s">
        <v>62</v>
      </c>
      <c r="BT176" s="17" t="s">
        <v>62</v>
      </c>
      <c r="BU176" s="17" t="s">
        <v>62</v>
      </c>
      <c r="BV176" s="17" t="s">
        <v>62</v>
      </c>
      <c r="BW176" s="17" t="s">
        <v>62</v>
      </c>
      <c r="BX176" s="17" t="s">
        <v>62</v>
      </c>
      <c r="BY176" s="17" t="s">
        <v>62</v>
      </c>
      <c r="BZ176" s="17" t="s">
        <v>62</v>
      </c>
      <c r="CA176" s="17" t="s">
        <v>62</v>
      </c>
      <c r="CB176" s="17" t="s">
        <v>62</v>
      </c>
      <c r="CC176" s="17" t="s">
        <v>62</v>
      </c>
      <c r="CD176" s="17" t="s">
        <v>62</v>
      </c>
      <c r="CE176" s="17" t="s">
        <v>62</v>
      </c>
      <c r="CF176" s="17" t="s">
        <v>62</v>
      </c>
      <c r="CG176" s="15" t="s">
        <v>71</v>
      </c>
      <c r="CH176" s="15">
        <v>1.018E-3</v>
      </c>
      <c r="CI176" s="14">
        <v>1</v>
      </c>
      <c r="CJ176" s="79">
        <v>3</v>
      </c>
      <c r="CK176" s="79" t="s">
        <v>224</v>
      </c>
      <c r="CL176" s="79" t="s">
        <v>224</v>
      </c>
      <c r="CM176" s="79">
        <v>333.76280800000001</v>
      </c>
      <c r="CN176" s="79">
        <v>2</v>
      </c>
      <c r="CO176" s="79" t="s">
        <v>224</v>
      </c>
      <c r="CP176" s="79" t="s">
        <v>224</v>
      </c>
      <c r="CQ176" s="79" t="s">
        <v>224</v>
      </c>
      <c r="CR176" s="12" t="str">
        <f>IF(COUNTIF(Incl!A:A,Raw!J176),1, "")</f>
        <v/>
      </c>
    </row>
    <row r="177" spans="1:96" ht="13.5" thickTop="1" thickBot="1" x14ac:dyDescent="0.3">
      <c r="A177" s="18">
        <v>174</v>
      </c>
      <c r="B177" s="19">
        <v>1</v>
      </c>
      <c r="C177" s="20">
        <v>176.551042</v>
      </c>
      <c r="D177" s="19">
        <v>177</v>
      </c>
      <c r="E177" s="19">
        <v>1</v>
      </c>
      <c r="F177" s="19">
        <v>206</v>
      </c>
      <c r="G177" s="21">
        <v>190</v>
      </c>
      <c r="H177" s="19">
        <v>190</v>
      </c>
      <c r="I177" s="19">
        <v>190</v>
      </c>
      <c r="J177" s="19">
        <v>190</v>
      </c>
      <c r="K177" s="20" t="s">
        <v>97</v>
      </c>
      <c r="L177" s="20" t="s">
        <v>95</v>
      </c>
      <c r="M177" s="20" t="s">
        <v>120</v>
      </c>
      <c r="N177" s="22" t="s">
        <v>62</v>
      </c>
      <c r="O177" s="21" t="s">
        <v>62</v>
      </c>
      <c r="P177" s="22">
        <v>10</v>
      </c>
      <c r="Q177" s="22" t="s">
        <v>62</v>
      </c>
      <c r="R177" s="22" t="s">
        <v>62</v>
      </c>
      <c r="S177" s="22" t="s">
        <v>62</v>
      </c>
      <c r="T177" s="19">
        <v>10</v>
      </c>
      <c r="U177" s="21">
        <v>3</v>
      </c>
      <c r="V177" s="21">
        <v>3</v>
      </c>
      <c r="W177" s="21">
        <v>1</v>
      </c>
      <c r="X177" s="21">
        <v>1</v>
      </c>
      <c r="Y177" s="19">
        <v>30</v>
      </c>
      <c r="Z177" s="19">
        <v>30</v>
      </c>
      <c r="AA177" s="19">
        <v>10</v>
      </c>
      <c r="AB177" s="19">
        <v>10</v>
      </c>
      <c r="AC177" s="19">
        <v>0</v>
      </c>
      <c r="AD177" s="19">
        <v>6</v>
      </c>
      <c r="AE177" s="19">
        <v>2</v>
      </c>
      <c r="AF177" s="19">
        <v>1</v>
      </c>
      <c r="AG177" s="21">
        <v>2</v>
      </c>
      <c r="AH177" s="19">
        <v>60</v>
      </c>
      <c r="AI177" s="19">
        <v>20</v>
      </c>
      <c r="AJ177" s="19">
        <v>10</v>
      </c>
      <c r="AK177" s="19">
        <v>20</v>
      </c>
      <c r="AL177" s="19">
        <v>0</v>
      </c>
      <c r="AM177" s="22" t="s">
        <v>62</v>
      </c>
      <c r="AN177" s="22" t="s">
        <v>62</v>
      </c>
      <c r="AO177" s="22" t="s">
        <v>62</v>
      </c>
      <c r="AP177" s="22" t="s">
        <v>62</v>
      </c>
      <c r="AQ177" s="22" t="s">
        <v>62</v>
      </c>
      <c r="AR177" s="22" t="s">
        <v>62</v>
      </c>
      <c r="AS177" s="22" t="s">
        <v>62</v>
      </c>
      <c r="AT177" s="22" t="s">
        <v>62</v>
      </c>
      <c r="AU177" s="22" t="s">
        <v>62</v>
      </c>
      <c r="AV177" s="22" t="s">
        <v>62</v>
      </c>
      <c r="AW177" s="22" t="s">
        <v>62</v>
      </c>
      <c r="AX177" s="22" t="s">
        <v>62</v>
      </c>
      <c r="AY177" s="22" t="s">
        <v>62</v>
      </c>
      <c r="AZ177" s="22" t="s">
        <v>62</v>
      </c>
      <c r="BA177" s="22" t="s">
        <v>62</v>
      </c>
      <c r="BB177" s="22" t="s">
        <v>62</v>
      </c>
      <c r="BC177" s="22" t="s">
        <v>62</v>
      </c>
      <c r="BD177" s="22" t="s">
        <v>62</v>
      </c>
      <c r="BE177" s="22" t="s">
        <v>62</v>
      </c>
      <c r="BF177" s="22" t="s">
        <v>62</v>
      </c>
      <c r="BG177" s="22" t="s">
        <v>62</v>
      </c>
      <c r="BH177" s="22" t="s">
        <v>62</v>
      </c>
      <c r="BI177" s="22" t="s">
        <v>62</v>
      </c>
      <c r="BJ177" s="22" t="s">
        <v>62</v>
      </c>
      <c r="BK177" s="22" t="s">
        <v>62</v>
      </c>
      <c r="BL177" s="22" t="s">
        <v>62</v>
      </c>
      <c r="BM177" s="22" t="s">
        <v>62</v>
      </c>
      <c r="BN177" s="22" t="s">
        <v>62</v>
      </c>
      <c r="BO177" s="22" t="s">
        <v>62</v>
      </c>
      <c r="BP177" s="22" t="s">
        <v>62</v>
      </c>
      <c r="BQ177" s="22" t="s">
        <v>62</v>
      </c>
      <c r="BR177" s="22" t="s">
        <v>62</v>
      </c>
      <c r="BS177" s="22" t="s">
        <v>62</v>
      </c>
      <c r="BT177" s="22" t="s">
        <v>62</v>
      </c>
      <c r="BU177" s="22" t="s">
        <v>62</v>
      </c>
      <c r="BV177" s="22" t="s">
        <v>62</v>
      </c>
      <c r="BW177" s="22" t="s">
        <v>62</v>
      </c>
      <c r="BX177" s="22" t="s">
        <v>62</v>
      </c>
      <c r="BY177" s="22" t="s">
        <v>62</v>
      </c>
      <c r="BZ177" s="22" t="s">
        <v>62</v>
      </c>
      <c r="CA177" s="22" t="s">
        <v>62</v>
      </c>
      <c r="CB177" s="22" t="s">
        <v>62</v>
      </c>
      <c r="CC177" s="22" t="s">
        <v>62</v>
      </c>
      <c r="CD177" s="22" t="s">
        <v>62</v>
      </c>
      <c r="CE177" s="22" t="s">
        <v>62</v>
      </c>
      <c r="CF177" s="22" t="s">
        <v>62</v>
      </c>
      <c r="CG177" s="20" t="s">
        <v>64</v>
      </c>
      <c r="CH177" s="20">
        <v>5.2099999999999998E-4</v>
      </c>
      <c r="CI177" s="19">
        <v>0</v>
      </c>
      <c r="CJ177" s="78">
        <v>3</v>
      </c>
      <c r="CK177" s="78" t="s">
        <v>224</v>
      </c>
      <c r="CL177" s="78" t="s">
        <v>224</v>
      </c>
      <c r="CM177" s="78">
        <v>176.550951</v>
      </c>
      <c r="CN177" s="78">
        <v>2</v>
      </c>
      <c r="CO177" s="78" t="s">
        <v>224</v>
      </c>
      <c r="CP177" s="78" t="s">
        <v>224</v>
      </c>
      <c r="CQ177" s="78" t="s">
        <v>224</v>
      </c>
      <c r="CR177" s="12" t="str">
        <f>IF(COUNTIF(Incl!A:A,Raw!J177),1, "")</f>
        <v/>
      </c>
    </row>
    <row r="178" spans="1:96" ht="13.5" thickTop="1" thickBot="1" x14ac:dyDescent="0.3">
      <c r="A178" s="13">
        <v>175</v>
      </c>
      <c r="B178" s="14">
        <v>1</v>
      </c>
      <c r="C178" s="15">
        <v>459.151971</v>
      </c>
      <c r="D178" s="14">
        <v>178</v>
      </c>
      <c r="E178" s="14">
        <v>1</v>
      </c>
      <c r="F178" s="14">
        <v>207</v>
      </c>
      <c r="G178" s="16">
        <v>4</v>
      </c>
      <c r="H178" s="14">
        <v>4</v>
      </c>
      <c r="I178" s="14">
        <v>4</v>
      </c>
      <c r="J178" s="14">
        <v>4</v>
      </c>
      <c r="K178" s="15" t="s">
        <v>98</v>
      </c>
      <c r="L178" s="15" t="s">
        <v>97</v>
      </c>
      <c r="M178" s="15" t="s">
        <v>109</v>
      </c>
      <c r="N178" s="17" t="s">
        <v>62</v>
      </c>
      <c r="O178" s="16" t="s">
        <v>62</v>
      </c>
      <c r="P178" s="17">
        <v>17</v>
      </c>
      <c r="Q178" s="17" t="s">
        <v>62</v>
      </c>
      <c r="R178" s="17" t="s">
        <v>62</v>
      </c>
      <c r="S178" s="17" t="s">
        <v>62</v>
      </c>
      <c r="T178" s="14">
        <v>17</v>
      </c>
      <c r="U178" s="16">
        <v>7</v>
      </c>
      <c r="V178" s="16">
        <v>7</v>
      </c>
      <c r="W178" s="16">
        <v>10</v>
      </c>
      <c r="X178" s="16">
        <v>9</v>
      </c>
      <c r="Y178" s="14">
        <v>40</v>
      </c>
      <c r="Z178" s="14">
        <v>40</v>
      </c>
      <c r="AA178" s="14">
        <v>57</v>
      </c>
      <c r="AB178" s="14">
        <v>52</v>
      </c>
      <c r="AC178" s="14">
        <v>0</v>
      </c>
      <c r="AD178" s="14">
        <v>6</v>
      </c>
      <c r="AE178" s="14">
        <v>7</v>
      </c>
      <c r="AF178" s="14">
        <v>8</v>
      </c>
      <c r="AG178" s="16">
        <v>7</v>
      </c>
      <c r="AH178" s="14">
        <v>34</v>
      </c>
      <c r="AI178" s="14">
        <v>40</v>
      </c>
      <c r="AJ178" s="14">
        <v>46</v>
      </c>
      <c r="AK178" s="14">
        <v>40</v>
      </c>
      <c r="AL178" s="14">
        <v>0</v>
      </c>
      <c r="AM178" s="17" t="s">
        <v>62</v>
      </c>
      <c r="AN178" s="17" t="s">
        <v>62</v>
      </c>
      <c r="AO178" s="17" t="s">
        <v>62</v>
      </c>
      <c r="AP178" s="17" t="s">
        <v>62</v>
      </c>
      <c r="AQ178" s="17" t="s">
        <v>62</v>
      </c>
      <c r="AR178" s="17" t="s">
        <v>62</v>
      </c>
      <c r="AS178" s="17" t="s">
        <v>62</v>
      </c>
      <c r="AT178" s="17" t="s">
        <v>62</v>
      </c>
      <c r="AU178" s="17" t="s">
        <v>62</v>
      </c>
      <c r="AV178" s="17" t="s">
        <v>62</v>
      </c>
      <c r="AW178" s="17" t="s">
        <v>62</v>
      </c>
      <c r="AX178" s="17" t="s">
        <v>62</v>
      </c>
      <c r="AY178" s="17" t="s">
        <v>62</v>
      </c>
      <c r="AZ178" s="17" t="s">
        <v>62</v>
      </c>
      <c r="BA178" s="17" t="s">
        <v>62</v>
      </c>
      <c r="BB178" s="17" t="s">
        <v>62</v>
      </c>
      <c r="BC178" s="17" t="s">
        <v>62</v>
      </c>
      <c r="BD178" s="17" t="s">
        <v>62</v>
      </c>
      <c r="BE178" s="17" t="s">
        <v>62</v>
      </c>
      <c r="BF178" s="17" t="s">
        <v>62</v>
      </c>
      <c r="BG178" s="17" t="s">
        <v>62</v>
      </c>
      <c r="BH178" s="17" t="s">
        <v>62</v>
      </c>
      <c r="BI178" s="17" t="s">
        <v>62</v>
      </c>
      <c r="BJ178" s="17" t="s">
        <v>62</v>
      </c>
      <c r="BK178" s="17" t="s">
        <v>62</v>
      </c>
      <c r="BL178" s="17" t="s">
        <v>62</v>
      </c>
      <c r="BM178" s="17" t="s">
        <v>62</v>
      </c>
      <c r="BN178" s="17" t="s">
        <v>62</v>
      </c>
      <c r="BO178" s="17" t="s">
        <v>62</v>
      </c>
      <c r="BP178" s="17" t="s">
        <v>62</v>
      </c>
      <c r="BQ178" s="17" t="s">
        <v>62</v>
      </c>
      <c r="BR178" s="17" t="s">
        <v>62</v>
      </c>
      <c r="BS178" s="17" t="s">
        <v>62</v>
      </c>
      <c r="BT178" s="17" t="s">
        <v>62</v>
      </c>
      <c r="BU178" s="17" t="s">
        <v>62</v>
      </c>
      <c r="BV178" s="17" t="s">
        <v>62</v>
      </c>
      <c r="BW178" s="17" t="s">
        <v>62</v>
      </c>
      <c r="BX178" s="17" t="s">
        <v>62</v>
      </c>
      <c r="BY178" s="17" t="s">
        <v>62</v>
      </c>
      <c r="BZ178" s="17" t="s">
        <v>62</v>
      </c>
      <c r="CA178" s="17" t="s">
        <v>62</v>
      </c>
      <c r="CB178" s="17" t="s">
        <v>62</v>
      </c>
      <c r="CC178" s="17" t="s">
        <v>62</v>
      </c>
      <c r="CD178" s="17" t="s">
        <v>62</v>
      </c>
      <c r="CE178" s="17" t="s">
        <v>62</v>
      </c>
      <c r="CF178" s="17" t="s">
        <v>62</v>
      </c>
      <c r="CG178" s="15" t="s">
        <v>71</v>
      </c>
      <c r="CH178" s="15">
        <v>1.387E-3</v>
      </c>
      <c r="CI178" s="14">
        <v>0</v>
      </c>
      <c r="CJ178" s="79">
        <v>3</v>
      </c>
      <c r="CK178" s="79" t="s">
        <v>224</v>
      </c>
      <c r="CL178" s="79" t="s">
        <v>224</v>
      </c>
      <c r="CM178" s="79">
        <v>459.151813</v>
      </c>
      <c r="CN178" s="79">
        <v>2</v>
      </c>
      <c r="CO178" s="79" t="s">
        <v>224</v>
      </c>
      <c r="CP178" s="79" t="s">
        <v>224</v>
      </c>
      <c r="CQ178" s="79" t="s">
        <v>224</v>
      </c>
      <c r="CR178" s="12" t="str">
        <f>IF(COUNTIF(Incl!A:A,Raw!J178),1, "")</f>
        <v/>
      </c>
    </row>
    <row r="179" spans="1:96" ht="13.5" thickTop="1" thickBot="1" x14ac:dyDescent="0.3">
      <c r="A179" s="13">
        <v>176</v>
      </c>
      <c r="B179" s="14">
        <v>1</v>
      </c>
      <c r="C179" s="15">
        <v>450.61375299999997</v>
      </c>
      <c r="D179" s="14">
        <v>179</v>
      </c>
      <c r="E179" s="14">
        <v>1</v>
      </c>
      <c r="F179" s="14">
        <v>208</v>
      </c>
      <c r="G179" s="16">
        <v>5</v>
      </c>
      <c r="H179" s="14">
        <v>5</v>
      </c>
      <c r="I179" s="14">
        <v>5</v>
      </c>
      <c r="J179" s="14">
        <v>5</v>
      </c>
      <c r="K179" s="15" t="s">
        <v>98</v>
      </c>
      <c r="L179" s="15" t="s">
        <v>109</v>
      </c>
      <c r="M179" s="15" t="s">
        <v>97</v>
      </c>
      <c r="N179" s="17" t="s">
        <v>62</v>
      </c>
      <c r="O179" s="17" t="s">
        <v>62</v>
      </c>
      <c r="P179" s="17">
        <v>20</v>
      </c>
      <c r="Q179" s="17" t="s">
        <v>62</v>
      </c>
      <c r="R179" s="17" t="s">
        <v>62</v>
      </c>
      <c r="S179" s="17" t="s">
        <v>62</v>
      </c>
      <c r="T179" s="14">
        <v>20</v>
      </c>
      <c r="U179" s="17">
        <v>10</v>
      </c>
      <c r="V179" s="17">
        <v>13</v>
      </c>
      <c r="W179" s="17">
        <v>8</v>
      </c>
      <c r="X179" s="17">
        <v>15</v>
      </c>
      <c r="Y179" s="14">
        <v>51</v>
      </c>
      <c r="Z179" s="14">
        <v>66</v>
      </c>
      <c r="AA179" s="14">
        <v>41</v>
      </c>
      <c r="AB179" s="14">
        <v>77</v>
      </c>
      <c r="AC179" s="14">
        <v>1</v>
      </c>
      <c r="AD179" s="14">
        <v>11</v>
      </c>
      <c r="AE179" s="14">
        <v>7</v>
      </c>
      <c r="AF179" s="14">
        <v>6</v>
      </c>
      <c r="AG179" s="17">
        <v>12</v>
      </c>
      <c r="AH179" s="14">
        <v>56</v>
      </c>
      <c r="AI179" s="14">
        <v>36</v>
      </c>
      <c r="AJ179" s="14">
        <v>31</v>
      </c>
      <c r="AK179" s="14">
        <v>61</v>
      </c>
      <c r="AL179" s="14">
        <v>0</v>
      </c>
      <c r="AM179" s="16" t="s">
        <v>62</v>
      </c>
      <c r="AN179" s="16" t="s">
        <v>62</v>
      </c>
      <c r="AO179" s="16" t="s">
        <v>62</v>
      </c>
      <c r="AP179" s="16" t="s">
        <v>62</v>
      </c>
      <c r="AQ179" s="16" t="s">
        <v>62</v>
      </c>
      <c r="AR179" s="16" t="s">
        <v>62</v>
      </c>
      <c r="AS179" s="16" t="s">
        <v>62</v>
      </c>
      <c r="AT179" s="16" t="s">
        <v>62</v>
      </c>
      <c r="AU179" s="16" t="s">
        <v>62</v>
      </c>
      <c r="AV179" s="16" t="s">
        <v>62</v>
      </c>
      <c r="AW179" s="16" t="s">
        <v>62</v>
      </c>
      <c r="AX179" s="16" t="s">
        <v>62</v>
      </c>
      <c r="AY179" s="16" t="s">
        <v>62</v>
      </c>
      <c r="AZ179" s="16" t="s">
        <v>62</v>
      </c>
      <c r="BA179" s="16" t="s">
        <v>62</v>
      </c>
      <c r="BB179" s="16" t="s">
        <v>62</v>
      </c>
      <c r="BC179" s="16" t="s">
        <v>62</v>
      </c>
      <c r="BD179" s="16" t="s">
        <v>62</v>
      </c>
      <c r="BE179" s="16" t="s">
        <v>62</v>
      </c>
      <c r="BF179" s="16" t="s">
        <v>62</v>
      </c>
      <c r="BG179" s="16" t="s">
        <v>62</v>
      </c>
      <c r="BH179" s="16" t="s">
        <v>62</v>
      </c>
      <c r="BI179" s="15" t="s">
        <v>62</v>
      </c>
      <c r="BJ179" s="16" t="s">
        <v>62</v>
      </c>
      <c r="BK179" s="16" t="s">
        <v>62</v>
      </c>
      <c r="BL179" s="16" t="s">
        <v>62</v>
      </c>
      <c r="BM179" s="16" t="s">
        <v>62</v>
      </c>
      <c r="BN179" s="16" t="s">
        <v>62</v>
      </c>
      <c r="BO179" s="16" t="s">
        <v>62</v>
      </c>
      <c r="BP179" s="16" t="s">
        <v>62</v>
      </c>
      <c r="BQ179" s="16" t="s">
        <v>62</v>
      </c>
      <c r="BR179" s="16" t="s">
        <v>62</v>
      </c>
      <c r="BS179" s="16" t="s">
        <v>62</v>
      </c>
      <c r="BT179" s="16" t="s">
        <v>62</v>
      </c>
      <c r="BU179" s="16" t="s">
        <v>62</v>
      </c>
      <c r="BV179" s="16" t="s">
        <v>62</v>
      </c>
      <c r="BW179" s="16" t="s">
        <v>62</v>
      </c>
      <c r="BX179" s="16" t="s">
        <v>62</v>
      </c>
      <c r="BY179" s="16" t="s">
        <v>62</v>
      </c>
      <c r="BZ179" s="16" t="s">
        <v>62</v>
      </c>
      <c r="CA179" s="16" t="s">
        <v>62</v>
      </c>
      <c r="CB179" s="16" t="s">
        <v>62</v>
      </c>
      <c r="CC179" s="16" t="s">
        <v>62</v>
      </c>
      <c r="CD179" s="16" t="s">
        <v>62</v>
      </c>
      <c r="CE179" s="16" t="s">
        <v>62</v>
      </c>
      <c r="CF179" s="15" t="s">
        <v>62</v>
      </c>
      <c r="CG179" s="15" t="s">
        <v>74</v>
      </c>
      <c r="CH179" s="15">
        <v>1.359E-3</v>
      </c>
      <c r="CI179" s="14">
        <v>1</v>
      </c>
      <c r="CJ179" s="79">
        <v>3</v>
      </c>
      <c r="CK179" s="79" t="s">
        <v>224</v>
      </c>
      <c r="CL179" s="79" t="s">
        <v>224</v>
      </c>
      <c r="CM179" s="79">
        <v>450.61370299999999</v>
      </c>
      <c r="CN179" s="79">
        <v>2</v>
      </c>
      <c r="CO179" s="79" t="s">
        <v>224</v>
      </c>
      <c r="CP179" s="79" t="s">
        <v>224</v>
      </c>
      <c r="CQ179" s="79" t="s">
        <v>224</v>
      </c>
      <c r="CR179" s="12" t="str">
        <f>IF(COUNTIF(Incl!A:A,Raw!J179),1, "")</f>
        <v/>
      </c>
    </row>
    <row r="180" spans="1:96" ht="13.5" thickTop="1" thickBot="1" x14ac:dyDescent="0.3">
      <c r="A180" s="18">
        <v>177</v>
      </c>
      <c r="B180" s="19">
        <v>1</v>
      </c>
      <c r="C180" s="20">
        <v>195.796413</v>
      </c>
      <c r="D180" s="19">
        <v>180</v>
      </c>
      <c r="E180" s="19">
        <v>1</v>
      </c>
      <c r="F180" s="19">
        <v>209</v>
      </c>
      <c r="G180" s="21">
        <v>189</v>
      </c>
      <c r="H180" s="19">
        <v>189</v>
      </c>
      <c r="I180" s="19">
        <v>189</v>
      </c>
      <c r="J180" s="19">
        <v>189</v>
      </c>
      <c r="K180" s="20" t="s">
        <v>97</v>
      </c>
      <c r="L180" s="20" t="s">
        <v>98</v>
      </c>
      <c r="M180" s="20" t="s">
        <v>120</v>
      </c>
      <c r="N180" s="22" t="s">
        <v>62</v>
      </c>
      <c r="O180" s="21" t="s">
        <v>62</v>
      </c>
      <c r="P180" s="22">
        <v>9</v>
      </c>
      <c r="Q180" s="22" t="s">
        <v>62</v>
      </c>
      <c r="R180" s="22" t="s">
        <v>62</v>
      </c>
      <c r="S180" s="22" t="s">
        <v>62</v>
      </c>
      <c r="T180" s="19">
        <v>9</v>
      </c>
      <c r="U180" s="21">
        <v>2</v>
      </c>
      <c r="V180" s="21">
        <v>2</v>
      </c>
      <c r="W180" s="21">
        <v>5</v>
      </c>
      <c r="X180" s="22">
        <v>6</v>
      </c>
      <c r="Y180" s="19">
        <v>23</v>
      </c>
      <c r="Z180" s="19">
        <v>23</v>
      </c>
      <c r="AA180" s="19">
        <v>56</v>
      </c>
      <c r="AB180" s="19">
        <v>68</v>
      </c>
      <c r="AC180" s="19">
        <v>0</v>
      </c>
      <c r="AD180" s="19">
        <v>7</v>
      </c>
      <c r="AE180" s="19">
        <v>3</v>
      </c>
      <c r="AF180" s="19">
        <v>5</v>
      </c>
      <c r="AG180" s="22">
        <v>5</v>
      </c>
      <c r="AH180" s="19">
        <v>79</v>
      </c>
      <c r="AI180" s="19">
        <v>34</v>
      </c>
      <c r="AJ180" s="19">
        <v>56</v>
      </c>
      <c r="AK180" s="19">
        <v>56</v>
      </c>
      <c r="AL180" s="19">
        <v>1</v>
      </c>
      <c r="AM180" s="21" t="s">
        <v>62</v>
      </c>
      <c r="AN180" s="21" t="s">
        <v>62</v>
      </c>
      <c r="AO180" s="21" t="s">
        <v>62</v>
      </c>
      <c r="AP180" s="21" t="s">
        <v>62</v>
      </c>
      <c r="AQ180" s="21" t="s">
        <v>62</v>
      </c>
      <c r="AR180" s="21" t="s">
        <v>62</v>
      </c>
      <c r="AS180" s="21" t="s">
        <v>62</v>
      </c>
      <c r="AT180" s="21" t="s">
        <v>62</v>
      </c>
      <c r="AU180" s="21" t="s">
        <v>62</v>
      </c>
      <c r="AV180" s="21" t="s">
        <v>62</v>
      </c>
      <c r="AW180" s="21" t="s">
        <v>62</v>
      </c>
      <c r="AX180" s="21" t="s">
        <v>62</v>
      </c>
      <c r="AY180" s="21" t="s">
        <v>62</v>
      </c>
      <c r="AZ180" s="21" t="s">
        <v>62</v>
      </c>
      <c r="BA180" s="21" t="s">
        <v>62</v>
      </c>
      <c r="BB180" s="21" t="s">
        <v>62</v>
      </c>
      <c r="BC180" s="21" t="s">
        <v>62</v>
      </c>
      <c r="BD180" s="21" t="s">
        <v>62</v>
      </c>
      <c r="BE180" s="21" t="s">
        <v>62</v>
      </c>
      <c r="BF180" s="21" t="s">
        <v>62</v>
      </c>
      <c r="BG180" s="21" t="s">
        <v>62</v>
      </c>
      <c r="BH180" s="21" t="s">
        <v>62</v>
      </c>
      <c r="BI180" s="20" t="s">
        <v>62</v>
      </c>
      <c r="BJ180" s="21" t="s">
        <v>62</v>
      </c>
      <c r="BK180" s="21" t="s">
        <v>62</v>
      </c>
      <c r="BL180" s="21" t="s">
        <v>62</v>
      </c>
      <c r="BM180" s="21" t="s">
        <v>62</v>
      </c>
      <c r="BN180" s="21" t="s">
        <v>62</v>
      </c>
      <c r="BO180" s="21" t="s">
        <v>62</v>
      </c>
      <c r="BP180" s="21" t="s">
        <v>62</v>
      </c>
      <c r="BQ180" s="21" t="s">
        <v>62</v>
      </c>
      <c r="BR180" s="21" t="s">
        <v>62</v>
      </c>
      <c r="BS180" s="21" t="s">
        <v>62</v>
      </c>
      <c r="BT180" s="21" t="s">
        <v>62</v>
      </c>
      <c r="BU180" s="21" t="s">
        <v>62</v>
      </c>
      <c r="BV180" s="21" t="s">
        <v>62</v>
      </c>
      <c r="BW180" s="21" t="s">
        <v>62</v>
      </c>
      <c r="BX180" s="21" t="s">
        <v>62</v>
      </c>
      <c r="BY180" s="21" t="s">
        <v>62</v>
      </c>
      <c r="BZ180" s="21" t="s">
        <v>62</v>
      </c>
      <c r="CA180" s="21" t="s">
        <v>62</v>
      </c>
      <c r="CB180" s="21" t="s">
        <v>62</v>
      </c>
      <c r="CC180" s="21" t="s">
        <v>62</v>
      </c>
      <c r="CD180" s="21" t="s">
        <v>62</v>
      </c>
      <c r="CE180" s="21" t="s">
        <v>62</v>
      </c>
      <c r="CF180" s="20" t="s">
        <v>62</v>
      </c>
      <c r="CG180" s="20" t="s">
        <v>66</v>
      </c>
      <c r="CH180" s="20">
        <v>5.7200000000000003E-4</v>
      </c>
      <c r="CI180" s="19">
        <v>1</v>
      </c>
      <c r="CJ180" s="78">
        <v>3</v>
      </c>
      <c r="CK180" s="78" t="s">
        <v>224</v>
      </c>
      <c r="CL180" s="78" t="s">
        <v>224</v>
      </c>
      <c r="CM180" s="78">
        <v>195.79671999999999</v>
      </c>
      <c r="CN180" s="78">
        <v>2</v>
      </c>
      <c r="CO180" s="78" t="s">
        <v>224</v>
      </c>
      <c r="CP180" s="78" t="s">
        <v>224</v>
      </c>
      <c r="CQ180" s="78" t="s">
        <v>224</v>
      </c>
      <c r="CR180" s="12" t="str">
        <f>IF(COUNTIF(Incl!A:A,Raw!J180),1, "")</f>
        <v/>
      </c>
    </row>
    <row r="181" spans="1:96" ht="13.5" thickTop="1" thickBot="1" x14ac:dyDescent="0.3">
      <c r="A181" s="13">
        <v>178</v>
      </c>
      <c r="B181" s="14">
        <v>1</v>
      </c>
      <c r="C181" s="15">
        <v>417.238586</v>
      </c>
      <c r="D181" s="14">
        <v>181</v>
      </c>
      <c r="E181" s="14">
        <v>1</v>
      </c>
      <c r="F181" s="14">
        <v>210</v>
      </c>
      <c r="G181" s="16">
        <v>14</v>
      </c>
      <c r="H181" s="14">
        <v>14</v>
      </c>
      <c r="I181" s="14">
        <v>14</v>
      </c>
      <c r="J181" s="14">
        <v>14</v>
      </c>
      <c r="K181" s="15" t="s">
        <v>120</v>
      </c>
      <c r="L181" s="15" t="s">
        <v>97</v>
      </c>
      <c r="M181" s="15" t="s">
        <v>109</v>
      </c>
      <c r="N181" s="17" t="s">
        <v>62</v>
      </c>
      <c r="O181" s="17" t="s">
        <v>62</v>
      </c>
      <c r="P181" s="16">
        <v>21</v>
      </c>
      <c r="Q181" s="17" t="s">
        <v>62</v>
      </c>
      <c r="R181" s="17" t="s">
        <v>62</v>
      </c>
      <c r="S181" s="17" t="s">
        <v>62</v>
      </c>
      <c r="T181" s="14">
        <v>21</v>
      </c>
      <c r="U181" s="16">
        <v>12</v>
      </c>
      <c r="V181" s="16">
        <v>10</v>
      </c>
      <c r="W181" s="16">
        <v>13</v>
      </c>
      <c r="X181" s="16">
        <v>13</v>
      </c>
      <c r="Y181" s="14">
        <v>59</v>
      </c>
      <c r="Z181" s="14">
        <v>49</v>
      </c>
      <c r="AA181" s="14">
        <v>63</v>
      </c>
      <c r="AB181" s="14">
        <v>63</v>
      </c>
      <c r="AC181" s="14">
        <v>0</v>
      </c>
      <c r="AD181" s="14">
        <v>13</v>
      </c>
      <c r="AE181" s="14">
        <v>15</v>
      </c>
      <c r="AF181" s="14">
        <v>13</v>
      </c>
      <c r="AG181" s="16">
        <v>12</v>
      </c>
      <c r="AH181" s="14">
        <v>63</v>
      </c>
      <c r="AI181" s="14">
        <v>73</v>
      </c>
      <c r="AJ181" s="14">
        <v>63</v>
      </c>
      <c r="AK181" s="14">
        <v>59</v>
      </c>
      <c r="AL181" s="14">
        <v>0</v>
      </c>
      <c r="AM181" s="17" t="s">
        <v>62</v>
      </c>
      <c r="AN181" s="17" t="s">
        <v>62</v>
      </c>
      <c r="AO181" s="17" t="s">
        <v>62</v>
      </c>
      <c r="AP181" s="17" t="s">
        <v>62</v>
      </c>
      <c r="AQ181" s="17" t="s">
        <v>62</v>
      </c>
      <c r="AR181" s="17" t="s">
        <v>62</v>
      </c>
      <c r="AS181" s="17" t="s">
        <v>62</v>
      </c>
      <c r="AT181" s="17" t="s">
        <v>62</v>
      </c>
      <c r="AU181" s="17" t="s">
        <v>62</v>
      </c>
      <c r="AV181" s="17" t="s">
        <v>62</v>
      </c>
      <c r="AW181" s="17" t="s">
        <v>62</v>
      </c>
      <c r="AX181" s="17" t="s">
        <v>62</v>
      </c>
      <c r="AY181" s="17" t="s">
        <v>62</v>
      </c>
      <c r="AZ181" s="17" t="s">
        <v>62</v>
      </c>
      <c r="BA181" s="17" t="s">
        <v>62</v>
      </c>
      <c r="BB181" s="17" t="s">
        <v>62</v>
      </c>
      <c r="BC181" s="17" t="s">
        <v>62</v>
      </c>
      <c r="BD181" s="17" t="s">
        <v>62</v>
      </c>
      <c r="BE181" s="17" t="s">
        <v>62</v>
      </c>
      <c r="BF181" s="17" t="s">
        <v>62</v>
      </c>
      <c r="BG181" s="17" t="s">
        <v>62</v>
      </c>
      <c r="BH181" s="17" t="s">
        <v>62</v>
      </c>
      <c r="BI181" s="17" t="s">
        <v>62</v>
      </c>
      <c r="BJ181" s="17" t="s">
        <v>62</v>
      </c>
      <c r="BK181" s="17" t="s">
        <v>62</v>
      </c>
      <c r="BL181" s="17" t="s">
        <v>62</v>
      </c>
      <c r="BM181" s="17" t="s">
        <v>62</v>
      </c>
      <c r="BN181" s="17" t="s">
        <v>62</v>
      </c>
      <c r="BO181" s="17" t="s">
        <v>62</v>
      </c>
      <c r="BP181" s="17" t="s">
        <v>62</v>
      </c>
      <c r="BQ181" s="17" t="s">
        <v>62</v>
      </c>
      <c r="BR181" s="17" t="s">
        <v>62</v>
      </c>
      <c r="BS181" s="17" t="s">
        <v>62</v>
      </c>
      <c r="BT181" s="17" t="s">
        <v>62</v>
      </c>
      <c r="BU181" s="17" t="s">
        <v>62</v>
      </c>
      <c r="BV181" s="17" t="s">
        <v>62</v>
      </c>
      <c r="BW181" s="17" t="s">
        <v>62</v>
      </c>
      <c r="BX181" s="17" t="s">
        <v>62</v>
      </c>
      <c r="BY181" s="17" t="s">
        <v>62</v>
      </c>
      <c r="BZ181" s="17" t="s">
        <v>62</v>
      </c>
      <c r="CA181" s="17" t="s">
        <v>62</v>
      </c>
      <c r="CB181" s="17" t="s">
        <v>62</v>
      </c>
      <c r="CC181" s="17" t="s">
        <v>62</v>
      </c>
      <c r="CD181" s="17" t="s">
        <v>62</v>
      </c>
      <c r="CE181" s="17" t="s">
        <v>62</v>
      </c>
      <c r="CF181" s="17" t="s">
        <v>62</v>
      </c>
      <c r="CG181" s="15" t="s">
        <v>71</v>
      </c>
      <c r="CH181" s="15">
        <v>1.253E-3</v>
      </c>
      <c r="CI181" s="14">
        <v>0</v>
      </c>
      <c r="CJ181" s="79">
        <v>3</v>
      </c>
      <c r="CK181" s="79" t="s">
        <v>224</v>
      </c>
      <c r="CL181" s="79" t="s">
        <v>224</v>
      </c>
      <c r="CM181" s="79">
        <v>417.23876799999999</v>
      </c>
      <c r="CN181" s="79">
        <v>2</v>
      </c>
      <c r="CO181" s="79" t="s">
        <v>224</v>
      </c>
      <c r="CP181" s="79" t="s">
        <v>224</v>
      </c>
      <c r="CQ181" s="79" t="s">
        <v>224</v>
      </c>
      <c r="CR181" s="12" t="str">
        <f>IF(COUNTIF(Incl!A:A,Raw!J181),1, "")</f>
        <v/>
      </c>
    </row>
    <row r="182" spans="1:96" ht="13.5" thickTop="1" thickBot="1" x14ac:dyDescent="0.3">
      <c r="A182" s="13">
        <v>179</v>
      </c>
      <c r="B182" s="14">
        <v>1</v>
      </c>
      <c r="C182" s="15">
        <v>240.158469</v>
      </c>
      <c r="D182" s="14">
        <v>182</v>
      </c>
      <c r="E182" s="14">
        <v>1</v>
      </c>
      <c r="F182" s="14">
        <v>211</v>
      </c>
      <c r="G182" s="16">
        <v>191</v>
      </c>
      <c r="H182" s="14">
        <v>191</v>
      </c>
      <c r="I182" s="14">
        <v>191</v>
      </c>
      <c r="J182" s="14">
        <v>191</v>
      </c>
      <c r="K182" s="15" t="s">
        <v>97</v>
      </c>
      <c r="L182" s="15" t="s">
        <v>120</v>
      </c>
      <c r="M182" s="15" t="s">
        <v>95</v>
      </c>
      <c r="N182" s="17" t="s">
        <v>62</v>
      </c>
      <c r="O182" s="17" t="s">
        <v>62</v>
      </c>
      <c r="P182" s="16">
        <v>8</v>
      </c>
      <c r="Q182" s="17" t="s">
        <v>62</v>
      </c>
      <c r="R182" s="17" t="s">
        <v>62</v>
      </c>
      <c r="S182" s="17" t="s">
        <v>62</v>
      </c>
      <c r="T182" s="14">
        <v>8</v>
      </c>
      <c r="U182" s="16">
        <v>4</v>
      </c>
      <c r="V182" s="16">
        <v>4</v>
      </c>
      <c r="W182" s="16">
        <v>3</v>
      </c>
      <c r="X182" s="16">
        <v>3</v>
      </c>
      <c r="Y182" s="14">
        <v>48</v>
      </c>
      <c r="Z182" s="14">
        <v>48</v>
      </c>
      <c r="AA182" s="14">
        <v>36</v>
      </c>
      <c r="AB182" s="14">
        <v>36</v>
      </c>
      <c r="AC182" s="14">
        <v>0</v>
      </c>
      <c r="AD182" s="14">
        <v>6</v>
      </c>
      <c r="AE182" s="14">
        <v>2</v>
      </c>
      <c r="AF182" s="14">
        <v>1</v>
      </c>
      <c r="AG182" s="16">
        <v>2</v>
      </c>
      <c r="AH182" s="14">
        <v>71</v>
      </c>
      <c r="AI182" s="14">
        <v>24</v>
      </c>
      <c r="AJ182" s="14">
        <v>12</v>
      </c>
      <c r="AK182" s="14">
        <v>24</v>
      </c>
      <c r="AL182" s="14">
        <v>0</v>
      </c>
      <c r="AM182" s="17" t="s">
        <v>62</v>
      </c>
      <c r="AN182" s="17" t="s">
        <v>62</v>
      </c>
      <c r="AO182" s="17" t="s">
        <v>62</v>
      </c>
      <c r="AP182" s="17" t="s">
        <v>62</v>
      </c>
      <c r="AQ182" s="17" t="s">
        <v>62</v>
      </c>
      <c r="AR182" s="17" t="s">
        <v>62</v>
      </c>
      <c r="AS182" s="17" t="s">
        <v>62</v>
      </c>
      <c r="AT182" s="17" t="s">
        <v>62</v>
      </c>
      <c r="AU182" s="17" t="s">
        <v>62</v>
      </c>
      <c r="AV182" s="17" t="s">
        <v>62</v>
      </c>
      <c r="AW182" s="17" t="s">
        <v>62</v>
      </c>
      <c r="AX182" s="17" t="s">
        <v>62</v>
      </c>
      <c r="AY182" s="17" t="s">
        <v>62</v>
      </c>
      <c r="AZ182" s="17" t="s">
        <v>62</v>
      </c>
      <c r="BA182" s="17" t="s">
        <v>62</v>
      </c>
      <c r="BB182" s="17" t="s">
        <v>62</v>
      </c>
      <c r="BC182" s="17" t="s">
        <v>62</v>
      </c>
      <c r="BD182" s="17" t="s">
        <v>62</v>
      </c>
      <c r="BE182" s="17" t="s">
        <v>62</v>
      </c>
      <c r="BF182" s="17" t="s">
        <v>62</v>
      </c>
      <c r="BG182" s="17" t="s">
        <v>62</v>
      </c>
      <c r="BH182" s="17" t="s">
        <v>62</v>
      </c>
      <c r="BI182" s="17" t="s">
        <v>62</v>
      </c>
      <c r="BJ182" s="17" t="s">
        <v>62</v>
      </c>
      <c r="BK182" s="17" t="s">
        <v>62</v>
      </c>
      <c r="BL182" s="17" t="s">
        <v>62</v>
      </c>
      <c r="BM182" s="17" t="s">
        <v>62</v>
      </c>
      <c r="BN182" s="17" t="s">
        <v>62</v>
      </c>
      <c r="BO182" s="17" t="s">
        <v>62</v>
      </c>
      <c r="BP182" s="17" t="s">
        <v>62</v>
      </c>
      <c r="BQ182" s="17" t="s">
        <v>62</v>
      </c>
      <c r="BR182" s="17" t="s">
        <v>62</v>
      </c>
      <c r="BS182" s="17" t="s">
        <v>62</v>
      </c>
      <c r="BT182" s="17" t="s">
        <v>62</v>
      </c>
      <c r="BU182" s="17" t="s">
        <v>62</v>
      </c>
      <c r="BV182" s="17" t="s">
        <v>62</v>
      </c>
      <c r="BW182" s="17" t="s">
        <v>62</v>
      </c>
      <c r="BX182" s="17" t="s">
        <v>62</v>
      </c>
      <c r="BY182" s="17" t="s">
        <v>62</v>
      </c>
      <c r="BZ182" s="17" t="s">
        <v>62</v>
      </c>
      <c r="CA182" s="17" t="s">
        <v>62</v>
      </c>
      <c r="CB182" s="17" t="s">
        <v>62</v>
      </c>
      <c r="CC182" s="17" t="s">
        <v>62</v>
      </c>
      <c r="CD182" s="17" t="s">
        <v>62</v>
      </c>
      <c r="CE182" s="17" t="s">
        <v>62</v>
      </c>
      <c r="CF182" s="17" t="s">
        <v>62</v>
      </c>
      <c r="CG182" s="15" t="s">
        <v>66</v>
      </c>
      <c r="CH182" s="15">
        <v>7.0399999999999998E-4</v>
      </c>
      <c r="CI182" s="14">
        <v>0</v>
      </c>
      <c r="CJ182" s="79">
        <v>3</v>
      </c>
      <c r="CK182" s="79" t="s">
        <v>224</v>
      </c>
      <c r="CL182" s="79" t="s">
        <v>224</v>
      </c>
      <c r="CM182" s="79">
        <v>240.15867700000001</v>
      </c>
      <c r="CN182" s="79">
        <v>2</v>
      </c>
      <c r="CO182" s="79" t="s">
        <v>224</v>
      </c>
      <c r="CP182" s="79" t="s">
        <v>224</v>
      </c>
      <c r="CQ182" s="79" t="s">
        <v>224</v>
      </c>
      <c r="CR182" s="12" t="str">
        <f>IF(COUNTIF(Incl!A:A,Raw!J182),1, "")</f>
        <v/>
      </c>
    </row>
    <row r="183" spans="1:96" ht="13.5" thickTop="1" thickBot="1" x14ac:dyDescent="0.3">
      <c r="A183" s="18">
        <v>180</v>
      </c>
      <c r="B183" s="19">
        <v>1</v>
      </c>
      <c r="C183" s="20">
        <v>430.147155</v>
      </c>
      <c r="D183" s="19">
        <v>183</v>
      </c>
      <c r="E183" s="19">
        <v>1</v>
      </c>
      <c r="F183" s="19">
        <v>212</v>
      </c>
      <c r="G183" s="21">
        <v>15</v>
      </c>
      <c r="H183" s="19">
        <v>15</v>
      </c>
      <c r="I183" s="19">
        <v>15</v>
      </c>
      <c r="J183" s="19">
        <v>15</v>
      </c>
      <c r="K183" s="20" t="s">
        <v>120</v>
      </c>
      <c r="L183" s="20" t="s">
        <v>109</v>
      </c>
      <c r="M183" s="20" t="s">
        <v>97</v>
      </c>
      <c r="N183" s="22" t="s">
        <v>62</v>
      </c>
      <c r="O183" s="22" t="s">
        <v>62</v>
      </c>
      <c r="P183" s="21">
        <v>17</v>
      </c>
      <c r="Q183" s="22" t="s">
        <v>62</v>
      </c>
      <c r="R183" s="22" t="s">
        <v>62</v>
      </c>
      <c r="S183" s="22" t="s">
        <v>62</v>
      </c>
      <c r="T183" s="19">
        <v>17</v>
      </c>
      <c r="U183" s="21">
        <v>10</v>
      </c>
      <c r="V183" s="21">
        <v>10</v>
      </c>
      <c r="W183" s="21">
        <v>6</v>
      </c>
      <c r="X183" s="21">
        <v>7</v>
      </c>
      <c r="Y183" s="19">
        <v>59</v>
      </c>
      <c r="Z183" s="19">
        <v>59</v>
      </c>
      <c r="AA183" s="19">
        <v>35</v>
      </c>
      <c r="AB183" s="19">
        <v>41</v>
      </c>
      <c r="AC183" s="19">
        <v>0</v>
      </c>
      <c r="AD183" s="19">
        <v>4</v>
      </c>
      <c r="AE183" s="19">
        <v>7</v>
      </c>
      <c r="AF183" s="19">
        <v>7</v>
      </c>
      <c r="AG183" s="21">
        <v>7</v>
      </c>
      <c r="AH183" s="19">
        <v>24</v>
      </c>
      <c r="AI183" s="19">
        <v>41</v>
      </c>
      <c r="AJ183" s="19">
        <v>41</v>
      </c>
      <c r="AK183" s="19">
        <v>41</v>
      </c>
      <c r="AL183" s="19">
        <v>0</v>
      </c>
      <c r="AM183" s="22" t="s">
        <v>62</v>
      </c>
      <c r="AN183" s="22" t="s">
        <v>62</v>
      </c>
      <c r="AO183" s="22" t="s">
        <v>62</v>
      </c>
      <c r="AP183" s="22" t="s">
        <v>62</v>
      </c>
      <c r="AQ183" s="22" t="s">
        <v>62</v>
      </c>
      <c r="AR183" s="22" t="s">
        <v>62</v>
      </c>
      <c r="AS183" s="22" t="s">
        <v>62</v>
      </c>
      <c r="AT183" s="22" t="s">
        <v>62</v>
      </c>
      <c r="AU183" s="22" t="s">
        <v>62</v>
      </c>
      <c r="AV183" s="22" t="s">
        <v>62</v>
      </c>
      <c r="AW183" s="22" t="s">
        <v>62</v>
      </c>
      <c r="AX183" s="22" t="s">
        <v>62</v>
      </c>
      <c r="AY183" s="22" t="s">
        <v>62</v>
      </c>
      <c r="AZ183" s="22" t="s">
        <v>62</v>
      </c>
      <c r="BA183" s="22" t="s">
        <v>62</v>
      </c>
      <c r="BB183" s="22" t="s">
        <v>62</v>
      </c>
      <c r="BC183" s="22" t="s">
        <v>62</v>
      </c>
      <c r="BD183" s="22" t="s">
        <v>62</v>
      </c>
      <c r="BE183" s="22" t="s">
        <v>62</v>
      </c>
      <c r="BF183" s="22" t="s">
        <v>62</v>
      </c>
      <c r="BG183" s="22" t="s">
        <v>62</v>
      </c>
      <c r="BH183" s="22" t="s">
        <v>62</v>
      </c>
      <c r="BI183" s="22" t="s">
        <v>62</v>
      </c>
      <c r="BJ183" s="22" t="s">
        <v>62</v>
      </c>
      <c r="BK183" s="22" t="s">
        <v>62</v>
      </c>
      <c r="BL183" s="22" t="s">
        <v>62</v>
      </c>
      <c r="BM183" s="22" t="s">
        <v>62</v>
      </c>
      <c r="BN183" s="22" t="s">
        <v>62</v>
      </c>
      <c r="BO183" s="22" t="s">
        <v>62</v>
      </c>
      <c r="BP183" s="22" t="s">
        <v>62</v>
      </c>
      <c r="BQ183" s="22" t="s">
        <v>62</v>
      </c>
      <c r="BR183" s="22" t="s">
        <v>62</v>
      </c>
      <c r="BS183" s="22" t="s">
        <v>62</v>
      </c>
      <c r="BT183" s="22" t="s">
        <v>62</v>
      </c>
      <c r="BU183" s="22" t="s">
        <v>62</v>
      </c>
      <c r="BV183" s="22" t="s">
        <v>62</v>
      </c>
      <c r="BW183" s="22" t="s">
        <v>62</v>
      </c>
      <c r="BX183" s="22" t="s">
        <v>62</v>
      </c>
      <c r="BY183" s="22" t="s">
        <v>62</v>
      </c>
      <c r="BZ183" s="22" t="s">
        <v>62</v>
      </c>
      <c r="CA183" s="22" t="s">
        <v>62</v>
      </c>
      <c r="CB183" s="22" t="s">
        <v>62</v>
      </c>
      <c r="CC183" s="22" t="s">
        <v>62</v>
      </c>
      <c r="CD183" s="22" t="s">
        <v>62</v>
      </c>
      <c r="CE183" s="22" t="s">
        <v>62</v>
      </c>
      <c r="CF183" s="22" t="s">
        <v>62</v>
      </c>
      <c r="CG183" s="20" t="s">
        <v>74</v>
      </c>
      <c r="CH183" s="20">
        <v>1.284E-3</v>
      </c>
      <c r="CI183" s="19">
        <v>0</v>
      </c>
      <c r="CJ183" s="78">
        <v>3</v>
      </c>
      <c r="CK183" s="78" t="s">
        <v>224</v>
      </c>
      <c r="CL183" s="78" t="s">
        <v>224</v>
      </c>
      <c r="CM183" s="78">
        <v>430.14718800000003</v>
      </c>
      <c r="CN183" s="78">
        <v>2</v>
      </c>
      <c r="CO183" s="78" t="s">
        <v>224</v>
      </c>
      <c r="CP183" s="78" t="s">
        <v>224</v>
      </c>
      <c r="CQ183" s="78" t="s">
        <v>224</v>
      </c>
      <c r="CR183" s="12" t="str">
        <f>IF(COUNTIF(Incl!A:A,Raw!J183),1, "")</f>
        <v/>
      </c>
    </row>
    <row r="184" spans="1:96" ht="13.5" thickTop="1" thickBot="1" x14ac:dyDescent="0.3">
      <c r="A184" s="13">
        <v>181</v>
      </c>
      <c r="B184" s="14">
        <v>1</v>
      </c>
      <c r="C184" s="15">
        <v>487.385807</v>
      </c>
      <c r="D184" s="14">
        <v>184</v>
      </c>
      <c r="E184" s="14">
        <v>1</v>
      </c>
      <c r="F184" s="14">
        <v>213</v>
      </c>
      <c r="G184" s="16">
        <v>26</v>
      </c>
      <c r="H184" s="14">
        <v>26</v>
      </c>
      <c r="I184" s="14">
        <v>26</v>
      </c>
      <c r="J184" s="14">
        <v>26</v>
      </c>
      <c r="K184" s="15" t="s">
        <v>95</v>
      </c>
      <c r="L184" s="15" t="s">
        <v>97</v>
      </c>
      <c r="M184" s="15" t="s">
        <v>109</v>
      </c>
      <c r="N184" s="17" t="s">
        <v>62</v>
      </c>
      <c r="O184" s="17" t="s">
        <v>62</v>
      </c>
      <c r="P184" s="16" t="s">
        <v>62</v>
      </c>
      <c r="Q184" s="17" t="s">
        <v>62</v>
      </c>
      <c r="R184" s="17" t="s">
        <v>62</v>
      </c>
      <c r="S184" s="17">
        <v>21</v>
      </c>
      <c r="T184" s="14">
        <v>21</v>
      </c>
      <c r="U184" s="16">
        <v>7</v>
      </c>
      <c r="V184" s="16">
        <v>8</v>
      </c>
      <c r="W184" s="16">
        <v>7</v>
      </c>
      <c r="X184" s="16">
        <v>7</v>
      </c>
      <c r="Y184" s="14">
        <v>34</v>
      </c>
      <c r="Z184" s="14">
        <v>39</v>
      </c>
      <c r="AA184" s="14">
        <v>34</v>
      </c>
      <c r="AB184" s="14">
        <v>34</v>
      </c>
      <c r="AC184" s="14">
        <v>0</v>
      </c>
      <c r="AD184" s="14">
        <v>2</v>
      </c>
      <c r="AE184" s="14">
        <v>2</v>
      </c>
      <c r="AF184" s="14">
        <v>5</v>
      </c>
      <c r="AG184" s="16">
        <v>6</v>
      </c>
      <c r="AH184" s="14">
        <v>10</v>
      </c>
      <c r="AI184" s="14">
        <v>10</v>
      </c>
      <c r="AJ184" s="14">
        <v>24</v>
      </c>
      <c r="AK184" s="14">
        <v>29</v>
      </c>
      <c r="AL184" s="14">
        <v>0</v>
      </c>
      <c r="AM184" s="17" t="s">
        <v>62</v>
      </c>
      <c r="AN184" s="17" t="s">
        <v>62</v>
      </c>
      <c r="AO184" s="17" t="s">
        <v>62</v>
      </c>
      <c r="AP184" s="17" t="s">
        <v>62</v>
      </c>
      <c r="AQ184" s="17" t="s">
        <v>62</v>
      </c>
      <c r="AR184" s="17" t="s">
        <v>62</v>
      </c>
      <c r="AS184" s="17" t="s">
        <v>62</v>
      </c>
      <c r="AT184" s="17" t="s">
        <v>62</v>
      </c>
      <c r="AU184" s="17" t="s">
        <v>62</v>
      </c>
      <c r="AV184" s="17" t="s">
        <v>62</v>
      </c>
      <c r="AW184" s="17" t="s">
        <v>62</v>
      </c>
      <c r="AX184" s="17" t="s">
        <v>62</v>
      </c>
      <c r="AY184" s="17" t="s">
        <v>62</v>
      </c>
      <c r="AZ184" s="17" t="s">
        <v>62</v>
      </c>
      <c r="BA184" s="17" t="s">
        <v>62</v>
      </c>
      <c r="BB184" s="17" t="s">
        <v>62</v>
      </c>
      <c r="BC184" s="17" t="s">
        <v>62</v>
      </c>
      <c r="BD184" s="17" t="s">
        <v>62</v>
      </c>
      <c r="BE184" s="17" t="s">
        <v>62</v>
      </c>
      <c r="BF184" s="17" t="s">
        <v>62</v>
      </c>
      <c r="BG184" s="17" t="s">
        <v>62</v>
      </c>
      <c r="BH184" s="17" t="s">
        <v>62</v>
      </c>
      <c r="BI184" s="17" t="s">
        <v>62</v>
      </c>
      <c r="BJ184" s="17" t="s">
        <v>62</v>
      </c>
      <c r="BK184" s="17" t="s">
        <v>62</v>
      </c>
      <c r="BL184" s="17" t="s">
        <v>62</v>
      </c>
      <c r="BM184" s="17" t="s">
        <v>62</v>
      </c>
      <c r="BN184" s="17" t="s">
        <v>62</v>
      </c>
      <c r="BO184" s="17" t="s">
        <v>62</v>
      </c>
      <c r="BP184" s="17" t="s">
        <v>62</v>
      </c>
      <c r="BQ184" s="17" t="s">
        <v>62</v>
      </c>
      <c r="BR184" s="17" t="s">
        <v>62</v>
      </c>
      <c r="BS184" s="17" t="s">
        <v>62</v>
      </c>
      <c r="BT184" s="17" t="s">
        <v>62</v>
      </c>
      <c r="BU184" s="17" t="s">
        <v>62</v>
      </c>
      <c r="BV184" s="17" t="s">
        <v>62</v>
      </c>
      <c r="BW184" s="17" t="s">
        <v>62</v>
      </c>
      <c r="BX184" s="17" t="s">
        <v>62</v>
      </c>
      <c r="BY184" s="17" t="s">
        <v>62</v>
      </c>
      <c r="BZ184" s="17" t="s">
        <v>62</v>
      </c>
      <c r="CA184" s="17" t="s">
        <v>62</v>
      </c>
      <c r="CB184" s="17" t="s">
        <v>62</v>
      </c>
      <c r="CC184" s="17" t="s">
        <v>62</v>
      </c>
      <c r="CD184" s="17" t="s">
        <v>62</v>
      </c>
      <c r="CE184" s="17" t="s">
        <v>62</v>
      </c>
      <c r="CF184" s="17" t="s">
        <v>62</v>
      </c>
      <c r="CG184" s="15" t="s">
        <v>71</v>
      </c>
      <c r="CH184" s="15">
        <v>1.4580000000000001E-3</v>
      </c>
      <c r="CI184" s="14">
        <v>0</v>
      </c>
      <c r="CJ184" s="79">
        <v>3</v>
      </c>
      <c r="CK184" s="79" t="s">
        <v>224</v>
      </c>
      <c r="CL184" s="79" t="s">
        <v>224</v>
      </c>
      <c r="CM184" s="79">
        <v>487.38592499999999</v>
      </c>
      <c r="CN184" s="79">
        <v>2</v>
      </c>
      <c r="CO184" s="79" t="s">
        <v>224</v>
      </c>
      <c r="CP184" s="79" t="s">
        <v>224</v>
      </c>
      <c r="CQ184" s="79" t="s">
        <v>224</v>
      </c>
      <c r="CR184" s="12" t="str">
        <f>IF(COUNTIF(Incl!A:A,Raw!J184),1, "")</f>
        <v/>
      </c>
    </row>
    <row r="185" spans="1:96" ht="13.5" thickTop="1" thickBot="1" x14ac:dyDescent="0.3">
      <c r="A185" s="18">
        <v>182</v>
      </c>
      <c r="B185" s="19">
        <v>1</v>
      </c>
      <c r="C185" s="20">
        <v>153.58635899999999</v>
      </c>
      <c r="D185" s="19">
        <v>185</v>
      </c>
      <c r="E185" s="19">
        <v>1</v>
      </c>
      <c r="F185" s="19">
        <v>214</v>
      </c>
      <c r="G185" s="21">
        <v>202</v>
      </c>
      <c r="H185" s="19">
        <v>202</v>
      </c>
      <c r="I185" s="19">
        <v>202</v>
      </c>
      <c r="J185" s="19">
        <v>202</v>
      </c>
      <c r="K185" s="20" t="s">
        <v>109</v>
      </c>
      <c r="L185" s="20" t="s">
        <v>120</v>
      </c>
      <c r="M185" s="20" t="s">
        <v>95</v>
      </c>
      <c r="N185" s="22" t="s">
        <v>62</v>
      </c>
      <c r="O185" s="22" t="s">
        <v>62</v>
      </c>
      <c r="P185" s="21">
        <v>8</v>
      </c>
      <c r="Q185" s="22" t="s">
        <v>62</v>
      </c>
      <c r="R185" s="22" t="s">
        <v>62</v>
      </c>
      <c r="S185" s="22" t="s">
        <v>62</v>
      </c>
      <c r="T185" s="19">
        <v>8</v>
      </c>
      <c r="U185" s="21">
        <v>5</v>
      </c>
      <c r="V185" s="21">
        <v>7</v>
      </c>
      <c r="W185" s="21">
        <v>2</v>
      </c>
      <c r="X185" s="21">
        <v>2</v>
      </c>
      <c r="Y185" s="19">
        <v>63</v>
      </c>
      <c r="Z185" s="19">
        <v>88</v>
      </c>
      <c r="AA185" s="19">
        <v>25</v>
      </c>
      <c r="AB185" s="19">
        <v>25</v>
      </c>
      <c r="AC185" s="19">
        <v>1</v>
      </c>
      <c r="AD185" s="19">
        <v>6</v>
      </c>
      <c r="AE185" s="19">
        <v>5</v>
      </c>
      <c r="AF185" s="19">
        <v>3</v>
      </c>
      <c r="AG185" s="21">
        <v>3</v>
      </c>
      <c r="AH185" s="19">
        <v>75</v>
      </c>
      <c r="AI185" s="19">
        <v>63</v>
      </c>
      <c r="AJ185" s="19">
        <v>38</v>
      </c>
      <c r="AK185" s="19">
        <v>38</v>
      </c>
      <c r="AL185" s="19">
        <v>1</v>
      </c>
      <c r="AM185" s="22" t="s">
        <v>62</v>
      </c>
      <c r="AN185" s="22" t="s">
        <v>62</v>
      </c>
      <c r="AO185" s="22" t="s">
        <v>62</v>
      </c>
      <c r="AP185" s="22" t="s">
        <v>62</v>
      </c>
      <c r="AQ185" s="22" t="s">
        <v>62</v>
      </c>
      <c r="AR185" s="22" t="s">
        <v>62</v>
      </c>
      <c r="AS185" s="22" t="s">
        <v>62</v>
      </c>
      <c r="AT185" s="22" t="s">
        <v>62</v>
      </c>
      <c r="AU185" s="22" t="s">
        <v>62</v>
      </c>
      <c r="AV185" s="22" t="s">
        <v>62</v>
      </c>
      <c r="AW185" s="22" t="s">
        <v>62</v>
      </c>
      <c r="AX185" s="22" t="s">
        <v>62</v>
      </c>
      <c r="AY185" s="22" t="s">
        <v>62</v>
      </c>
      <c r="AZ185" s="22" t="s">
        <v>62</v>
      </c>
      <c r="BA185" s="22" t="s">
        <v>62</v>
      </c>
      <c r="BB185" s="22" t="s">
        <v>62</v>
      </c>
      <c r="BC185" s="22" t="s">
        <v>62</v>
      </c>
      <c r="BD185" s="22" t="s">
        <v>62</v>
      </c>
      <c r="BE185" s="22" t="s">
        <v>62</v>
      </c>
      <c r="BF185" s="22" t="s">
        <v>62</v>
      </c>
      <c r="BG185" s="22" t="s">
        <v>62</v>
      </c>
      <c r="BH185" s="22" t="s">
        <v>62</v>
      </c>
      <c r="BI185" s="22" t="s">
        <v>62</v>
      </c>
      <c r="BJ185" s="22" t="s">
        <v>62</v>
      </c>
      <c r="BK185" s="22" t="s">
        <v>62</v>
      </c>
      <c r="BL185" s="22" t="s">
        <v>62</v>
      </c>
      <c r="BM185" s="22" t="s">
        <v>62</v>
      </c>
      <c r="BN185" s="22" t="s">
        <v>62</v>
      </c>
      <c r="BO185" s="22" t="s">
        <v>62</v>
      </c>
      <c r="BP185" s="22" t="s">
        <v>62</v>
      </c>
      <c r="BQ185" s="22" t="s">
        <v>62</v>
      </c>
      <c r="BR185" s="22" t="s">
        <v>62</v>
      </c>
      <c r="BS185" s="22" t="s">
        <v>62</v>
      </c>
      <c r="BT185" s="22" t="s">
        <v>62</v>
      </c>
      <c r="BU185" s="22" t="s">
        <v>62</v>
      </c>
      <c r="BV185" s="22" t="s">
        <v>62</v>
      </c>
      <c r="BW185" s="22" t="s">
        <v>62</v>
      </c>
      <c r="BX185" s="22" t="s">
        <v>62</v>
      </c>
      <c r="BY185" s="22" t="s">
        <v>62</v>
      </c>
      <c r="BZ185" s="22" t="s">
        <v>62</v>
      </c>
      <c r="CA185" s="22" t="s">
        <v>62</v>
      </c>
      <c r="CB185" s="22" t="s">
        <v>62</v>
      </c>
      <c r="CC185" s="22" t="s">
        <v>62</v>
      </c>
      <c r="CD185" s="22" t="s">
        <v>62</v>
      </c>
      <c r="CE185" s="22" t="s">
        <v>62</v>
      </c>
      <c r="CF185" s="22" t="s">
        <v>62</v>
      </c>
      <c r="CG185" s="20" t="s">
        <v>64</v>
      </c>
      <c r="CH185" s="20">
        <v>4.7199999999999998E-4</v>
      </c>
      <c r="CI185" s="19">
        <v>2</v>
      </c>
      <c r="CJ185" s="78">
        <v>3</v>
      </c>
      <c r="CK185" s="78" t="s">
        <v>224</v>
      </c>
      <c r="CL185" s="78" t="s">
        <v>224</v>
      </c>
      <c r="CM185" s="78">
        <v>153.586342</v>
      </c>
      <c r="CN185" s="78">
        <v>2</v>
      </c>
      <c r="CO185" s="78" t="s">
        <v>224</v>
      </c>
      <c r="CP185" s="78" t="s">
        <v>224</v>
      </c>
      <c r="CQ185" s="78" t="s">
        <v>224</v>
      </c>
      <c r="CR185" s="12" t="str">
        <f>IF(COUNTIF(Incl!A:A,Raw!J185),1, "")</f>
        <v/>
      </c>
    </row>
    <row r="186" spans="1:96" ht="13.5" thickTop="1" thickBot="1" x14ac:dyDescent="0.3">
      <c r="A186" s="13">
        <v>183</v>
      </c>
      <c r="B186" s="14">
        <v>1</v>
      </c>
      <c r="C186" s="15">
        <v>182.77064300000001</v>
      </c>
      <c r="D186" s="14">
        <v>186</v>
      </c>
      <c r="E186" s="14">
        <v>1</v>
      </c>
      <c r="F186" s="14">
        <v>215</v>
      </c>
      <c r="G186" s="16">
        <v>200</v>
      </c>
      <c r="H186" s="14">
        <v>200</v>
      </c>
      <c r="I186" s="14">
        <v>200</v>
      </c>
      <c r="J186" s="14">
        <v>200</v>
      </c>
      <c r="K186" s="15" t="s">
        <v>109</v>
      </c>
      <c r="L186" s="15" t="s">
        <v>120</v>
      </c>
      <c r="M186" s="15" t="s">
        <v>98</v>
      </c>
      <c r="N186" s="17" t="s">
        <v>62</v>
      </c>
      <c r="O186" s="17" t="s">
        <v>62</v>
      </c>
      <c r="P186" s="16">
        <v>9</v>
      </c>
      <c r="Q186" s="17" t="s">
        <v>62</v>
      </c>
      <c r="R186" s="17" t="s">
        <v>62</v>
      </c>
      <c r="S186" s="17" t="s">
        <v>62</v>
      </c>
      <c r="T186" s="14">
        <v>9</v>
      </c>
      <c r="U186" s="16">
        <v>2</v>
      </c>
      <c r="V186" s="16">
        <v>1</v>
      </c>
      <c r="W186" s="16" t="s">
        <v>62</v>
      </c>
      <c r="X186" s="16">
        <v>1</v>
      </c>
      <c r="Y186" s="14">
        <v>23</v>
      </c>
      <c r="Z186" s="14">
        <v>11</v>
      </c>
      <c r="AA186" s="14">
        <v>0</v>
      </c>
      <c r="AB186" s="14">
        <v>11</v>
      </c>
      <c r="AC186" s="14">
        <v>0</v>
      </c>
      <c r="AD186" s="14">
        <v>2</v>
      </c>
      <c r="AE186" s="14">
        <v>0</v>
      </c>
      <c r="AF186" s="14">
        <v>3</v>
      </c>
      <c r="AG186" s="16">
        <v>3</v>
      </c>
      <c r="AH186" s="14">
        <v>23</v>
      </c>
      <c r="AI186" s="14">
        <v>0</v>
      </c>
      <c r="AJ186" s="14">
        <v>34</v>
      </c>
      <c r="AK186" s="14">
        <v>34</v>
      </c>
      <c r="AL186" s="14">
        <v>0</v>
      </c>
      <c r="AM186" s="17" t="s">
        <v>62</v>
      </c>
      <c r="AN186" s="17" t="s">
        <v>62</v>
      </c>
      <c r="AO186" s="17" t="s">
        <v>62</v>
      </c>
      <c r="AP186" s="17" t="s">
        <v>62</v>
      </c>
      <c r="AQ186" s="17" t="s">
        <v>62</v>
      </c>
      <c r="AR186" s="17" t="s">
        <v>62</v>
      </c>
      <c r="AS186" s="17" t="s">
        <v>62</v>
      </c>
      <c r="AT186" s="17" t="s">
        <v>62</v>
      </c>
      <c r="AU186" s="17" t="s">
        <v>62</v>
      </c>
      <c r="AV186" s="17" t="s">
        <v>62</v>
      </c>
      <c r="AW186" s="17" t="s">
        <v>62</v>
      </c>
      <c r="AX186" s="17" t="s">
        <v>62</v>
      </c>
      <c r="AY186" s="17" t="s">
        <v>62</v>
      </c>
      <c r="AZ186" s="17" t="s">
        <v>62</v>
      </c>
      <c r="BA186" s="17" t="s">
        <v>62</v>
      </c>
      <c r="BB186" s="17" t="s">
        <v>62</v>
      </c>
      <c r="BC186" s="17" t="s">
        <v>62</v>
      </c>
      <c r="BD186" s="17" t="s">
        <v>62</v>
      </c>
      <c r="BE186" s="17" t="s">
        <v>62</v>
      </c>
      <c r="BF186" s="17" t="s">
        <v>62</v>
      </c>
      <c r="BG186" s="17" t="s">
        <v>62</v>
      </c>
      <c r="BH186" s="17" t="s">
        <v>62</v>
      </c>
      <c r="BI186" s="17" t="s">
        <v>62</v>
      </c>
      <c r="BJ186" s="17" t="s">
        <v>62</v>
      </c>
      <c r="BK186" s="17" t="s">
        <v>62</v>
      </c>
      <c r="BL186" s="17" t="s">
        <v>62</v>
      </c>
      <c r="BM186" s="17" t="s">
        <v>62</v>
      </c>
      <c r="BN186" s="17" t="s">
        <v>62</v>
      </c>
      <c r="BO186" s="17" t="s">
        <v>62</v>
      </c>
      <c r="BP186" s="17" t="s">
        <v>62</v>
      </c>
      <c r="BQ186" s="17" t="s">
        <v>62</v>
      </c>
      <c r="BR186" s="17" t="s">
        <v>62</v>
      </c>
      <c r="BS186" s="17" t="s">
        <v>62</v>
      </c>
      <c r="BT186" s="17" t="s">
        <v>62</v>
      </c>
      <c r="BU186" s="17" t="s">
        <v>62</v>
      </c>
      <c r="BV186" s="17" t="s">
        <v>62</v>
      </c>
      <c r="BW186" s="17" t="s">
        <v>62</v>
      </c>
      <c r="BX186" s="17" t="s">
        <v>62</v>
      </c>
      <c r="BY186" s="17" t="s">
        <v>62</v>
      </c>
      <c r="BZ186" s="17" t="s">
        <v>62</v>
      </c>
      <c r="CA186" s="17" t="s">
        <v>62</v>
      </c>
      <c r="CB186" s="17" t="s">
        <v>62</v>
      </c>
      <c r="CC186" s="17" t="s">
        <v>62</v>
      </c>
      <c r="CD186" s="17" t="s">
        <v>62</v>
      </c>
      <c r="CE186" s="17" t="s">
        <v>62</v>
      </c>
      <c r="CF186" s="17" t="s">
        <v>62</v>
      </c>
      <c r="CG186" s="15" t="s">
        <v>64</v>
      </c>
      <c r="CH186" s="15">
        <v>5.3799999999999996E-4</v>
      </c>
      <c r="CI186" s="14">
        <v>0</v>
      </c>
      <c r="CJ186" s="79">
        <v>3</v>
      </c>
      <c r="CK186" s="79" t="s">
        <v>224</v>
      </c>
      <c r="CL186" s="79" t="s">
        <v>224</v>
      </c>
      <c r="CM186" s="79">
        <v>182.770734</v>
      </c>
      <c r="CN186" s="79">
        <v>2</v>
      </c>
      <c r="CO186" s="79" t="s">
        <v>224</v>
      </c>
      <c r="CP186" s="79" t="s">
        <v>224</v>
      </c>
      <c r="CQ186" s="79" t="s">
        <v>224</v>
      </c>
      <c r="CR186" s="12" t="str">
        <f>IF(COUNTIF(Incl!A:A,Raw!J186),1, "")</f>
        <v/>
      </c>
    </row>
    <row r="187" spans="1:96" ht="13.5" thickTop="1" thickBot="1" x14ac:dyDescent="0.3">
      <c r="A187" s="18">
        <v>184</v>
      </c>
      <c r="B187" s="19">
        <v>1</v>
      </c>
      <c r="C187" s="20">
        <v>217.48181199999999</v>
      </c>
      <c r="D187" s="19">
        <v>187</v>
      </c>
      <c r="E187" s="19">
        <v>1</v>
      </c>
      <c r="F187" s="19">
        <v>216</v>
      </c>
      <c r="G187" s="21">
        <v>201</v>
      </c>
      <c r="H187" s="19">
        <v>201</v>
      </c>
      <c r="I187" s="19">
        <v>201</v>
      </c>
      <c r="J187" s="19">
        <v>201</v>
      </c>
      <c r="K187" s="20" t="s">
        <v>109</v>
      </c>
      <c r="L187" s="20" t="s">
        <v>98</v>
      </c>
      <c r="M187" s="20" t="s">
        <v>120</v>
      </c>
      <c r="N187" s="22" t="s">
        <v>62</v>
      </c>
      <c r="O187" s="22" t="s">
        <v>62</v>
      </c>
      <c r="P187" s="21">
        <v>10</v>
      </c>
      <c r="Q187" s="22" t="s">
        <v>62</v>
      </c>
      <c r="R187" s="22" t="s">
        <v>62</v>
      </c>
      <c r="S187" s="22" t="s">
        <v>62</v>
      </c>
      <c r="T187" s="19">
        <v>10</v>
      </c>
      <c r="U187" s="21">
        <v>1</v>
      </c>
      <c r="V187" s="21">
        <v>3</v>
      </c>
      <c r="W187" s="21">
        <v>1</v>
      </c>
      <c r="X187" s="21">
        <v>2</v>
      </c>
      <c r="Y187" s="19">
        <v>10</v>
      </c>
      <c r="Z187" s="19">
        <v>30</v>
      </c>
      <c r="AA187" s="19">
        <v>10</v>
      </c>
      <c r="AB187" s="19">
        <v>20</v>
      </c>
      <c r="AC187" s="19">
        <v>0</v>
      </c>
      <c r="AD187" s="19">
        <v>2</v>
      </c>
      <c r="AE187" s="19">
        <v>1</v>
      </c>
      <c r="AF187" s="19">
        <v>1</v>
      </c>
      <c r="AG187" s="21">
        <v>5</v>
      </c>
      <c r="AH187" s="19">
        <v>20</v>
      </c>
      <c r="AI187" s="19">
        <v>10</v>
      </c>
      <c r="AJ187" s="19">
        <v>10</v>
      </c>
      <c r="AK187" s="19">
        <v>51</v>
      </c>
      <c r="AL187" s="19">
        <v>0</v>
      </c>
      <c r="AM187" s="22" t="s">
        <v>62</v>
      </c>
      <c r="AN187" s="22" t="s">
        <v>62</v>
      </c>
      <c r="AO187" s="22" t="s">
        <v>62</v>
      </c>
      <c r="AP187" s="22" t="s">
        <v>62</v>
      </c>
      <c r="AQ187" s="22" t="s">
        <v>62</v>
      </c>
      <c r="AR187" s="22" t="s">
        <v>62</v>
      </c>
      <c r="AS187" s="22" t="s">
        <v>62</v>
      </c>
      <c r="AT187" s="22" t="s">
        <v>62</v>
      </c>
      <c r="AU187" s="22" t="s">
        <v>62</v>
      </c>
      <c r="AV187" s="22" t="s">
        <v>62</v>
      </c>
      <c r="AW187" s="22" t="s">
        <v>62</v>
      </c>
      <c r="AX187" s="22" t="s">
        <v>62</v>
      </c>
      <c r="AY187" s="22" t="s">
        <v>62</v>
      </c>
      <c r="AZ187" s="22" t="s">
        <v>62</v>
      </c>
      <c r="BA187" s="22" t="s">
        <v>62</v>
      </c>
      <c r="BB187" s="22" t="s">
        <v>62</v>
      </c>
      <c r="BC187" s="22" t="s">
        <v>62</v>
      </c>
      <c r="BD187" s="22" t="s">
        <v>62</v>
      </c>
      <c r="BE187" s="22" t="s">
        <v>62</v>
      </c>
      <c r="BF187" s="22" t="s">
        <v>62</v>
      </c>
      <c r="BG187" s="22" t="s">
        <v>62</v>
      </c>
      <c r="BH187" s="22" t="s">
        <v>62</v>
      </c>
      <c r="BI187" s="22" t="s">
        <v>62</v>
      </c>
      <c r="BJ187" s="22" t="s">
        <v>62</v>
      </c>
      <c r="BK187" s="22" t="s">
        <v>62</v>
      </c>
      <c r="BL187" s="22" t="s">
        <v>62</v>
      </c>
      <c r="BM187" s="22" t="s">
        <v>62</v>
      </c>
      <c r="BN187" s="22" t="s">
        <v>62</v>
      </c>
      <c r="BO187" s="22" t="s">
        <v>62</v>
      </c>
      <c r="BP187" s="22" t="s">
        <v>62</v>
      </c>
      <c r="BQ187" s="22" t="s">
        <v>62</v>
      </c>
      <c r="BR187" s="22" t="s">
        <v>62</v>
      </c>
      <c r="BS187" s="22" t="s">
        <v>62</v>
      </c>
      <c r="BT187" s="22" t="s">
        <v>62</v>
      </c>
      <c r="BU187" s="22" t="s">
        <v>62</v>
      </c>
      <c r="BV187" s="22" t="s">
        <v>62</v>
      </c>
      <c r="BW187" s="22" t="s">
        <v>62</v>
      </c>
      <c r="BX187" s="22" t="s">
        <v>62</v>
      </c>
      <c r="BY187" s="22" t="s">
        <v>62</v>
      </c>
      <c r="BZ187" s="22" t="s">
        <v>62</v>
      </c>
      <c r="CA187" s="22" t="s">
        <v>62</v>
      </c>
      <c r="CB187" s="22" t="s">
        <v>62</v>
      </c>
      <c r="CC187" s="22" t="s">
        <v>62</v>
      </c>
      <c r="CD187" s="22" t="s">
        <v>62</v>
      </c>
      <c r="CE187" s="22" t="s">
        <v>62</v>
      </c>
      <c r="CF187" s="22" t="s">
        <v>62</v>
      </c>
      <c r="CG187" s="20" t="s">
        <v>66</v>
      </c>
      <c r="CH187" s="20">
        <v>6.38E-4</v>
      </c>
      <c r="CI187" s="19">
        <v>0</v>
      </c>
      <c r="CJ187" s="78">
        <v>3</v>
      </c>
      <c r="CK187" s="78" t="s">
        <v>224</v>
      </c>
      <c r="CL187" s="78" t="s">
        <v>224</v>
      </c>
      <c r="CM187" s="78">
        <v>217.48177999999999</v>
      </c>
      <c r="CN187" s="78">
        <v>2</v>
      </c>
      <c r="CO187" s="78" t="s">
        <v>224</v>
      </c>
      <c r="CP187" s="78" t="s">
        <v>224</v>
      </c>
      <c r="CQ187" s="78" t="s">
        <v>224</v>
      </c>
      <c r="CR187" s="12" t="str">
        <f>IF(COUNTIF(Incl!A:A,Raw!J187),1, "")</f>
        <v/>
      </c>
    </row>
    <row r="188" spans="1:96" ht="13.5" thickTop="1" thickBot="1" x14ac:dyDescent="0.3">
      <c r="A188" s="13">
        <v>185</v>
      </c>
      <c r="B188" s="14">
        <v>1</v>
      </c>
      <c r="C188" s="15">
        <v>205.87532899999999</v>
      </c>
      <c r="D188" s="14">
        <v>188</v>
      </c>
      <c r="E188" s="14">
        <v>1</v>
      </c>
      <c r="F188" s="14">
        <v>217</v>
      </c>
      <c r="G188" s="16">
        <v>203</v>
      </c>
      <c r="H188" s="14">
        <v>203</v>
      </c>
      <c r="I188" s="14">
        <v>203</v>
      </c>
      <c r="J188" s="14">
        <v>203</v>
      </c>
      <c r="K188" s="15" t="s">
        <v>109</v>
      </c>
      <c r="L188" s="15" t="s">
        <v>120</v>
      </c>
      <c r="M188" s="15" t="s">
        <v>95</v>
      </c>
      <c r="N188" s="17" t="s">
        <v>62</v>
      </c>
      <c r="O188" s="17" t="s">
        <v>62</v>
      </c>
      <c r="P188" s="16">
        <v>9</v>
      </c>
      <c r="Q188" s="17" t="s">
        <v>62</v>
      </c>
      <c r="R188" s="17" t="s">
        <v>62</v>
      </c>
      <c r="S188" s="17" t="s">
        <v>62</v>
      </c>
      <c r="T188" s="14">
        <v>9</v>
      </c>
      <c r="U188" s="16">
        <v>6</v>
      </c>
      <c r="V188" s="16">
        <v>2</v>
      </c>
      <c r="W188" s="16">
        <v>2</v>
      </c>
      <c r="X188" s="16">
        <v>1</v>
      </c>
      <c r="Y188" s="14">
        <v>65</v>
      </c>
      <c r="Z188" s="14">
        <v>22</v>
      </c>
      <c r="AA188" s="14">
        <v>22</v>
      </c>
      <c r="AB188" s="14">
        <v>11</v>
      </c>
      <c r="AC188" s="14">
        <v>0</v>
      </c>
      <c r="AD188" s="14">
        <v>6</v>
      </c>
      <c r="AE188" s="14">
        <v>5</v>
      </c>
      <c r="AF188" s="14">
        <v>1</v>
      </c>
      <c r="AG188" s="16">
        <v>2</v>
      </c>
      <c r="AH188" s="14">
        <v>65</v>
      </c>
      <c r="AI188" s="14">
        <v>54</v>
      </c>
      <c r="AJ188" s="14">
        <v>11</v>
      </c>
      <c r="AK188" s="14">
        <v>22</v>
      </c>
      <c r="AL188" s="14">
        <v>0</v>
      </c>
      <c r="AM188" s="17" t="s">
        <v>62</v>
      </c>
      <c r="AN188" s="17" t="s">
        <v>62</v>
      </c>
      <c r="AO188" s="17" t="s">
        <v>62</v>
      </c>
      <c r="AP188" s="17" t="s">
        <v>62</v>
      </c>
      <c r="AQ188" s="17" t="s">
        <v>62</v>
      </c>
      <c r="AR188" s="17" t="s">
        <v>62</v>
      </c>
      <c r="AS188" s="17" t="s">
        <v>62</v>
      </c>
      <c r="AT188" s="17" t="s">
        <v>62</v>
      </c>
      <c r="AU188" s="17" t="s">
        <v>62</v>
      </c>
      <c r="AV188" s="17" t="s">
        <v>62</v>
      </c>
      <c r="AW188" s="17" t="s">
        <v>62</v>
      </c>
      <c r="AX188" s="17" t="s">
        <v>62</v>
      </c>
      <c r="AY188" s="17" t="s">
        <v>62</v>
      </c>
      <c r="AZ188" s="17" t="s">
        <v>62</v>
      </c>
      <c r="BA188" s="17" t="s">
        <v>62</v>
      </c>
      <c r="BB188" s="17" t="s">
        <v>62</v>
      </c>
      <c r="BC188" s="17" t="s">
        <v>62</v>
      </c>
      <c r="BD188" s="17" t="s">
        <v>62</v>
      </c>
      <c r="BE188" s="17" t="s">
        <v>62</v>
      </c>
      <c r="BF188" s="17" t="s">
        <v>62</v>
      </c>
      <c r="BG188" s="17" t="s">
        <v>62</v>
      </c>
      <c r="BH188" s="17" t="s">
        <v>62</v>
      </c>
      <c r="BI188" s="17" t="s">
        <v>62</v>
      </c>
      <c r="BJ188" s="17" t="s">
        <v>62</v>
      </c>
      <c r="BK188" s="17" t="s">
        <v>62</v>
      </c>
      <c r="BL188" s="17" t="s">
        <v>62</v>
      </c>
      <c r="BM188" s="17" t="s">
        <v>62</v>
      </c>
      <c r="BN188" s="17" t="s">
        <v>62</v>
      </c>
      <c r="BO188" s="17" t="s">
        <v>62</v>
      </c>
      <c r="BP188" s="17" t="s">
        <v>62</v>
      </c>
      <c r="BQ188" s="17" t="s">
        <v>62</v>
      </c>
      <c r="BR188" s="17" t="s">
        <v>62</v>
      </c>
      <c r="BS188" s="17" t="s">
        <v>62</v>
      </c>
      <c r="BT188" s="17" t="s">
        <v>62</v>
      </c>
      <c r="BU188" s="17" t="s">
        <v>62</v>
      </c>
      <c r="BV188" s="17" t="s">
        <v>62</v>
      </c>
      <c r="BW188" s="17" t="s">
        <v>62</v>
      </c>
      <c r="BX188" s="17" t="s">
        <v>62</v>
      </c>
      <c r="BY188" s="17" t="s">
        <v>62</v>
      </c>
      <c r="BZ188" s="17" t="s">
        <v>62</v>
      </c>
      <c r="CA188" s="17" t="s">
        <v>62</v>
      </c>
      <c r="CB188" s="17" t="s">
        <v>62</v>
      </c>
      <c r="CC188" s="17" t="s">
        <v>62</v>
      </c>
      <c r="CD188" s="17" t="s">
        <v>62</v>
      </c>
      <c r="CE188" s="17" t="s">
        <v>62</v>
      </c>
      <c r="CF188" s="17" t="s">
        <v>62</v>
      </c>
      <c r="CG188" s="15" t="s">
        <v>66</v>
      </c>
      <c r="CH188" s="15">
        <v>6.2600000000000004E-4</v>
      </c>
      <c r="CI188" s="14">
        <v>0</v>
      </c>
      <c r="CJ188" s="79">
        <v>3</v>
      </c>
      <c r="CK188" s="79" t="s">
        <v>224</v>
      </c>
      <c r="CL188" s="79" t="s">
        <v>224</v>
      </c>
      <c r="CM188" s="79">
        <v>205.875317</v>
      </c>
      <c r="CN188" s="79">
        <v>2</v>
      </c>
      <c r="CO188" s="79" t="s">
        <v>224</v>
      </c>
      <c r="CP188" s="79" t="s">
        <v>224</v>
      </c>
      <c r="CQ188" s="79" t="s">
        <v>224</v>
      </c>
      <c r="CR188" s="12" t="str">
        <f>IF(COUNTIF(Incl!A:A,Raw!J188),1, "")</f>
        <v/>
      </c>
    </row>
    <row r="189" spans="1:96" ht="13.5" thickTop="1" thickBot="1" x14ac:dyDescent="0.3">
      <c r="A189" s="13">
        <v>186</v>
      </c>
      <c r="B189" s="14">
        <v>1</v>
      </c>
      <c r="C189" s="15">
        <v>461.509772</v>
      </c>
      <c r="D189" s="14">
        <v>189</v>
      </c>
      <c r="E189" s="14">
        <v>1</v>
      </c>
      <c r="F189" s="14">
        <v>218</v>
      </c>
      <c r="G189" s="16">
        <v>6</v>
      </c>
      <c r="H189" s="14">
        <v>6</v>
      </c>
      <c r="I189" s="14">
        <v>6</v>
      </c>
      <c r="J189" s="14">
        <v>6</v>
      </c>
      <c r="K189" s="15" t="s">
        <v>98</v>
      </c>
      <c r="L189" s="15" t="s">
        <v>109</v>
      </c>
      <c r="M189" s="15" t="s">
        <v>78</v>
      </c>
      <c r="N189" s="17" t="s">
        <v>62</v>
      </c>
      <c r="O189" s="17" t="s">
        <v>62</v>
      </c>
      <c r="P189" s="16">
        <v>19</v>
      </c>
      <c r="Q189" s="17" t="s">
        <v>62</v>
      </c>
      <c r="R189" s="17" t="s">
        <v>62</v>
      </c>
      <c r="S189" s="17" t="s">
        <v>62</v>
      </c>
      <c r="T189" s="14">
        <v>19</v>
      </c>
      <c r="U189" s="16">
        <v>9</v>
      </c>
      <c r="V189" s="16">
        <v>11</v>
      </c>
      <c r="W189" s="16">
        <v>12</v>
      </c>
      <c r="X189" s="16">
        <v>11</v>
      </c>
      <c r="Y189" s="14">
        <v>49</v>
      </c>
      <c r="Z189" s="14">
        <v>59</v>
      </c>
      <c r="AA189" s="14">
        <v>65</v>
      </c>
      <c r="AB189" s="14">
        <v>59</v>
      </c>
      <c r="AC189" s="14">
        <v>0</v>
      </c>
      <c r="AD189" s="14">
        <v>7</v>
      </c>
      <c r="AE189" s="14">
        <v>9</v>
      </c>
      <c r="AF189" s="14">
        <v>9</v>
      </c>
      <c r="AG189" s="16">
        <v>12</v>
      </c>
      <c r="AH189" s="14">
        <v>38</v>
      </c>
      <c r="AI189" s="14">
        <v>49</v>
      </c>
      <c r="AJ189" s="14">
        <v>49</v>
      </c>
      <c r="AK189" s="14">
        <v>65</v>
      </c>
      <c r="AL189" s="14">
        <v>0</v>
      </c>
      <c r="AM189" s="17" t="s">
        <v>62</v>
      </c>
      <c r="AN189" s="17" t="s">
        <v>62</v>
      </c>
      <c r="AO189" s="17" t="s">
        <v>62</v>
      </c>
      <c r="AP189" s="17" t="s">
        <v>62</v>
      </c>
      <c r="AQ189" s="17" t="s">
        <v>62</v>
      </c>
      <c r="AR189" s="17" t="s">
        <v>62</v>
      </c>
      <c r="AS189" s="17" t="s">
        <v>62</v>
      </c>
      <c r="AT189" s="17" t="s">
        <v>62</v>
      </c>
      <c r="AU189" s="17" t="s">
        <v>62</v>
      </c>
      <c r="AV189" s="17" t="s">
        <v>62</v>
      </c>
      <c r="AW189" s="17" t="s">
        <v>62</v>
      </c>
      <c r="AX189" s="17" t="s">
        <v>62</v>
      </c>
      <c r="AY189" s="17" t="s">
        <v>62</v>
      </c>
      <c r="AZ189" s="17" t="s">
        <v>62</v>
      </c>
      <c r="BA189" s="17" t="s">
        <v>62</v>
      </c>
      <c r="BB189" s="17" t="s">
        <v>62</v>
      </c>
      <c r="BC189" s="17" t="s">
        <v>62</v>
      </c>
      <c r="BD189" s="17" t="s">
        <v>62</v>
      </c>
      <c r="BE189" s="17" t="s">
        <v>62</v>
      </c>
      <c r="BF189" s="17" t="s">
        <v>62</v>
      </c>
      <c r="BG189" s="17" t="s">
        <v>62</v>
      </c>
      <c r="BH189" s="17" t="s">
        <v>62</v>
      </c>
      <c r="BI189" s="17" t="s">
        <v>62</v>
      </c>
      <c r="BJ189" s="17" t="s">
        <v>62</v>
      </c>
      <c r="BK189" s="17" t="s">
        <v>62</v>
      </c>
      <c r="BL189" s="17" t="s">
        <v>62</v>
      </c>
      <c r="BM189" s="17" t="s">
        <v>62</v>
      </c>
      <c r="BN189" s="17" t="s">
        <v>62</v>
      </c>
      <c r="BO189" s="17" t="s">
        <v>62</v>
      </c>
      <c r="BP189" s="17" t="s">
        <v>62</v>
      </c>
      <c r="BQ189" s="17" t="s">
        <v>62</v>
      </c>
      <c r="BR189" s="17" t="s">
        <v>62</v>
      </c>
      <c r="BS189" s="17" t="s">
        <v>62</v>
      </c>
      <c r="BT189" s="17" t="s">
        <v>62</v>
      </c>
      <c r="BU189" s="17" t="s">
        <v>62</v>
      </c>
      <c r="BV189" s="17" t="s">
        <v>62</v>
      </c>
      <c r="BW189" s="17" t="s">
        <v>62</v>
      </c>
      <c r="BX189" s="17" t="s">
        <v>62</v>
      </c>
      <c r="BY189" s="17" t="s">
        <v>62</v>
      </c>
      <c r="BZ189" s="17" t="s">
        <v>62</v>
      </c>
      <c r="CA189" s="17" t="s">
        <v>62</v>
      </c>
      <c r="CB189" s="17" t="s">
        <v>62</v>
      </c>
      <c r="CC189" s="17" t="s">
        <v>62</v>
      </c>
      <c r="CD189" s="17" t="s">
        <v>62</v>
      </c>
      <c r="CE189" s="17" t="s">
        <v>62</v>
      </c>
      <c r="CF189" s="17" t="s">
        <v>62</v>
      </c>
      <c r="CG189" s="15" t="s">
        <v>71</v>
      </c>
      <c r="CH189" s="15">
        <v>1.39E-3</v>
      </c>
      <c r="CI189" s="14">
        <v>0</v>
      </c>
      <c r="CJ189" s="79">
        <v>3</v>
      </c>
      <c r="CK189" s="79" t="s">
        <v>224</v>
      </c>
      <c r="CL189" s="79" t="s">
        <v>224</v>
      </c>
      <c r="CM189" s="79">
        <v>461.50976300000002</v>
      </c>
      <c r="CN189" s="79">
        <v>2</v>
      </c>
      <c r="CO189" s="79" t="s">
        <v>224</v>
      </c>
      <c r="CP189" s="79" t="s">
        <v>224</v>
      </c>
      <c r="CQ189" s="79" t="s">
        <v>224</v>
      </c>
      <c r="CR189" s="12" t="str">
        <f>IF(COUNTIF(Incl!A:A,Raw!J189),1, "")</f>
        <v/>
      </c>
    </row>
    <row r="190" spans="1:96" ht="13.5" thickTop="1" thickBot="1" x14ac:dyDescent="0.3">
      <c r="A190" s="18">
        <v>187</v>
      </c>
      <c r="B190" s="19">
        <v>1</v>
      </c>
      <c r="C190" s="20">
        <v>469.50427200000001</v>
      </c>
      <c r="D190" s="19">
        <v>190</v>
      </c>
      <c r="E190" s="19">
        <v>1</v>
      </c>
      <c r="F190" s="19">
        <v>219</v>
      </c>
      <c r="G190" s="21">
        <v>7</v>
      </c>
      <c r="H190" s="19">
        <v>7</v>
      </c>
      <c r="I190" s="19">
        <v>7</v>
      </c>
      <c r="J190" s="19">
        <v>7</v>
      </c>
      <c r="K190" s="20" t="s">
        <v>98</v>
      </c>
      <c r="L190" s="20" t="s">
        <v>78</v>
      </c>
      <c r="M190" s="20" t="s">
        <v>109</v>
      </c>
      <c r="N190" s="22" t="s">
        <v>62</v>
      </c>
      <c r="O190" s="22" t="s">
        <v>62</v>
      </c>
      <c r="P190" s="21">
        <v>19</v>
      </c>
      <c r="Q190" s="22" t="s">
        <v>62</v>
      </c>
      <c r="R190" s="22" t="s">
        <v>62</v>
      </c>
      <c r="S190" s="22" t="s">
        <v>62</v>
      </c>
      <c r="T190" s="19">
        <v>19</v>
      </c>
      <c r="U190" s="21">
        <v>9</v>
      </c>
      <c r="V190" s="21">
        <v>10</v>
      </c>
      <c r="W190" s="21">
        <v>9</v>
      </c>
      <c r="X190" s="21">
        <v>11</v>
      </c>
      <c r="Y190" s="19">
        <v>48</v>
      </c>
      <c r="Z190" s="19">
        <v>53</v>
      </c>
      <c r="AA190" s="19">
        <v>48</v>
      </c>
      <c r="AB190" s="19">
        <v>59</v>
      </c>
      <c r="AC190" s="19">
        <v>0</v>
      </c>
      <c r="AD190" s="19">
        <v>4</v>
      </c>
      <c r="AE190" s="19">
        <v>6</v>
      </c>
      <c r="AF190" s="19">
        <v>9</v>
      </c>
      <c r="AG190" s="21">
        <v>8</v>
      </c>
      <c r="AH190" s="19">
        <v>21</v>
      </c>
      <c r="AI190" s="19">
        <v>32</v>
      </c>
      <c r="AJ190" s="19">
        <v>48</v>
      </c>
      <c r="AK190" s="19">
        <v>43</v>
      </c>
      <c r="AL190" s="19">
        <v>0</v>
      </c>
      <c r="AM190" s="22" t="s">
        <v>62</v>
      </c>
      <c r="AN190" s="22" t="s">
        <v>62</v>
      </c>
      <c r="AO190" s="22" t="s">
        <v>62</v>
      </c>
      <c r="AP190" s="22" t="s">
        <v>62</v>
      </c>
      <c r="AQ190" s="22" t="s">
        <v>62</v>
      </c>
      <c r="AR190" s="22" t="s">
        <v>62</v>
      </c>
      <c r="AS190" s="22" t="s">
        <v>62</v>
      </c>
      <c r="AT190" s="22" t="s">
        <v>62</v>
      </c>
      <c r="AU190" s="22" t="s">
        <v>62</v>
      </c>
      <c r="AV190" s="22" t="s">
        <v>62</v>
      </c>
      <c r="AW190" s="22" t="s">
        <v>62</v>
      </c>
      <c r="AX190" s="22" t="s">
        <v>62</v>
      </c>
      <c r="AY190" s="22" t="s">
        <v>62</v>
      </c>
      <c r="AZ190" s="22" t="s">
        <v>62</v>
      </c>
      <c r="BA190" s="22" t="s">
        <v>62</v>
      </c>
      <c r="BB190" s="22" t="s">
        <v>62</v>
      </c>
      <c r="BC190" s="22" t="s">
        <v>62</v>
      </c>
      <c r="BD190" s="22" t="s">
        <v>62</v>
      </c>
      <c r="BE190" s="22" t="s">
        <v>62</v>
      </c>
      <c r="BF190" s="22" t="s">
        <v>62</v>
      </c>
      <c r="BG190" s="22" t="s">
        <v>62</v>
      </c>
      <c r="BH190" s="22" t="s">
        <v>62</v>
      </c>
      <c r="BI190" s="22" t="s">
        <v>62</v>
      </c>
      <c r="BJ190" s="22" t="s">
        <v>62</v>
      </c>
      <c r="BK190" s="22" t="s">
        <v>62</v>
      </c>
      <c r="BL190" s="22" t="s">
        <v>62</v>
      </c>
      <c r="BM190" s="22" t="s">
        <v>62</v>
      </c>
      <c r="BN190" s="22" t="s">
        <v>62</v>
      </c>
      <c r="BO190" s="22" t="s">
        <v>62</v>
      </c>
      <c r="BP190" s="22" t="s">
        <v>62</v>
      </c>
      <c r="BQ190" s="22" t="s">
        <v>62</v>
      </c>
      <c r="BR190" s="22" t="s">
        <v>62</v>
      </c>
      <c r="BS190" s="22" t="s">
        <v>62</v>
      </c>
      <c r="BT190" s="22" t="s">
        <v>62</v>
      </c>
      <c r="BU190" s="22" t="s">
        <v>62</v>
      </c>
      <c r="BV190" s="22" t="s">
        <v>62</v>
      </c>
      <c r="BW190" s="22" t="s">
        <v>62</v>
      </c>
      <c r="BX190" s="22" t="s">
        <v>62</v>
      </c>
      <c r="BY190" s="22" t="s">
        <v>62</v>
      </c>
      <c r="BZ190" s="22" t="s">
        <v>62</v>
      </c>
      <c r="CA190" s="22" t="s">
        <v>62</v>
      </c>
      <c r="CB190" s="22" t="s">
        <v>62</v>
      </c>
      <c r="CC190" s="22" t="s">
        <v>62</v>
      </c>
      <c r="CD190" s="22" t="s">
        <v>62</v>
      </c>
      <c r="CE190" s="22" t="s">
        <v>62</v>
      </c>
      <c r="CF190" s="22" t="s">
        <v>62</v>
      </c>
      <c r="CG190" s="20" t="s">
        <v>74</v>
      </c>
      <c r="CH190" s="20">
        <v>1.405E-3</v>
      </c>
      <c r="CI190" s="19">
        <v>0</v>
      </c>
      <c r="CJ190" s="78">
        <v>3</v>
      </c>
      <c r="CK190" s="78" t="s">
        <v>224</v>
      </c>
      <c r="CL190" s="78" t="s">
        <v>224</v>
      </c>
      <c r="CM190" s="78">
        <v>469.504367</v>
      </c>
      <c r="CN190" s="78">
        <v>2</v>
      </c>
      <c r="CO190" s="78" t="s">
        <v>224</v>
      </c>
      <c r="CP190" s="78" t="s">
        <v>224</v>
      </c>
      <c r="CQ190" s="78" t="s">
        <v>224</v>
      </c>
      <c r="CR190" s="12" t="str">
        <f>IF(COUNTIF(Incl!A:A,Raw!J190),1, "")</f>
        <v/>
      </c>
    </row>
    <row r="191" spans="1:96" ht="13.5" thickTop="1" thickBot="1" x14ac:dyDescent="0.3">
      <c r="A191" s="13">
        <v>188</v>
      </c>
      <c r="B191" s="14">
        <v>1</v>
      </c>
      <c r="C191" s="15">
        <v>520.82470699999999</v>
      </c>
      <c r="D191" s="14">
        <v>191</v>
      </c>
      <c r="E191" s="14">
        <v>1</v>
      </c>
      <c r="F191" s="14">
        <v>220</v>
      </c>
      <c r="G191" s="16">
        <v>16</v>
      </c>
      <c r="H191" s="14">
        <v>16</v>
      </c>
      <c r="I191" s="14">
        <v>16</v>
      </c>
      <c r="J191" s="14">
        <v>16</v>
      </c>
      <c r="K191" s="15" t="s">
        <v>120</v>
      </c>
      <c r="L191" s="15" t="s">
        <v>109</v>
      </c>
      <c r="M191" s="15" t="s">
        <v>78</v>
      </c>
      <c r="N191" s="17" t="s">
        <v>62</v>
      </c>
      <c r="O191" s="17" t="s">
        <v>62</v>
      </c>
      <c r="P191" s="16">
        <v>22</v>
      </c>
      <c r="Q191" s="17" t="s">
        <v>62</v>
      </c>
      <c r="R191" s="17" t="s">
        <v>62</v>
      </c>
      <c r="S191" s="17" t="s">
        <v>62</v>
      </c>
      <c r="T191" s="14">
        <v>22</v>
      </c>
      <c r="U191" s="16">
        <v>16</v>
      </c>
      <c r="V191" s="16">
        <v>18</v>
      </c>
      <c r="W191" s="16">
        <v>22</v>
      </c>
      <c r="X191" s="16">
        <v>16</v>
      </c>
      <c r="Y191" s="14">
        <v>72</v>
      </c>
      <c r="Z191" s="14">
        <v>81</v>
      </c>
      <c r="AA191" s="14">
        <v>100</v>
      </c>
      <c r="AB191" s="14">
        <v>72</v>
      </c>
      <c r="AC191" s="14">
        <v>2</v>
      </c>
      <c r="AD191" s="14">
        <v>11</v>
      </c>
      <c r="AE191" s="14">
        <v>13</v>
      </c>
      <c r="AF191" s="14">
        <v>12</v>
      </c>
      <c r="AG191" s="16">
        <v>13</v>
      </c>
      <c r="AH191" s="14">
        <v>50</v>
      </c>
      <c r="AI191" s="14">
        <v>59</v>
      </c>
      <c r="AJ191" s="14">
        <v>54</v>
      </c>
      <c r="AK191" s="14">
        <v>59</v>
      </c>
      <c r="AL191" s="14">
        <v>0</v>
      </c>
      <c r="AM191" s="17" t="s">
        <v>62</v>
      </c>
      <c r="AN191" s="17" t="s">
        <v>62</v>
      </c>
      <c r="AO191" s="17" t="s">
        <v>62</v>
      </c>
      <c r="AP191" s="17" t="s">
        <v>62</v>
      </c>
      <c r="AQ191" s="17" t="s">
        <v>62</v>
      </c>
      <c r="AR191" s="17" t="s">
        <v>62</v>
      </c>
      <c r="AS191" s="17" t="s">
        <v>62</v>
      </c>
      <c r="AT191" s="17" t="s">
        <v>62</v>
      </c>
      <c r="AU191" s="17" t="s">
        <v>62</v>
      </c>
      <c r="AV191" s="17" t="s">
        <v>62</v>
      </c>
      <c r="AW191" s="17" t="s">
        <v>62</v>
      </c>
      <c r="AX191" s="17" t="s">
        <v>62</v>
      </c>
      <c r="AY191" s="17" t="s">
        <v>62</v>
      </c>
      <c r="AZ191" s="17" t="s">
        <v>62</v>
      </c>
      <c r="BA191" s="17" t="s">
        <v>62</v>
      </c>
      <c r="BB191" s="17" t="s">
        <v>62</v>
      </c>
      <c r="BC191" s="17" t="s">
        <v>62</v>
      </c>
      <c r="BD191" s="17" t="s">
        <v>62</v>
      </c>
      <c r="BE191" s="17" t="s">
        <v>62</v>
      </c>
      <c r="BF191" s="17" t="s">
        <v>62</v>
      </c>
      <c r="BG191" s="17" t="s">
        <v>62</v>
      </c>
      <c r="BH191" s="17" t="s">
        <v>62</v>
      </c>
      <c r="BI191" s="17" t="s">
        <v>62</v>
      </c>
      <c r="BJ191" s="17" t="s">
        <v>62</v>
      </c>
      <c r="BK191" s="17" t="s">
        <v>62</v>
      </c>
      <c r="BL191" s="17" t="s">
        <v>62</v>
      </c>
      <c r="BM191" s="17" t="s">
        <v>62</v>
      </c>
      <c r="BN191" s="17" t="s">
        <v>62</v>
      </c>
      <c r="BO191" s="17" t="s">
        <v>62</v>
      </c>
      <c r="BP191" s="17" t="s">
        <v>62</v>
      </c>
      <c r="BQ191" s="17" t="s">
        <v>62</v>
      </c>
      <c r="BR191" s="17" t="s">
        <v>62</v>
      </c>
      <c r="BS191" s="17" t="s">
        <v>62</v>
      </c>
      <c r="BT191" s="17" t="s">
        <v>62</v>
      </c>
      <c r="BU191" s="17" t="s">
        <v>62</v>
      </c>
      <c r="BV191" s="17" t="s">
        <v>62</v>
      </c>
      <c r="BW191" s="17" t="s">
        <v>62</v>
      </c>
      <c r="BX191" s="17" t="s">
        <v>62</v>
      </c>
      <c r="BY191" s="17" t="s">
        <v>62</v>
      </c>
      <c r="BZ191" s="17" t="s">
        <v>62</v>
      </c>
      <c r="CA191" s="17" t="s">
        <v>62</v>
      </c>
      <c r="CB191" s="17" t="s">
        <v>62</v>
      </c>
      <c r="CC191" s="17" t="s">
        <v>62</v>
      </c>
      <c r="CD191" s="17" t="s">
        <v>62</v>
      </c>
      <c r="CE191" s="17" t="s">
        <v>62</v>
      </c>
      <c r="CF191" s="17" t="s">
        <v>62</v>
      </c>
      <c r="CG191" s="15" t="s">
        <v>71</v>
      </c>
      <c r="CH191" s="15">
        <v>1.5679999999999999E-3</v>
      </c>
      <c r="CI191" s="14">
        <v>2</v>
      </c>
      <c r="CJ191" s="79">
        <v>3</v>
      </c>
      <c r="CK191" s="79" t="s">
        <v>224</v>
      </c>
      <c r="CL191" s="79" t="s">
        <v>224</v>
      </c>
      <c r="CM191" s="79">
        <v>520.82496600000002</v>
      </c>
      <c r="CN191" s="79">
        <v>2</v>
      </c>
      <c r="CO191" s="79" t="s">
        <v>224</v>
      </c>
      <c r="CP191" s="79" t="s">
        <v>224</v>
      </c>
      <c r="CQ191" s="79" t="s">
        <v>224</v>
      </c>
      <c r="CR191" s="12" t="str">
        <f>IF(COUNTIF(Incl!A:A,Raw!J191),1, "")</f>
        <v/>
      </c>
    </row>
    <row r="192" spans="1:96" ht="13.5" thickTop="1" thickBot="1" x14ac:dyDescent="0.3">
      <c r="A192" s="18">
        <v>189</v>
      </c>
      <c r="B192" s="19">
        <v>1</v>
      </c>
      <c r="C192" s="20">
        <v>577.92460000000005</v>
      </c>
      <c r="D192" s="19">
        <v>192</v>
      </c>
      <c r="E192" s="19">
        <v>1</v>
      </c>
      <c r="F192" s="19">
        <v>221</v>
      </c>
      <c r="G192" s="21">
        <v>17</v>
      </c>
      <c r="H192" s="19">
        <v>17</v>
      </c>
      <c r="I192" s="19">
        <v>17</v>
      </c>
      <c r="J192" s="19">
        <v>17</v>
      </c>
      <c r="K192" s="20" t="s">
        <v>120</v>
      </c>
      <c r="L192" s="20" t="s">
        <v>78</v>
      </c>
      <c r="M192" s="20" t="s">
        <v>109</v>
      </c>
      <c r="N192" s="22" t="s">
        <v>62</v>
      </c>
      <c r="O192" s="22" t="s">
        <v>62</v>
      </c>
      <c r="P192" s="21">
        <v>21</v>
      </c>
      <c r="Q192" s="22" t="s">
        <v>62</v>
      </c>
      <c r="R192" s="22" t="s">
        <v>62</v>
      </c>
      <c r="S192" s="22" t="s">
        <v>62</v>
      </c>
      <c r="T192" s="19">
        <v>21</v>
      </c>
      <c r="U192" s="21">
        <v>19</v>
      </c>
      <c r="V192" s="21">
        <v>14</v>
      </c>
      <c r="W192" s="21">
        <v>20</v>
      </c>
      <c r="X192" s="21">
        <v>13</v>
      </c>
      <c r="Y192" s="19">
        <v>90</v>
      </c>
      <c r="Z192" s="19">
        <v>66</v>
      </c>
      <c r="AA192" s="19">
        <v>95</v>
      </c>
      <c r="AB192" s="19">
        <v>61</v>
      </c>
      <c r="AC192" s="19">
        <v>2</v>
      </c>
      <c r="AD192" s="19">
        <v>8</v>
      </c>
      <c r="AE192" s="19">
        <v>9</v>
      </c>
      <c r="AF192" s="19">
        <v>13</v>
      </c>
      <c r="AG192" s="21">
        <v>14</v>
      </c>
      <c r="AH192" s="19">
        <v>38</v>
      </c>
      <c r="AI192" s="19">
        <v>43</v>
      </c>
      <c r="AJ192" s="19">
        <v>61</v>
      </c>
      <c r="AK192" s="19">
        <v>66</v>
      </c>
      <c r="AL192" s="19">
        <v>0</v>
      </c>
      <c r="AM192" s="22" t="s">
        <v>62</v>
      </c>
      <c r="AN192" s="22" t="s">
        <v>62</v>
      </c>
      <c r="AO192" s="22" t="s">
        <v>62</v>
      </c>
      <c r="AP192" s="22" t="s">
        <v>62</v>
      </c>
      <c r="AQ192" s="22" t="s">
        <v>62</v>
      </c>
      <c r="AR192" s="22" t="s">
        <v>62</v>
      </c>
      <c r="AS192" s="22" t="s">
        <v>62</v>
      </c>
      <c r="AT192" s="22" t="s">
        <v>62</v>
      </c>
      <c r="AU192" s="22" t="s">
        <v>62</v>
      </c>
      <c r="AV192" s="22" t="s">
        <v>62</v>
      </c>
      <c r="AW192" s="22" t="s">
        <v>62</v>
      </c>
      <c r="AX192" s="22" t="s">
        <v>62</v>
      </c>
      <c r="AY192" s="22" t="s">
        <v>62</v>
      </c>
      <c r="AZ192" s="22" t="s">
        <v>62</v>
      </c>
      <c r="BA192" s="22" t="s">
        <v>62</v>
      </c>
      <c r="BB192" s="22" t="s">
        <v>62</v>
      </c>
      <c r="BC192" s="22" t="s">
        <v>62</v>
      </c>
      <c r="BD192" s="22" t="s">
        <v>62</v>
      </c>
      <c r="BE192" s="22" t="s">
        <v>62</v>
      </c>
      <c r="BF192" s="22" t="s">
        <v>62</v>
      </c>
      <c r="BG192" s="22" t="s">
        <v>62</v>
      </c>
      <c r="BH192" s="22" t="s">
        <v>62</v>
      </c>
      <c r="BI192" s="22" t="s">
        <v>62</v>
      </c>
      <c r="BJ192" s="22" t="s">
        <v>62</v>
      </c>
      <c r="BK192" s="22" t="s">
        <v>62</v>
      </c>
      <c r="BL192" s="22" t="s">
        <v>62</v>
      </c>
      <c r="BM192" s="22" t="s">
        <v>62</v>
      </c>
      <c r="BN192" s="22" t="s">
        <v>62</v>
      </c>
      <c r="BO192" s="22" t="s">
        <v>62</v>
      </c>
      <c r="BP192" s="22" t="s">
        <v>62</v>
      </c>
      <c r="BQ192" s="22" t="s">
        <v>62</v>
      </c>
      <c r="BR192" s="22" t="s">
        <v>62</v>
      </c>
      <c r="BS192" s="22" t="s">
        <v>62</v>
      </c>
      <c r="BT192" s="22" t="s">
        <v>62</v>
      </c>
      <c r="BU192" s="22" t="s">
        <v>62</v>
      </c>
      <c r="BV192" s="22" t="s">
        <v>62</v>
      </c>
      <c r="BW192" s="22" t="s">
        <v>62</v>
      </c>
      <c r="BX192" s="22" t="s">
        <v>62</v>
      </c>
      <c r="BY192" s="22" t="s">
        <v>62</v>
      </c>
      <c r="BZ192" s="22" t="s">
        <v>62</v>
      </c>
      <c r="CA192" s="22" t="s">
        <v>62</v>
      </c>
      <c r="CB192" s="22" t="s">
        <v>62</v>
      </c>
      <c r="CC192" s="22" t="s">
        <v>62</v>
      </c>
      <c r="CD192" s="22" t="s">
        <v>62</v>
      </c>
      <c r="CE192" s="22" t="s">
        <v>62</v>
      </c>
      <c r="CF192" s="22" t="s">
        <v>62</v>
      </c>
      <c r="CG192" s="20" t="s">
        <v>74</v>
      </c>
      <c r="CH192" s="20">
        <v>1.737E-3</v>
      </c>
      <c r="CI192" s="19">
        <v>2</v>
      </c>
      <c r="CJ192" s="78">
        <v>3</v>
      </c>
      <c r="CK192" s="78" t="s">
        <v>224</v>
      </c>
      <c r="CL192" s="78" t="s">
        <v>224</v>
      </c>
      <c r="CM192" s="78">
        <v>577.92455099999995</v>
      </c>
      <c r="CN192" s="78">
        <v>2</v>
      </c>
      <c r="CO192" s="78" t="s">
        <v>224</v>
      </c>
      <c r="CP192" s="78" t="s">
        <v>224</v>
      </c>
      <c r="CQ192" s="78" t="s">
        <v>224</v>
      </c>
      <c r="CR192" s="12" t="str">
        <f>IF(COUNTIF(Incl!A:A,Raw!J192),1, "")</f>
        <v/>
      </c>
    </row>
    <row r="193" spans="1:96" ht="13.5" thickTop="1" thickBot="1" x14ac:dyDescent="0.3">
      <c r="A193" s="18">
        <v>190</v>
      </c>
      <c r="B193" s="19">
        <v>1</v>
      </c>
      <c r="C193" s="20">
        <v>654.05410700000004</v>
      </c>
      <c r="D193" s="19">
        <v>193</v>
      </c>
      <c r="E193" s="19">
        <v>1</v>
      </c>
      <c r="F193" s="19">
        <v>222</v>
      </c>
      <c r="G193" s="21">
        <v>29</v>
      </c>
      <c r="H193" s="19">
        <v>29</v>
      </c>
      <c r="I193" s="19">
        <v>29</v>
      </c>
      <c r="J193" s="19">
        <v>29</v>
      </c>
      <c r="K193" s="20" t="s">
        <v>95</v>
      </c>
      <c r="L193" s="20" t="s">
        <v>109</v>
      </c>
      <c r="M193" s="20" t="s">
        <v>78</v>
      </c>
      <c r="N193" s="22" t="s">
        <v>62</v>
      </c>
      <c r="O193" s="22" t="s">
        <v>62</v>
      </c>
      <c r="P193" s="22" t="s">
        <v>62</v>
      </c>
      <c r="Q193" s="22" t="s">
        <v>62</v>
      </c>
      <c r="R193" s="22" t="s">
        <v>62</v>
      </c>
      <c r="S193" s="21">
        <v>29</v>
      </c>
      <c r="T193" s="19">
        <v>29</v>
      </c>
      <c r="U193" s="21">
        <v>11</v>
      </c>
      <c r="V193" s="21">
        <v>12</v>
      </c>
      <c r="W193" s="21">
        <v>20</v>
      </c>
      <c r="X193" s="21">
        <v>19</v>
      </c>
      <c r="Y193" s="19">
        <v>39</v>
      </c>
      <c r="Z193" s="19">
        <v>42</v>
      </c>
      <c r="AA193" s="19">
        <v>70</v>
      </c>
      <c r="AB193" s="19">
        <v>67</v>
      </c>
      <c r="AC193" s="19">
        <v>0</v>
      </c>
      <c r="AD193" s="19">
        <v>14</v>
      </c>
      <c r="AE193" s="19">
        <v>12</v>
      </c>
      <c r="AF193" s="19">
        <v>21</v>
      </c>
      <c r="AG193" s="21">
        <v>26</v>
      </c>
      <c r="AH193" s="19">
        <v>49</v>
      </c>
      <c r="AI193" s="19">
        <v>42</v>
      </c>
      <c r="AJ193" s="19">
        <v>74</v>
      </c>
      <c r="AK193" s="19">
        <v>91</v>
      </c>
      <c r="AL193" s="19">
        <v>1</v>
      </c>
      <c r="AM193" s="22" t="s">
        <v>62</v>
      </c>
      <c r="AN193" s="22" t="s">
        <v>62</v>
      </c>
      <c r="AO193" s="22" t="s">
        <v>62</v>
      </c>
      <c r="AP193" s="22" t="s">
        <v>62</v>
      </c>
      <c r="AQ193" s="22" t="s">
        <v>62</v>
      </c>
      <c r="AR193" s="22" t="s">
        <v>62</v>
      </c>
      <c r="AS193" s="22" t="s">
        <v>62</v>
      </c>
      <c r="AT193" s="22" t="s">
        <v>62</v>
      </c>
      <c r="AU193" s="22" t="s">
        <v>62</v>
      </c>
      <c r="AV193" s="22" t="s">
        <v>62</v>
      </c>
      <c r="AW193" s="22" t="s">
        <v>62</v>
      </c>
      <c r="AX193" s="22" t="s">
        <v>62</v>
      </c>
      <c r="AY193" s="22" t="s">
        <v>62</v>
      </c>
      <c r="AZ193" s="22" t="s">
        <v>62</v>
      </c>
      <c r="BA193" s="22" t="s">
        <v>62</v>
      </c>
      <c r="BB193" s="22" t="s">
        <v>62</v>
      </c>
      <c r="BC193" s="22" t="s">
        <v>62</v>
      </c>
      <c r="BD193" s="22" t="s">
        <v>62</v>
      </c>
      <c r="BE193" s="22" t="s">
        <v>62</v>
      </c>
      <c r="BF193" s="22" t="s">
        <v>62</v>
      </c>
      <c r="BG193" s="22" t="s">
        <v>62</v>
      </c>
      <c r="BH193" s="22" t="s">
        <v>62</v>
      </c>
      <c r="BI193" s="22" t="s">
        <v>62</v>
      </c>
      <c r="BJ193" s="22" t="s">
        <v>62</v>
      </c>
      <c r="BK193" s="22" t="s">
        <v>62</v>
      </c>
      <c r="BL193" s="22" t="s">
        <v>62</v>
      </c>
      <c r="BM193" s="22" t="s">
        <v>62</v>
      </c>
      <c r="BN193" s="22" t="s">
        <v>62</v>
      </c>
      <c r="BO193" s="22" t="s">
        <v>62</v>
      </c>
      <c r="BP193" s="22" t="s">
        <v>62</v>
      </c>
      <c r="BQ193" s="22" t="s">
        <v>62</v>
      </c>
      <c r="BR193" s="22" t="s">
        <v>62</v>
      </c>
      <c r="BS193" s="22" t="s">
        <v>62</v>
      </c>
      <c r="BT193" s="22" t="s">
        <v>62</v>
      </c>
      <c r="BU193" s="22" t="s">
        <v>62</v>
      </c>
      <c r="BV193" s="22" t="s">
        <v>62</v>
      </c>
      <c r="BW193" s="22" t="s">
        <v>62</v>
      </c>
      <c r="BX193" s="22" t="s">
        <v>62</v>
      </c>
      <c r="BY193" s="22" t="s">
        <v>62</v>
      </c>
      <c r="BZ193" s="22" t="s">
        <v>62</v>
      </c>
      <c r="CA193" s="22" t="s">
        <v>62</v>
      </c>
      <c r="CB193" s="22" t="s">
        <v>62</v>
      </c>
      <c r="CC193" s="22" t="s">
        <v>62</v>
      </c>
      <c r="CD193" s="22" t="s">
        <v>62</v>
      </c>
      <c r="CE193" s="22" t="s">
        <v>62</v>
      </c>
      <c r="CF193" s="22" t="s">
        <v>62</v>
      </c>
      <c r="CG193" s="20" t="s">
        <v>71</v>
      </c>
      <c r="CH193" s="20">
        <v>1.9719999999999998E-3</v>
      </c>
      <c r="CI193" s="19">
        <v>1</v>
      </c>
      <c r="CJ193" s="78">
        <v>3</v>
      </c>
      <c r="CK193" s="78" t="s">
        <v>224</v>
      </c>
      <c r="CL193" s="78" t="s">
        <v>224</v>
      </c>
      <c r="CM193" s="78">
        <v>654.054125</v>
      </c>
      <c r="CN193" s="78">
        <v>2</v>
      </c>
      <c r="CO193" s="78" t="s">
        <v>224</v>
      </c>
      <c r="CP193" s="78" t="s">
        <v>224</v>
      </c>
      <c r="CQ193" s="78" t="s">
        <v>224</v>
      </c>
      <c r="CR193" s="12" t="str">
        <f>IF(COUNTIF(Incl!A:A,Raw!J193),1, "")</f>
        <v/>
      </c>
    </row>
    <row r="194" spans="1:96" ht="13.5" thickTop="1" thickBot="1" x14ac:dyDescent="0.3">
      <c r="A194" s="18">
        <v>191</v>
      </c>
      <c r="B194" s="19">
        <v>1</v>
      </c>
      <c r="C194" s="20">
        <v>347.83125799999999</v>
      </c>
      <c r="D194" s="19">
        <v>194</v>
      </c>
      <c r="E194" s="19">
        <v>1</v>
      </c>
      <c r="F194" s="19">
        <v>223</v>
      </c>
      <c r="G194" s="21">
        <v>31</v>
      </c>
      <c r="H194" s="19">
        <v>31</v>
      </c>
      <c r="I194" s="19">
        <v>31</v>
      </c>
      <c r="J194" s="19">
        <v>31</v>
      </c>
      <c r="K194" s="20" t="s">
        <v>95</v>
      </c>
      <c r="L194" s="20" t="s">
        <v>78</v>
      </c>
      <c r="M194" s="20" t="s">
        <v>112</v>
      </c>
      <c r="N194" s="22" t="s">
        <v>62</v>
      </c>
      <c r="O194" s="22" t="s">
        <v>62</v>
      </c>
      <c r="P194" s="22" t="s">
        <v>62</v>
      </c>
      <c r="Q194" s="22" t="s">
        <v>62</v>
      </c>
      <c r="R194" s="22" t="s">
        <v>62</v>
      </c>
      <c r="S194" s="21">
        <v>13</v>
      </c>
      <c r="T194" s="19">
        <v>13</v>
      </c>
      <c r="U194" s="21">
        <v>9</v>
      </c>
      <c r="V194" s="21">
        <v>8</v>
      </c>
      <c r="W194" s="21">
        <v>9</v>
      </c>
      <c r="X194" s="21">
        <v>10</v>
      </c>
      <c r="Y194" s="19">
        <v>67</v>
      </c>
      <c r="Z194" s="19">
        <v>60</v>
      </c>
      <c r="AA194" s="19">
        <v>67</v>
      </c>
      <c r="AB194" s="19">
        <v>75</v>
      </c>
      <c r="AC194" s="19">
        <v>1</v>
      </c>
      <c r="AD194" s="19">
        <v>6</v>
      </c>
      <c r="AE194" s="19">
        <v>5</v>
      </c>
      <c r="AF194" s="19">
        <v>8</v>
      </c>
      <c r="AG194" s="21">
        <v>11</v>
      </c>
      <c r="AH194" s="19">
        <v>45</v>
      </c>
      <c r="AI194" s="19">
        <v>37</v>
      </c>
      <c r="AJ194" s="19">
        <v>60</v>
      </c>
      <c r="AK194" s="19">
        <v>82</v>
      </c>
      <c r="AL194" s="19">
        <v>1</v>
      </c>
      <c r="AM194" s="22" t="s">
        <v>62</v>
      </c>
      <c r="AN194" s="22" t="s">
        <v>62</v>
      </c>
      <c r="AO194" s="22" t="s">
        <v>62</v>
      </c>
      <c r="AP194" s="22" t="s">
        <v>62</v>
      </c>
      <c r="AQ194" s="22" t="s">
        <v>62</v>
      </c>
      <c r="AR194" s="22" t="s">
        <v>62</v>
      </c>
      <c r="AS194" s="22" t="s">
        <v>62</v>
      </c>
      <c r="AT194" s="22" t="s">
        <v>62</v>
      </c>
      <c r="AU194" s="22" t="s">
        <v>62</v>
      </c>
      <c r="AV194" s="22" t="s">
        <v>62</v>
      </c>
      <c r="AW194" s="22" t="s">
        <v>62</v>
      </c>
      <c r="AX194" s="22" t="s">
        <v>62</v>
      </c>
      <c r="AY194" s="22" t="s">
        <v>62</v>
      </c>
      <c r="AZ194" s="22" t="s">
        <v>62</v>
      </c>
      <c r="BA194" s="22" t="s">
        <v>62</v>
      </c>
      <c r="BB194" s="22" t="s">
        <v>62</v>
      </c>
      <c r="BC194" s="22" t="s">
        <v>62</v>
      </c>
      <c r="BD194" s="22" t="s">
        <v>62</v>
      </c>
      <c r="BE194" s="22" t="s">
        <v>62</v>
      </c>
      <c r="BF194" s="22" t="s">
        <v>62</v>
      </c>
      <c r="BG194" s="22" t="s">
        <v>62</v>
      </c>
      <c r="BH194" s="22" t="s">
        <v>62</v>
      </c>
      <c r="BI194" s="22" t="s">
        <v>62</v>
      </c>
      <c r="BJ194" s="22" t="s">
        <v>62</v>
      </c>
      <c r="BK194" s="22" t="s">
        <v>62</v>
      </c>
      <c r="BL194" s="22" t="s">
        <v>62</v>
      </c>
      <c r="BM194" s="22" t="s">
        <v>62</v>
      </c>
      <c r="BN194" s="22" t="s">
        <v>62</v>
      </c>
      <c r="BO194" s="22" t="s">
        <v>62</v>
      </c>
      <c r="BP194" s="22" t="s">
        <v>62</v>
      </c>
      <c r="BQ194" s="22" t="s">
        <v>62</v>
      </c>
      <c r="BR194" s="22" t="s">
        <v>62</v>
      </c>
      <c r="BS194" s="22" t="s">
        <v>62</v>
      </c>
      <c r="BT194" s="22" t="s">
        <v>62</v>
      </c>
      <c r="BU194" s="22" t="s">
        <v>62</v>
      </c>
      <c r="BV194" s="22" t="s">
        <v>62</v>
      </c>
      <c r="BW194" s="22" t="s">
        <v>62</v>
      </c>
      <c r="BX194" s="22" t="s">
        <v>62</v>
      </c>
      <c r="BY194" s="22" t="s">
        <v>62</v>
      </c>
      <c r="BZ194" s="22" t="s">
        <v>62</v>
      </c>
      <c r="CA194" s="22" t="s">
        <v>62</v>
      </c>
      <c r="CB194" s="22" t="s">
        <v>62</v>
      </c>
      <c r="CC194" s="22" t="s">
        <v>62</v>
      </c>
      <c r="CD194" s="22" t="s">
        <v>62</v>
      </c>
      <c r="CE194" s="22" t="s">
        <v>62</v>
      </c>
      <c r="CF194" s="22" t="s">
        <v>62</v>
      </c>
      <c r="CG194" s="20" t="s">
        <v>74</v>
      </c>
      <c r="CH194" s="20">
        <v>1.0499999999999999E-3</v>
      </c>
      <c r="CI194" s="19">
        <v>2</v>
      </c>
      <c r="CJ194" s="78">
        <v>3</v>
      </c>
      <c r="CK194" s="78" t="s">
        <v>224</v>
      </c>
      <c r="CL194" s="78" t="s">
        <v>224</v>
      </c>
      <c r="CM194" s="78">
        <v>347.83112899999998</v>
      </c>
      <c r="CN194" s="78">
        <v>2</v>
      </c>
      <c r="CO194" s="78" t="s">
        <v>224</v>
      </c>
      <c r="CP194" s="78" t="s">
        <v>224</v>
      </c>
      <c r="CQ194" s="78" t="s">
        <v>224</v>
      </c>
      <c r="CR194" s="12" t="str">
        <f>IF(COUNTIF(Incl!A:A,Raw!J194),1, "")</f>
        <v/>
      </c>
    </row>
    <row r="195" spans="1:96" ht="13.5" thickTop="1" thickBot="1" x14ac:dyDescent="0.3">
      <c r="A195" s="18">
        <v>192</v>
      </c>
      <c r="B195" s="19">
        <v>1</v>
      </c>
      <c r="C195" s="20">
        <v>327.25669099999999</v>
      </c>
      <c r="D195" s="19">
        <v>195</v>
      </c>
      <c r="E195" s="19">
        <v>1</v>
      </c>
      <c r="F195" s="19">
        <v>224</v>
      </c>
      <c r="G195" s="21">
        <v>8</v>
      </c>
      <c r="H195" s="19">
        <v>8</v>
      </c>
      <c r="I195" s="19">
        <v>8</v>
      </c>
      <c r="J195" s="19">
        <v>8</v>
      </c>
      <c r="K195" s="20" t="s">
        <v>98</v>
      </c>
      <c r="L195" s="20" t="s">
        <v>78</v>
      </c>
      <c r="M195" s="20" t="s">
        <v>117</v>
      </c>
      <c r="N195" s="21" t="s">
        <v>62</v>
      </c>
      <c r="O195" s="22" t="s">
        <v>62</v>
      </c>
      <c r="P195" s="22">
        <v>11</v>
      </c>
      <c r="Q195" s="22" t="s">
        <v>62</v>
      </c>
      <c r="R195" s="22" t="s">
        <v>62</v>
      </c>
      <c r="S195" s="22" t="s">
        <v>62</v>
      </c>
      <c r="T195" s="19">
        <v>11</v>
      </c>
      <c r="U195" s="21">
        <v>4</v>
      </c>
      <c r="V195" s="21">
        <v>5</v>
      </c>
      <c r="W195" s="22">
        <v>6</v>
      </c>
      <c r="X195" s="22">
        <v>6</v>
      </c>
      <c r="Y195" s="19">
        <v>38</v>
      </c>
      <c r="Z195" s="19">
        <v>47</v>
      </c>
      <c r="AA195" s="19">
        <v>57</v>
      </c>
      <c r="AB195" s="19">
        <v>57</v>
      </c>
      <c r="AC195" s="19">
        <v>0</v>
      </c>
      <c r="AD195" s="19">
        <v>4</v>
      </c>
      <c r="AE195" s="19">
        <v>4</v>
      </c>
      <c r="AF195" s="19">
        <v>6</v>
      </c>
      <c r="AG195" s="22">
        <v>5</v>
      </c>
      <c r="AH195" s="19">
        <v>38</v>
      </c>
      <c r="AI195" s="19">
        <v>38</v>
      </c>
      <c r="AJ195" s="19">
        <v>57</v>
      </c>
      <c r="AK195" s="19">
        <v>47</v>
      </c>
      <c r="AL195" s="19">
        <v>0</v>
      </c>
      <c r="AM195" s="21" t="s">
        <v>62</v>
      </c>
      <c r="AN195" s="21" t="s">
        <v>62</v>
      </c>
      <c r="AO195" s="21" t="s">
        <v>62</v>
      </c>
      <c r="AP195" s="21" t="s">
        <v>62</v>
      </c>
      <c r="AQ195" s="21" t="s">
        <v>62</v>
      </c>
      <c r="AR195" s="21" t="s">
        <v>62</v>
      </c>
      <c r="AS195" s="21" t="s">
        <v>62</v>
      </c>
      <c r="AT195" s="21" t="s">
        <v>62</v>
      </c>
      <c r="AU195" s="21" t="s">
        <v>62</v>
      </c>
      <c r="AV195" s="21" t="s">
        <v>62</v>
      </c>
      <c r="AW195" s="21" t="s">
        <v>62</v>
      </c>
      <c r="AX195" s="21" t="s">
        <v>62</v>
      </c>
      <c r="AY195" s="21" t="s">
        <v>62</v>
      </c>
      <c r="AZ195" s="21" t="s">
        <v>62</v>
      </c>
      <c r="BA195" s="21" t="s">
        <v>62</v>
      </c>
      <c r="BB195" s="21" t="s">
        <v>62</v>
      </c>
      <c r="BC195" s="21" t="s">
        <v>62</v>
      </c>
      <c r="BD195" s="21" t="s">
        <v>62</v>
      </c>
      <c r="BE195" s="21" t="s">
        <v>62</v>
      </c>
      <c r="BF195" s="21" t="s">
        <v>62</v>
      </c>
      <c r="BG195" s="21" t="s">
        <v>62</v>
      </c>
      <c r="BH195" s="21" t="s">
        <v>62</v>
      </c>
      <c r="BI195" s="20" t="s">
        <v>62</v>
      </c>
      <c r="BJ195" s="21" t="s">
        <v>62</v>
      </c>
      <c r="BK195" s="21" t="s">
        <v>62</v>
      </c>
      <c r="BL195" s="21" t="s">
        <v>62</v>
      </c>
      <c r="BM195" s="21" t="s">
        <v>62</v>
      </c>
      <c r="BN195" s="21" t="s">
        <v>62</v>
      </c>
      <c r="BO195" s="21" t="s">
        <v>62</v>
      </c>
      <c r="BP195" s="21" t="s">
        <v>62</v>
      </c>
      <c r="BQ195" s="21" t="s">
        <v>62</v>
      </c>
      <c r="BR195" s="21" t="s">
        <v>62</v>
      </c>
      <c r="BS195" s="21" t="s">
        <v>62</v>
      </c>
      <c r="BT195" s="21" t="s">
        <v>62</v>
      </c>
      <c r="BU195" s="21" t="s">
        <v>62</v>
      </c>
      <c r="BV195" s="21" t="s">
        <v>62</v>
      </c>
      <c r="BW195" s="21" t="s">
        <v>62</v>
      </c>
      <c r="BX195" s="21" t="s">
        <v>62</v>
      </c>
      <c r="BY195" s="21" t="s">
        <v>62</v>
      </c>
      <c r="BZ195" s="21" t="s">
        <v>62</v>
      </c>
      <c r="CA195" s="21" t="s">
        <v>62</v>
      </c>
      <c r="CB195" s="21" t="s">
        <v>62</v>
      </c>
      <c r="CC195" s="21" t="s">
        <v>62</v>
      </c>
      <c r="CD195" s="21" t="s">
        <v>62</v>
      </c>
      <c r="CE195" s="21" t="s">
        <v>62</v>
      </c>
      <c r="CF195" s="20" t="s">
        <v>62</v>
      </c>
      <c r="CG195" s="20" t="s">
        <v>71</v>
      </c>
      <c r="CH195" s="20">
        <v>9.8799999999999995E-4</v>
      </c>
      <c r="CI195" s="19">
        <v>0</v>
      </c>
      <c r="CJ195" s="78">
        <v>3</v>
      </c>
      <c r="CK195" s="78" t="s">
        <v>224</v>
      </c>
      <c r="CL195" s="78" t="s">
        <v>224</v>
      </c>
      <c r="CM195" s="78">
        <v>327.25669799999997</v>
      </c>
      <c r="CN195" s="78">
        <v>2</v>
      </c>
      <c r="CO195" s="78" t="s">
        <v>224</v>
      </c>
      <c r="CP195" s="78" t="s">
        <v>224</v>
      </c>
      <c r="CQ195" s="78" t="s">
        <v>224</v>
      </c>
      <c r="CR195" s="12" t="str">
        <f>IF(COUNTIF(Incl!A:A,Raw!J195),1, "")</f>
        <v/>
      </c>
    </row>
    <row r="196" spans="1:96" ht="13.5" thickTop="1" thickBot="1" x14ac:dyDescent="0.3">
      <c r="A196" s="13">
        <v>193</v>
      </c>
      <c r="B196" s="14">
        <v>1</v>
      </c>
      <c r="C196" s="15">
        <v>283.20815599999997</v>
      </c>
      <c r="D196" s="14">
        <v>196</v>
      </c>
      <c r="E196" s="14">
        <v>1</v>
      </c>
      <c r="F196" s="14">
        <v>225</v>
      </c>
      <c r="G196" s="16">
        <v>9</v>
      </c>
      <c r="H196" s="14">
        <v>9</v>
      </c>
      <c r="I196" s="14">
        <v>9</v>
      </c>
      <c r="J196" s="14">
        <v>9</v>
      </c>
      <c r="K196" s="15" t="s">
        <v>98</v>
      </c>
      <c r="L196" s="15" t="s">
        <v>117</v>
      </c>
      <c r="M196" s="15" t="s">
        <v>78</v>
      </c>
      <c r="N196" s="16" t="s">
        <v>62</v>
      </c>
      <c r="O196" s="17" t="s">
        <v>62</v>
      </c>
      <c r="P196" s="17">
        <v>12</v>
      </c>
      <c r="Q196" s="17" t="s">
        <v>62</v>
      </c>
      <c r="R196" s="17" t="s">
        <v>62</v>
      </c>
      <c r="S196" s="17" t="s">
        <v>62</v>
      </c>
      <c r="T196" s="14">
        <v>12</v>
      </c>
      <c r="U196" s="16">
        <v>4</v>
      </c>
      <c r="V196" s="16">
        <v>9</v>
      </c>
      <c r="W196" s="16">
        <v>9</v>
      </c>
      <c r="X196" s="17">
        <v>8</v>
      </c>
      <c r="Y196" s="14">
        <v>34</v>
      </c>
      <c r="Z196" s="14">
        <v>77</v>
      </c>
      <c r="AA196" s="14">
        <v>77</v>
      </c>
      <c r="AB196" s="14">
        <v>68</v>
      </c>
      <c r="AC196" s="14">
        <v>2</v>
      </c>
      <c r="AD196" s="14">
        <v>6</v>
      </c>
      <c r="AE196" s="14">
        <v>4</v>
      </c>
      <c r="AF196" s="14">
        <v>5</v>
      </c>
      <c r="AG196" s="17">
        <v>7</v>
      </c>
      <c r="AH196" s="14">
        <v>51</v>
      </c>
      <c r="AI196" s="14">
        <v>34</v>
      </c>
      <c r="AJ196" s="14">
        <v>43</v>
      </c>
      <c r="AK196" s="14">
        <v>60</v>
      </c>
      <c r="AL196" s="14">
        <v>0</v>
      </c>
      <c r="AM196" s="16" t="s">
        <v>62</v>
      </c>
      <c r="AN196" s="16" t="s">
        <v>62</v>
      </c>
      <c r="AO196" s="16" t="s">
        <v>62</v>
      </c>
      <c r="AP196" s="16" t="s">
        <v>62</v>
      </c>
      <c r="AQ196" s="16" t="s">
        <v>62</v>
      </c>
      <c r="AR196" s="16" t="s">
        <v>62</v>
      </c>
      <c r="AS196" s="16" t="s">
        <v>62</v>
      </c>
      <c r="AT196" s="16" t="s">
        <v>62</v>
      </c>
      <c r="AU196" s="16" t="s">
        <v>62</v>
      </c>
      <c r="AV196" s="16" t="s">
        <v>62</v>
      </c>
      <c r="AW196" s="16" t="s">
        <v>62</v>
      </c>
      <c r="AX196" s="16" t="s">
        <v>62</v>
      </c>
      <c r="AY196" s="16" t="s">
        <v>62</v>
      </c>
      <c r="AZ196" s="16" t="s">
        <v>62</v>
      </c>
      <c r="BA196" s="16" t="s">
        <v>62</v>
      </c>
      <c r="BB196" s="16" t="s">
        <v>62</v>
      </c>
      <c r="BC196" s="16" t="s">
        <v>62</v>
      </c>
      <c r="BD196" s="16" t="s">
        <v>62</v>
      </c>
      <c r="BE196" s="16" t="s">
        <v>62</v>
      </c>
      <c r="BF196" s="16" t="s">
        <v>62</v>
      </c>
      <c r="BG196" s="16" t="s">
        <v>62</v>
      </c>
      <c r="BH196" s="16" t="s">
        <v>62</v>
      </c>
      <c r="BI196" s="15" t="s">
        <v>62</v>
      </c>
      <c r="BJ196" s="16" t="s">
        <v>62</v>
      </c>
      <c r="BK196" s="16" t="s">
        <v>62</v>
      </c>
      <c r="BL196" s="16" t="s">
        <v>62</v>
      </c>
      <c r="BM196" s="16" t="s">
        <v>62</v>
      </c>
      <c r="BN196" s="16" t="s">
        <v>62</v>
      </c>
      <c r="BO196" s="16" t="s">
        <v>62</v>
      </c>
      <c r="BP196" s="16" t="s">
        <v>62</v>
      </c>
      <c r="BQ196" s="16" t="s">
        <v>62</v>
      </c>
      <c r="BR196" s="16" t="s">
        <v>62</v>
      </c>
      <c r="BS196" s="16" t="s">
        <v>62</v>
      </c>
      <c r="BT196" s="16" t="s">
        <v>62</v>
      </c>
      <c r="BU196" s="16" t="s">
        <v>62</v>
      </c>
      <c r="BV196" s="16" t="s">
        <v>62</v>
      </c>
      <c r="BW196" s="16" t="s">
        <v>62</v>
      </c>
      <c r="BX196" s="16" t="s">
        <v>62</v>
      </c>
      <c r="BY196" s="16" t="s">
        <v>62</v>
      </c>
      <c r="BZ196" s="16" t="s">
        <v>62</v>
      </c>
      <c r="CA196" s="16" t="s">
        <v>62</v>
      </c>
      <c r="CB196" s="16" t="s">
        <v>62</v>
      </c>
      <c r="CC196" s="16" t="s">
        <v>62</v>
      </c>
      <c r="CD196" s="16" t="s">
        <v>62</v>
      </c>
      <c r="CE196" s="16" t="s">
        <v>62</v>
      </c>
      <c r="CF196" s="15" t="s">
        <v>62</v>
      </c>
      <c r="CG196" s="15" t="s">
        <v>74</v>
      </c>
      <c r="CH196" s="15">
        <v>8.4699999999999999E-4</v>
      </c>
      <c r="CI196" s="14">
        <v>2</v>
      </c>
      <c r="CJ196" s="79">
        <v>3</v>
      </c>
      <c r="CK196" s="79" t="s">
        <v>224</v>
      </c>
      <c r="CL196" s="79" t="s">
        <v>224</v>
      </c>
      <c r="CM196" s="79">
        <v>283.208302</v>
      </c>
      <c r="CN196" s="79">
        <v>2</v>
      </c>
      <c r="CO196" s="79" t="s">
        <v>224</v>
      </c>
      <c r="CP196" s="79" t="s">
        <v>224</v>
      </c>
      <c r="CQ196" s="79" t="s">
        <v>224</v>
      </c>
      <c r="CR196" s="12" t="str">
        <f>IF(COUNTIF(Incl!A:A,Raw!J196),1, "")</f>
        <v/>
      </c>
    </row>
    <row r="197" spans="1:96" ht="13.5" thickTop="1" thickBot="1" x14ac:dyDescent="0.3">
      <c r="A197" s="13">
        <v>194</v>
      </c>
      <c r="B197" s="14">
        <v>1</v>
      </c>
      <c r="C197" s="15">
        <v>307.07232800000003</v>
      </c>
      <c r="D197" s="14">
        <v>197</v>
      </c>
      <c r="E197" s="14">
        <v>1</v>
      </c>
      <c r="F197" s="14">
        <v>226</v>
      </c>
      <c r="G197" s="16">
        <v>18</v>
      </c>
      <c r="H197" s="14">
        <v>18</v>
      </c>
      <c r="I197" s="14">
        <v>18</v>
      </c>
      <c r="J197" s="14">
        <v>18</v>
      </c>
      <c r="K197" s="15" t="s">
        <v>120</v>
      </c>
      <c r="L197" s="15" t="s">
        <v>78</v>
      </c>
      <c r="M197" s="15" t="s">
        <v>117</v>
      </c>
      <c r="N197" s="16" t="s">
        <v>62</v>
      </c>
      <c r="O197" s="17" t="s">
        <v>62</v>
      </c>
      <c r="P197" s="17">
        <v>11</v>
      </c>
      <c r="Q197" s="17" t="s">
        <v>62</v>
      </c>
      <c r="R197" s="17" t="s">
        <v>62</v>
      </c>
      <c r="S197" s="17" t="s">
        <v>62</v>
      </c>
      <c r="T197" s="14">
        <v>11</v>
      </c>
      <c r="U197" s="16">
        <v>8</v>
      </c>
      <c r="V197" s="16">
        <v>8</v>
      </c>
      <c r="W197" s="16">
        <v>6</v>
      </c>
      <c r="X197" s="17">
        <v>8</v>
      </c>
      <c r="Y197" s="14">
        <v>71</v>
      </c>
      <c r="Z197" s="14">
        <v>71</v>
      </c>
      <c r="AA197" s="14">
        <v>54</v>
      </c>
      <c r="AB197" s="14">
        <v>71</v>
      </c>
      <c r="AC197" s="14">
        <v>0</v>
      </c>
      <c r="AD197" s="14">
        <v>5</v>
      </c>
      <c r="AE197" s="14">
        <v>8</v>
      </c>
      <c r="AF197" s="14">
        <v>9</v>
      </c>
      <c r="AG197" s="17">
        <v>12</v>
      </c>
      <c r="AH197" s="14">
        <v>45</v>
      </c>
      <c r="AI197" s="14">
        <v>71</v>
      </c>
      <c r="AJ197" s="14">
        <v>80</v>
      </c>
      <c r="AK197" s="14">
        <v>107</v>
      </c>
      <c r="AL197" s="14">
        <v>2</v>
      </c>
      <c r="AM197" s="16" t="s">
        <v>62</v>
      </c>
      <c r="AN197" s="16" t="s">
        <v>62</v>
      </c>
      <c r="AO197" s="16" t="s">
        <v>62</v>
      </c>
      <c r="AP197" s="16" t="s">
        <v>62</v>
      </c>
      <c r="AQ197" s="16" t="s">
        <v>62</v>
      </c>
      <c r="AR197" s="16" t="s">
        <v>62</v>
      </c>
      <c r="AS197" s="16" t="s">
        <v>62</v>
      </c>
      <c r="AT197" s="16" t="s">
        <v>62</v>
      </c>
      <c r="AU197" s="16" t="s">
        <v>62</v>
      </c>
      <c r="AV197" s="16" t="s">
        <v>62</v>
      </c>
      <c r="AW197" s="16" t="s">
        <v>62</v>
      </c>
      <c r="AX197" s="16" t="s">
        <v>62</v>
      </c>
      <c r="AY197" s="16" t="s">
        <v>62</v>
      </c>
      <c r="AZ197" s="16" t="s">
        <v>62</v>
      </c>
      <c r="BA197" s="16" t="s">
        <v>62</v>
      </c>
      <c r="BB197" s="16" t="s">
        <v>62</v>
      </c>
      <c r="BC197" s="16" t="s">
        <v>62</v>
      </c>
      <c r="BD197" s="16" t="s">
        <v>62</v>
      </c>
      <c r="BE197" s="16" t="s">
        <v>62</v>
      </c>
      <c r="BF197" s="16" t="s">
        <v>62</v>
      </c>
      <c r="BG197" s="16" t="s">
        <v>62</v>
      </c>
      <c r="BH197" s="16" t="s">
        <v>62</v>
      </c>
      <c r="BI197" s="15" t="s">
        <v>62</v>
      </c>
      <c r="BJ197" s="16" t="s">
        <v>62</v>
      </c>
      <c r="BK197" s="16" t="s">
        <v>62</v>
      </c>
      <c r="BL197" s="16" t="s">
        <v>62</v>
      </c>
      <c r="BM197" s="16" t="s">
        <v>62</v>
      </c>
      <c r="BN197" s="16" t="s">
        <v>62</v>
      </c>
      <c r="BO197" s="16" t="s">
        <v>62</v>
      </c>
      <c r="BP197" s="16" t="s">
        <v>62</v>
      </c>
      <c r="BQ197" s="16" t="s">
        <v>62</v>
      </c>
      <c r="BR197" s="16" t="s">
        <v>62</v>
      </c>
      <c r="BS197" s="16" t="s">
        <v>62</v>
      </c>
      <c r="BT197" s="16" t="s">
        <v>62</v>
      </c>
      <c r="BU197" s="16" t="s">
        <v>62</v>
      </c>
      <c r="BV197" s="16" t="s">
        <v>62</v>
      </c>
      <c r="BW197" s="16" t="s">
        <v>62</v>
      </c>
      <c r="BX197" s="16" t="s">
        <v>62</v>
      </c>
      <c r="BY197" s="16" t="s">
        <v>62</v>
      </c>
      <c r="BZ197" s="16" t="s">
        <v>62</v>
      </c>
      <c r="CA197" s="16" t="s">
        <v>62</v>
      </c>
      <c r="CB197" s="16" t="s">
        <v>62</v>
      </c>
      <c r="CC197" s="16" t="s">
        <v>62</v>
      </c>
      <c r="CD197" s="16" t="s">
        <v>62</v>
      </c>
      <c r="CE197" s="16" t="s">
        <v>62</v>
      </c>
      <c r="CF197" s="15" t="s">
        <v>62</v>
      </c>
      <c r="CG197" s="15" t="s">
        <v>71</v>
      </c>
      <c r="CH197" s="15">
        <v>9.2599999999999996E-4</v>
      </c>
      <c r="CI197" s="14">
        <v>2</v>
      </c>
      <c r="CJ197" s="79">
        <v>3</v>
      </c>
      <c r="CK197" s="79" t="s">
        <v>224</v>
      </c>
      <c r="CL197" s="79" t="s">
        <v>224</v>
      </c>
      <c r="CM197" s="79">
        <v>307.07237300000003</v>
      </c>
      <c r="CN197" s="79">
        <v>2</v>
      </c>
      <c r="CO197" s="79" t="s">
        <v>224</v>
      </c>
      <c r="CP197" s="79" t="s">
        <v>224</v>
      </c>
      <c r="CQ197" s="79" t="s">
        <v>224</v>
      </c>
      <c r="CR197" s="12" t="str">
        <f>IF(COUNTIF(Incl!A:A,Raw!J197),1, "")</f>
        <v/>
      </c>
    </row>
    <row r="198" spans="1:96" ht="13.5" thickTop="1" thickBot="1" x14ac:dyDescent="0.3">
      <c r="A198" s="18">
        <v>195</v>
      </c>
      <c r="B198" s="19">
        <v>1</v>
      </c>
      <c r="C198" s="20">
        <v>286.61136199999999</v>
      </c>
      <c r="D198" s="19">
        <v>198</v>
      </c>
      <c r="E198" s="19">
        <v>1</v>
      </c>
      <c r="F198" s="19">
        <v>227</v>
      </c>
      <c r="G198" s="21">
        <v>19</v>
      </c>
      <c r="H198" s="19">
        <v>19</v>
      </c>
      <c r="I198" s="19">
        <v>19</v>
      </c>
      <c r="J198" s="19">
        <v>19</v>
      </c>
      <c r="K198" s="20" t="s">
        <v>120</v>
      </c>
      <c r="L198" s="20" t="s">
        <v>117</v>
      </c>
      <c r="M198" s="20" t="s">
        <v>78</v>
      </c>
      <c r="N198" s="21" t="s">
        <v>62</v>
      </c>
      <c r="O198" s="22" t="s">
        <v>62</v>
      </c>
      <c r="P198" s="22">
        <v>11</v>
      </c>
      <c r="Q198" s="22" t="s">
        <v>62</v>
      </c>
      <c r="R198" s="22" t="s">
        <v>62</v>
      </c>
      <c r="S198" s="22" t="s">
        <v>62</v>
      </c>
      <c r="T198" s="19">
        <v>11</v>
      </c>
      <c r="U198" s="21">
        <v>10</v>
      </c>
      <c r="V198" s="21">
        <v>11</v>
      </c>
      <c r="W198" s="21">
        <v>9</v>
      </c>
      <c r="X198" s="22">
        <v>10</v>
      </c>
      <c r="Y198" s="19">
        <v>91</v>
      </c>
      <c r="Z198" s="19">
        <v>100</v>
      </c>
      <c r="AA198" s="19">
        <v>82</v>
      </c>
      <c r="AB198" s="19">
        <v>91</v>
      </c>
      <c r="AC198" s="19">
        <v>4</v>
      </c>
      <c r="AD198" s="19">
        <v>5</v>
      </c>
      <c r="AE198" s="19">
        <v>8</v>
      </c>
      <c r="AF198" s="19">
        <v>7</v>
      </c>
      <c r="AG198" s="22">
        <v>8</v>
      </c>
      <c r="AH198" s="19">
        <v>45</v>
      </c>
      <c r="AI198" s="19">
        <v>73</v>
      </c>
      <c r="AJ198" s="19">
        <v>64</v>
      </c>
      <c r="AK198" s="19">
        <v>73</v>
      </c>
      <c r="AL198" s="19">
        <v>0</v>
      </c>
      <c r="AM198" s="21" t="s">
        <v>62</v>
      </c>
      <c r="AN198" s="21" t="s">
        <v>62</v>
      </c>
      <c r="AO198" s="21" t="s">
        <v>62</v>
      </c>
      <c r="AP198" s="21" t="s">
        <v>62</v>
      </c>
      <c r="AQ198" s="21" t="s">
        <v>62</v>
      </c>
      <c r="AR198" s="21" t="s">
        <v>62</v>
      </c>
      <c r="AS198" s="21" t="s">
        <v>62</v>
      </c>
      <c r="AT198" s="21" t="s">
        <v>62</v>
      </c>
      <c r="AU198" s="21" t="s">
        <v>62</v>
      </c>
      <c r="AV198" s="21" t="s">
        <v>62</v>
      </c>
      <c r="AW198" s="21" t="s">
        <v>62</v>
      </c>
      <c r="AX198" s="21" t="s">
        <v>62</v>
      </c>
      <c r="AY198" s="21" t="s">
        <v>62</v>
      </c>
      <c r="AZ198" s="21" t="s">
        <v>62</v>
      </c>
      <c r="BA198" s="21" t="s">
        <v>62</v>
      </c>
      <c r="BB198" s="21" t="s">
        <v>62</v>
      </c>
      <c r="BC198" s="21" t="s">
        <v>62</v>
      </c>
      <c r="BD198" s="21" t="s">
        <v>62</v>
      </c>
      <c r="BE198" s="21" t="s">
        <v>62</v>
      </c>
      <c r="BF198" s="21" t="s">
        <v>62</v>
      </c>
      <c r="BG198" s="21" t="s">
        <v>62</v>
      </c>
      <c r="BH198" s="21" t="s">
        <v>62</v>
      </c>
      <c r="BI198" s="20" t="s">
        <v>62</v>
      </c>
      <c r="BJ198" s="21" t="s">
        <v>62</v>
      </c>
      <c r="BK198" s="21" t="s">
        <v>62</v>
      </c>
      <c r="BL198" s="21" t="s">
        <v>62</v>
      </c>
      <c r="BM198" s="21" t="s">
        <v>62</v>
      </c>
      <c r="BN198" s="21" t="s">
        <v>62</v>
      </c>
      <c r="BO198" s="21" t="s">
        <v>62</v>
      </c>
      <c r="BP198" s="21" t="s">
        <v>62</v>
      </c>
      <c r="BQ198" s="21" t="s">
        <v>62</v>
      </c>
      <c r="BR198" s="21" t="s">
        <v>62</v>
      </c>
      <c r="BS198" s="21" t="s">
        <v>62</v>
      </c>
      <c r="BT198" s="21" t="s">
        <v>62</v>
      </c>
      <c r="BU198" s="21" t="s">
        <v>62</v>
      </c>
      <c r="BV198" s="21" t="s">
        <v>62</v>
      </c>
      <c r="BW198" s="21" t="s">
        <v>62</v>
      </c>
      <c r="BX198" s="21" t="s">
        <v>62</v>
      </c>
      <c r="BY198" s="21" t="s">
        <v>62</v>
      </c>
      <c r="BZ198" s="21" t="s">
        <v>62</v>
      </c>
      <c r="CA198" s="21" t="s">
        <v>62</v>
      </c>
      <c r="CB198" s="21" t="s">
        <v>62</v>
      </c>
      <c r="CC198" s="21" t="s">
        <v>62</v>
      </c>
      <c r="CD198" s="21" t="s">
        <v>62</v>
      </c>
      <c r="CE198" s="21" t="s">
        <v>62</v>
      </c>
      <c r="CF198" s="20" t="s">
        <v>62</v>
      </c>
      <c r="CG198" s="20" t="s">
        <v>74</v>
      </c>
      <c r="CH198" s="20">
        <v>8.5599999999999999E-4</v>
      </c>
      <c r="CI198" s="19">
        <v>4</v>
      </c>
      <c r="CJ198" s="78">
        <v>3</v>
      </c>
      <c r="CK198" s="78" t="s">
        <v>224</v>
      </c>
      <c r="CL198" s="78" t="s">
        <v>224</v>
      </c>
      <c r="CM198" s="78">
        <v>286.61168500000002</v>
      </c>
      <c r="CN198" s="78">
        <v>2</v>
      </c>
      <c r="CO198" s="78" t="s">
        <v>224</v>
      </c>
      <c r="CP198" s="78" t="s">
        <v>224</v>
      </c>
      <c r="CQ198" s="78" t="s">
        <v>224</v>
      </c>
      <c r="CR198" s="12" t="str">
        <f>IF(COUNTIF(Incl!A:A,Raw!J198),1, "")</f>
        <v/>
      </c>
    </row>
    <row r="199" spans="1:96" ht="13.5" thickTop="1" thickBot="1" x14ac:dyDescent="0.3">
      <c r="A199" s="18">
        <v>196</v>
      </c>
      <c r="B199" s="19">
        <v>1</v>
      </c>
      <c r="C199" s="20">
        <v>299.60897399999999</v>
      </c>
      <c r="D199" s="19">
        <v>199</v>
      </c>
      <c r="E199" s="19">
        <v>1</v>
      </c>
      <c r="F199" s="19">
        <v>228</v>
      </c>
      <c r="G199" s="21">
        <v>32</v>
      </c>
      <c r="H199" s="19">
        <v>32</v>
      </c>
      <c r="I199" s="19">
        <v>32</v>
      </c>
      <c r="J199" s="19">
        <v>32</v>
      </c>
      <c r="K199" s="20" t="s">
        <v>95</v>
      </c>
      <c r="L199" s="20" t="s">
        <v>78</v>
      </c>
      <c r="M199" s="20" t="s">
        <v>117</v>
      </c>
      <c r="N199" s="22" t="s">
        <v>62</v>
      </c>
      <c r="O199" s="22" t="s">
        <v>62</v>
      </c>
      <c r="P199" s="22">
        <v>12</v>
      </c>
      <c r="Q199" s="22" t="s">
        <v>62</v>
      </c>
      <c r="R199" s="22" t="s">
        <v>62</v>
      </c>
      <c r="S199" s="21" t="s">
        <v>62</v>
      </c>
      <c r="T199" s="19">
        <v>12</v>
      </c>
      <c r="U199" s="21">
        <v>7</v>
      </c>
      <c r="V199" s="21">
        <v>7</v>
      </c>
      <c r="W199" s="21">
        <v>9</v>
      </c>
      <c r="X199" s="21">
        <v>7</v>
      </c>
      <c r="Y199" s="19">
        <v>59</v>
      </c>
      <c r="Z199" s="19">
        <v>59</v>
      </c>
      <c r="AA199" s="19">
        <v>76</v>
      </c>
      <c r="AB199" s="19">
        <v>59</v>
      </c>
      <c r="AC199" s="19">
        <v>1</v>
      </c>
      <c r="AD199" s="19">
        <v>5</v>
      </c>
      <c r="AE199" s="19">
        <v>5</v>
      </c>
      <c r="AF199" s="19">
        <v>6</v>
      </c>
      <c r="AG199" s="21">
        <v>7</v>
      </c>
      <c r="AH199" s="19">
        <v>42</v>
      </c>
      <c r="AI199" s="19">
        <v>42</v>
      </c>
      <c r="AJ199" s="19">
        <v>50</v>
      </c>
      <c r="AK199" s="19">
        <v>59</v>
      </c>
      <c r="AL199" s="19">
        <v>0</v>
      </c>
      <c r="AM199" s="22" t="s">
        <v>62</v>
      </c>
      <c r="AN199" s="22" t="s">
        <v>62</v>
      </c>
      <c r="AO199" s="22" t="s">
        <v>62</v>
      </c>
      <c r="AP199" s="22" t="s">
        <v>62</v>
      </c>
      <c r="AQ199" s="22" t="s">
        <v>62</v>
      </c>
      <c r="AR199" s="22" t="s">
        <v>62</v>
      </c>
      <c r="AS199" s="22" t="s">
        <v>62</v>
      </c>
      <c r="AT199" s="22" t="s">
        <v>62</v>
      </c>
      <c r="AU199" s="22" t="s">
        <v>62</v>
      </c>
      <c r="AV199" s="22" t="s">
        <v>62</v>
      </c>
      <c r="AW199" s="22" t="s">
        <v>62</v>
      </c>
      <c r="AX199" s="22" t="s">
        <v>62</v>
      </c>
      <c r="AY199" s="22" t="s">
        <v>62</v>
      </c>
      <c r="AZ199" s="22" t="s">
        <v>62</v>
      </c>
      <c r="BA199" s="22" t="s">
        <v>62</v>
      </c>
      <c r="BB199" s="22" t="s">
        <v>62</v>
      </c>
      <c r="BC199" s="22" t="s">
        <v>62</v>
      </c>
      <c r="BD199" s="22" t="s">
        <v>62</v>
      </c>
      <c r="BE199" s="22" t="s">
        <v>62</v>
      </c>
      <c r="BF199" s="22" t="s">
        <v>62</v>
      </c>
      <c r="BG199" s="22" t="s">
        <v>62</v>
      </c>
      <c r="BH199" s="22" t="s">
        <v>62</v>
      </c>
      <c r="BI199" s="22" t="s">
        <v>62</v>
      </c>
      <c r="BJ199" s="22" t="s">
        <v>62</v>
      </c>
      <c r="BK199" s="22" t="s">
        <v>62</v>
      </c>
      <c r="BL199" s="22" t="s">
        <v>62</v>
      </c>
      <c r="BM199" s="22" t="s">
        <v>62</v>
      </c>
      <c r="BN199" s="22" t="s">
        <v>62</v>
      </c>
      <c r="BO199" s="22" t="s">
        <v>62</v>
      </c>
      <c r="BP199" s="22" t="s">
        <v>62</v>
      </c>
      <c r="BQ199" s="22" t="s">
        <v>62</v>
      </c>
      <c r="BR199" s="22" t="s">
        <v>62</v>
      </c>
      <c r="BS199" s="22" t="s">
        <v>62</v>
      </c>
      <c r="BT199" s="22" t="s">
        <v>62</v>
      </c>
      <c r="BU199" s="22" t="s">
        <v>62</v>
      </c>
      <c r="BV199" s="22" t="s">
        <v>62</v>
      </c>
      <c r="BW199" s="22" t="s">
        <v>62</v>
      </c>
      <c r="BX199" s="22" t="s">
        <v>62</v>
      </c>
      <c r="BY199" s="22" t="s">
        <v>62</v>
      </c>
      <c r="BZ199" s="22" t="s">
        <v>62</v>
      </c>
      <c r="CA199" s="22" t="s">
        <v>62</v>
      </c>
      <c r="CB199" s="22" t="s">
        <v>62</v>
      </c>
      <c r="CC199" s="22" t="s">
        <v>62</v>
      </c>
      <c r="CD199" s="22" t="s">
        <v>62</v>
      </c>
      <c r="CE199" s="22" t="s">
        <v>62</v>
      </c>
      <c r="CF199" s="22" t="s">
        <v>62</v>
      </c>
      <c r="CG199" s="20" t="s">
        <v>71</v>
      </c>
      <c r="CH199" s="20">
        <v>9.0499999999999999E-4</v>
      </c>
      <c r="CI199" s="19">
        <v>1</v>
      </c>
      <c r="CJ199" s="78">
        <v>3</v>
      </c>
      <c r="CK199" s="78" t="s">
        <v>224</v>
      </c>
      <c r="CL199" s="78" t="s">
        <v>224</v>
      </c>
      <c r="CM199" s="78">
        <v>299.60915299999999</v>
      </c>
      <c r="CN199" s="78">
        <v>2</v>
      </c>
      <c r="CO199" s="78" t="s">
        <v>224</v>
      </c>
      <c r="CP199" s="78" t="s">
        <v>224</v>
      </c>
      <c r="CQ199" s="78" t="s">
        <v>224</v>
      </c>
      <c r="CR199" s="12" t="str">
        <f>IF(COUNTIF(Incl!A:A,Raw!J199),1, "")</f>
        <v/>
      </c>
    </row>
    <row r="200" spans="1:96" ht="13.5" thickTop="1" thickBot="1" x14ac:dyDescent="0.3">
      <c r="A200" s="13">
        <v>197</v>
      </c>
      <c r="B200" s="14">
        <v>1</v>
      </c>
      <c r="C200" s="15">
        <v>287.52380799999997</v>
      </c>
      <c r="D200" s="14">
        <v>200</v>
      </c>
      <c r="E200" s="14">
        <v>1</v>
      </c>
      <c r="F200" s="14">
        <v>229</v>
      </c>
      <c r="G200" s="16">
        <v>33</v>
      </c>
      <c r="H200" s="14">
        <v>33</v>
      </c>
      <c r="I200" s="14">
        <v>33</v>
      </c>
      <c r="J200" s="14">
        <v>33</v>
      </c>
      <c r="K200" s="15" t="s">
        <v>95</v>
      </c>
      <c r="L200" s="15" t="s">
        <v>117</v>
      </c>
      <c r="M200" s="15" t="s">
        <v>78</v>
      </c>
      <c r="N200" s="17" t="s">
        <v>62</v>
      </c>
      <c r="O200" s="17" t="s">
        <v>62</v>
      </c>
      <c r="P200" s="17">
        <v>11</v>
      </c>
      <c r="Q200" s="17" t="s">
        <v>62</v>
      </c>
      <c r="R200" s="17" t="s">
        <v>62</v>
      </c>
      <c r="S200" s="16" t="s">
        <v>62</v>
      </c>
      <c r="T200" s="14">
        <v>11</v>
      </c>
      <c r="U200" s="16">
        <v>8</v>
      </c>
      <c r="V200" s="16">
        <v>10</v>
      </c>
      <c r="W200" s="16">
        <v>11</v>
      </c>
      <c r="X200" s="16">
        <v>10</v>
      </c>
      <c r="Y200" s="14">
        <v>76</v>
      </c>
      <c r="Z200" s="14">
        <v>95</v>
      </c>
      <c r="AA200" s="14">
        <v>105</v>
      </c>
      <c r="AB200" s="14">
        <v>95</v>
      </c>
      <c r="AC200" s="14">
        <v>4</v>
      </c>
      <c r="AD200" s="14">
        <v>10</v>
      </c>
      <c r="AE200" s="14">
        <v>10</v>
      </c>
      <c r="AF200" s="14">
        <v>8</v>
      </c>
      <c r="AG200" s="16">
        <v>10</v>
      </c>
      <c r="AH200" s="14">
        <v>95</v>
      </c>
      <c r="AI200" s="14">
        <v>95</v>
      </c>
      <c r="AJ200" s="14">
        <v>76</v>
      </c>
      <c r="AK200" s="14">
        <v>95</v>
      </c>
      <c r="AL200" s="14">
        <v>4</v>
      </c>
      <c r="AM200" s="17" t="s">
        <v>62</v>
      </c>
      <c r="AN200" s="17" t="s">
        <v>62</v>
      </c>
      <c r="AO200" s="17" t="s">
        <v>62</v>
      </c>
      <c r="AP200" s="17" t="s">
        <v>62</v>
      </c>
      <c r="AQ200" s="17" t="s">
        <v>62</v>
      </c>
      <c r="AR200" s="17" t="s">
        <v>62</v>
      </c>
      <c r="AS200" s="17" t="s">
        <v>62</v>
      </c>
      <c r="AT200" s="17" t="s">
        <v>62</v>
      </c>
      <c r="AU200" s="17" t="s">
        <v>62</v>
      </c>
      <c r="AV200" s="17" t="s">
        <v>62</v>
      </c>
      <c r="AW200" s="17" t="s">
        <v>62</v>
      </c>
      <c r="AX200" s="17" t="s">
        <v>62</v>
      </c>
      <c r="AY200" s="17" t="s">
        <v>62</v>
      </c>
      <c r="AZ200" s="17" t="s">
        <v>62</v>
      </c>
      <c r="BA200" s="17" t="s">
        <v>62</v>
      </c>
      <c r="BB200" s="17" t="s">
        <v>62</v>
      </c>
      <c r="BC200" s="17" t="s">
        <v>62</v>
      </c>
      <c r="BD200" s="17" t="s">
        <v>62</v>
      </c>
      <c r="BE200" s="17" t="s">
        <v>62</v>
      </c>
      <c r="BF200" s="17" t="s">
        <v>62</v>
      </c>
      <c r="BG200" s="17" t="s">
        <v>62</v>
      </c>
      <c r="BH200" s="17" t="s">
        <v>62</v>
      </c>
      <c r="BI200" s="17" t="s">
        <v>62</v>
      </c>
      <c r="BJ200" s="17" t="s">
        <v>62</v>
      </c>
      <c r="BK200" s="17" t="s">
        <v>62</v>
      </c>
      <c r="BL200" s="17" t="s">
        <v>62</v>
      </c>
      <c r="BM200" s="17" t="s">
        <v>62</v>
      </c>
      <c r="BN200" s="17" t="s">
        <v>62</v>
      </c>
      <c r="BO200" s="17" t="s">
        <v>62</v>
      </c>
      <c r="BP200" s="17" t="s">
        <v>62</v>
      </c>
      <c r="BQ200" s="17" t="s">
        <v>62</v>
      </c>
      <c r="BR200" s="17" t="s">
        <v>62</v>
      </c>
      <c r="BS200" s="17" t="s">
        <v>62</v>
      </c>
      <c r="BT200" s="17" t="s">
        <v>62</v>
      </c>
      <c r="BU200" s="17" t="s">
        <v>62</v>
      </c>
      <c r="BV200" s="17" t="s">
        <v>62</v>
      </c>
      <c r="BW200" s="17" t="s">
        <v>62</v>
      </c>
      <c r="BX200" s="17" t="s">
        <v>62</v>
      </c>
      <c r="BY200" s="17" t="s">
        <v>62</v>
      </c>
      <c r="BZ200" s="17" t="s">
        <v>62</v>
      </c>
      <c r="CA200" s="17" t="s">
        <v>62</v>
      </c>
      <c r="CB200" s="17" t="s">
        <v>62</v>
      </c>
      <c r="CC200" s="17" t="s">
        <v>62</v>
      </c>
      <c r="CD200" s="17" t="s">
        <v>62</v>
      </c>
      <c r="CE200" s="17" t="s">
        <v>62</v>
      </c>
      <c r="CF200" s="17" t="s">
        <v>62</v>
      </c>
      <c r="CG200" s="15" t="s">
        <v>74</v>
      </c>
      <c r="CH200" s="15">
        <v>8.6799999999999996E-4</v>
      </c>
      <c r="CI200" s="14">
        <v>8</v>
      </c>
      <c r="CJ200" s="79">
        <v>3</v>
      </c>
      <c r="CK200" s="79" t="s">
        <v>224</v>
      </c>
      <c r="CL200" s="79" t="s">
        <v>224</v>
      </c>
      <c r="CM200" s="79">
        <v>287.523864</v>
      </c>
      <c r="CN200" s="79">
        <v>2</v>
      </c>
      <c r="CO200" s="79" t="s">
        <v>224</v>
      </c>
      <c r="CP200" s="79" t="s">
        <v>224</v>
      </c>
      <c r="CQ200" s="79" t="s">
        <v>224</v>
      </c>
      <c r="CR200" s="12" t="str">
        <f>IF(COUNTIF(Incl!A:A,Raw!J200),1, "")</f>
        <v/>
      </c>
    </row>
    <row r="201" spans="1:96" ht="13.5" thickTop="1" thickBot="1" x14ac:dyDescent="0.3">
      <c r="A201" s="18">
        <v>198</v>
      </c>
      <c r="B201" s="19">
        <v>1</v>
      </c>
      <c r="C201" s="20">
        <v>173.364587</v>
      </c>
      <c r="D201" s="19">
        <v>201</v>
      </c>
      <c r="E201" s="19">
        <v>1</v>
      </c>
      <c r="F201" s="19">
        <v>230</v>
      </c>
      <c r="G201" s="21">
        <v>226</v>
      </c>
      <c r="H201" s="19">
        <v>226</v>
      </c>
      <c r="I201" s="19">
        <v>226</v>
      </c>
      <c r="J201" s="19">
        <v>226</v>
      </c>
      <c r="K201" s="20" t="s">
        <v>117</v>
      </c>
      <c r="L201" s="20" t="s">
        <v>120</v>
      </c>
      <c r="M201" s="20" t="s">
        <v>98</v>
      </c>
      <c r="N201" s="22" t="s">
        <v>62</v>
      </c>
      <c r="O201" s="22" t="s">
        <v>62</v>
      </c>
      <c r="P201" s="21">
        <v>8</v>
      </c>
      <c r="Q201" s="22" t="s">
        <v>62</v>
      </c>
      <c r="R201" s="22" t="s">
        <v>62</v>
      </c>
      <c r="S201" s="22" t="s">
        <v>62</v>
      </c>
      <c r="T201" s="19">
        <v>8</v>
      </c>
      <c r="U201" s="21">
        <v>7</v>
      </c>
      <c r="V201" s="21">
        <v>7</v>
      </c>
      <c r="W201" s="22">
        <v>7</v>
      </c>
      <c r="X201" s="21">
        <v>8</v>
      </c>
      <c r="Y201" s="19">
        <v>92</v>
      </c>
      <c r="Z201" s="19">
        <v>92</v>
      </c>
      <c r="AA201" s="19">
        <v>92</v>
      </c>
      <c r="AB201" s="19">
        <v>105</v>
      </c>
      <c r="AC201" s="19">
        <v>4</v>
      </c>
      <c r="AD201" s="19">
        <v>4</v>
      </c>
      <c r="AE201" s="19">
        <v>4</v>
      </c>
      <c r="AF201" s="19">
        <v>3</v>
      </c>
      <c r="AG201" s="21">
        <v>5</v>
      </c>
      <c r="AH201" s="19">
        <v>53</v>
      </c>
      <c r="AI201" s="19">
        <v>53</v>
      </c>
      <c r="AJ201" s="19">
        <v>39</v>
      </c>
      <c r="AK201" s="19">
        <v>66</v>
      </c>
      <c r="AL201" s="19">
        <v>0</v>
      </c>
      <c r="AM201" s="22" t="s">
        <v>62</v>
      </c>
      <c r="AN201" s="22" t="s">
        <v>62</v>
      </c>
      <c r="AO201" s="22" t="s">
        <v>62</v>
      </c>
      <c r="AP201" s="22" t="s">
        <v>62</v>
      </c>
      <c r="AQ201" s="22" t="s">
        <v>62</v>
      </c>
      <c r="AR201" s="22" t="s">
        <v>62</v>
      </c>
      <c r="AS201" s="22" t="s">
        <v>62</v>
      </c>
      <c r="AT201" s="22" t="s">
        <v>62</v>
      </c>
      <c r="AU201" s="22" t="s">
        <v>62</v>
      </c>
      <c r="AV201" s="22" t="s">
        <v>62</v>
      </c>
      <c r="AW201" s="22" t="s">
        <v>62</v>
      </c>
      <c r="AX201" s="22" t="s">
        <v>62</v>
      </c>
      <c r="AY201" s="22" t="s">
        <v>62</v>
      </c>
      <c r="AZ201" s="22" t="s">
        <v>62</v>
      </c>
      <c r="BA201" s="22" t="s">
        <v>62</v>
      </c>
      <c r="BB201" s="22" t="s">
        <v>62</v>
      </c>
      <c r="BC201" s="22" t="s">
        <v>62</v>
      </c>
      <c r="BD201" s="22" t="s">
        <v>62</v>
      </c>
      <c r="BE201" s="22" t="s">
        <v>62</v>
      </c>
      <c r="BF201" s="22" t="s">
        <v>62</v>
      </c>
      <c r="BG201" s="22" t="s">
        <v>62</v>
      </c>
      <c r="BH201" s="22" t="s">
        <v>62</v>
      </c>
      <c r="BI201" s="22" t="s">
        <v>62</v>
      </c>
      <c r="BJ201" s="22" t="s">
        <v>62</v>
      </c>
      <c r="BK201" s="22" t="s">
        <v>62</v>
      </c>
      <c r="BL201" s="22" t="s">
        <v>62</v>
      </c>
      <c r="BM201" s="22" t="s">
        <v>62</v>
      </c>
      <c r="BN201" s="22" t="s">
        <v>62</v>
      </c>
      <c r="BO201" s="22" t="s">
        <v>62</v>
      </c>
      <c r="BP201" s="22" t="s">
        <v>62</v>
      </c>
      <c r="BQ201" s="22" t="s">
        <v>62</v>
      </c>
      <c r="BR201" s="22" t="s">
        <v>62</v>
      </c>
      <c r="BS201" s="22" t="s">
        <v>62</v>
      </c>
      <c r="BT201" s="22" t="s">
        <v>62</v>
      </c>
      <c r="BU201" s="22" t="s">
        <v>62</v>
      </c>
      <c r="BV201" s="22" t="s">
        <v>62</v>
      </c>
      <c r="BW201" s="22" t="s">
        <v>62</v>
      </c>
      <c r="BX201" s="22" t="s">
        <v>62</v>
      </c>
      <c r="BY201" s="22" t="s">
        <v>62</v>
      </c>
      <c r="BZ201" s="22" t="s">
        <v>62</v>
      </c>
      <c r="CA201" s="22" t="s">
        <v>62</v>
      </c>
      <c r="CB201" s="22" t="s">
        <v>62</v>
      </c>
      <c r="CC201" s="22" t="s">
        <v>62</v>
      </c>
      <c r="CD201" s="22" t="s">
        <v>62</v>
      </c>
      <c r="CE201" s="22" t="s">
        <v>62</v>
      </c>
      <c r="CF201" s="22" t="s">
        <v>62</v>
      </c>
      <c r="CG201" s="20" t="s">
        <v>64</v>
      </c>
      <c r="CH201" s="20">
        <v>5.6499999999999996E-4</v>
      </c>
      <c r="CI201" s="19">
        <v>4</v>
      </c>
      <c r="CJ201" s="78">
        <v>3</v>
      </c>
      <c r="CK201" s="78" t="s">
        <v>224</v>
      </c>
      <c r="CL201" s="78" t="s">
        <v>224</v>
      </c>
      <c r="CM201" s="78">
        <v>173.36453800000001</v>
      </c>
      <c r="CN201" s="78">
        <v>2</v>
      </c>
      <c r="CO201" s="78" t="s">
        <v>224</v>
      </c>
      <c r="CP201" s="78" t="s">
        <v>224</v>
      </c>
      <c r="CQ201" s="78" t="s">
        <v>224</v>
      </c>
      <c r="CR201" s="12" t="str">
        <f>IF(COUNTIF(Incl!A:A,Raw!J201),1, "")</f>
        <v/>
      </c>
    </row>
    <row r="202" spans="1:96" ht="13.5" thickTop="1" thickBot="1" x14ac:dyDescent="0.3">
      <c r="A202" s="13">
        <v>199</v>
      </c>
      <c r="B202" s="14">
        <v>1</v>
      </c>
      <c r="C202" s="15">
        <v>160.674035</v>
      </c>
      <c r="D202" s="14">
        <v>202</v>
      </c>
      <c r="E202" s="14">
        <v>1</v>
      </c>
      <c r="F202" s="14">
        <v>231</v>
      </c>
      <c r="G202" s="16">
        <v>228</v>
      </c>
      <c r="H202" s="14">
        <v>228</v>
      </c>
      <c r="I202" s="14">
        <v>228</v>
      </c>
      <c r="J202" s="14">
        <v>228</v>
      </c>
      <c r="K202" s="15" t="s">
        <v>117</v>
      </c>
      <c r="L202" s="15" t="s">
        <v>95</v>
      </c>
      <c r="M202" s="15" t="s">
        <v>120</v>
      </c>
      <c r="N202" s="17" t="s">
        <v>62</v>
      </c>
      <c r="O202" s="17" t="s">
        <v>62</v>
      </c>
      <c r="P202" s="16">
        <v>11</v>
      </c>
      <c r="Q202" s="17" t="s">
        <v>62</v>
      </c>
      <c r="R202" s="17" t="s">
        <v>62</v>
      </c>
      <c r="S202" s="17" t="s">
        <v>62</v>
      </c>
      <c r="T202" s="14">
        <v>11</v>
      </c>
      <c r="U202" s="16">
        <v>9</v>
      </c>
      <c r="V202" s="16">
        <v>5</v>
      </c>
      <c r="W202" s="16">
        <v>6</v>
      </c>
      <c r="X202" s="16">
        <v>9</v>
      </c>
      <c r="Y202" s="14">
        <v>81</v>
      </c>
      <c r="Z202" s="14">
        <v>45</v>
      </c>
      <c r="AA202" s="14">
        <v>54</v>
      </c>
      <c r="AB202" s="14">
        <v>81</v>
      </c>
      <c r="AC202" s="14">
        <v>2</v>
      </c>
      <c r="AD202" s="14">
        <v>9</v>
      </c>
      <c r="AE202" s="14">
        <v>9</v>
      </c>
      <c r="AF202" s="14">
        <v>6</v>
      </c>
      <c r="AG202" s="16">
        <v>6</v>
      </c>
      <c r="AH202" s="14">
        <v>81</v>
      </c>
      <c r="AI202" s="14">
        <v>81</v>
      </c>
      <c r="AJ202" s="14">
        <v>54</v>
      </c>
      <c r="AK202" s="14">
        <v>54</v>
      </c>
      <c r="AL202" s="14">
        <v>2</v>
      </c>
      <c r="AM202" s="17" t="s">
        <v>62</v>
      </c>
      <c r="AN202" s="17" t="s">
        <v>62</v>
      </c>
      <c r="AO202" s="17" t="s">
        <v>62</v>
      </c>
      <c r="AP202" s="17" t="s">
        <v>62</v>
      </c>
      <c r="AQ202" s="17" t="s">
        <v>62</v>
      </c>
      <c r="AR202" s="17" t="s">
        <v>62</v>
      </c>
      <c r="AS202" s="17" t="s">
        <v>62</v>
      </c>
      <c r="AT202" s="17" t="s">
        <v>62</v>
      </c>
      <c r="AU202" s="17" t="s">
        <v>62</v>
      </c>
      <c r="AV202" s="17" t="s">
        <v>62</v>
      </c>
      <c r="AW202" s="17" t="s">
        <v>62</v>
      </c>
      <c r="AX202" s="17" t="s">
        <v>62</v>
      </c>
      <c r="AY202" s="17" t="s">
        <v>62</v>
      </c>
      <c r="AZ202" s="17" t="s">
        <v>62</v>
      </c>
      <c r="BA202" s="17" t="s">
        <v>62</v>
      </c>
      <c r="BB202" s="17" t="s">
        <v>62</v>
      </c>
      <c r="BC202" s="17" t="s">
        <v>62</v>
      </c>
      <c r="BD202" s="17" t="s">
        <v>62</v>
      </c>
      <c r="BE202" s="17" t="s">
        <v>62</v>
      </c>
      <c r="BF202" s="17" t="s">
        <v>62</v>
      </c>
      <c r="BG202" s="17" t="s">
        <v>62</v>
      </c>
      <c r="BH202" s="17" t="s">
        <v>62</v>
      </c>
      <c r="BI202" s="17" t="s">
        <v>62</v>
      </c>
      <c r="BJ202" s="17" t="s">
        <v>62</v>
      </c>
      <c r="BK202" s="17" t="s">
        <v>62</v>
      </c>
      <c r="BL202" s="17" t="s">
        <v>62</v>
      </c>
      <c r="BM202" s="17" t="s">
        <v>62</v>
      </c>
      <c r="BN202" s="17" t="s">
        <v>62</v>
      </c>
      <c r="BO202" s="17" t="s">
        <v>62</v>
      </c>
      <c r="BP202" s="17" t="s">
        <v>62</v>
      </c>
      <c r="BQ202" s="17" t="s">
        <v>62</v>
      </c>
      <c r="BR202" s="17" t="s">
        <v>62</v>
      </c>
      <c r="BS202" s="17" t="s">
        <v>62</v>
      </c>
      <c r="BT202" s="17" t="s">
        <v>62</v>
      </c>
      <c r="BU202" s="17" t="s">
        <v>62</v>
      </c>
      <c r="BV202" s="17" t="s">
        <v>62</v>
      </c>
      <c r="BW202" s="17" t="s">
        <v>62</v>
      </c>
      <c r="BX202" s="17" t="s">
        <v>62</v>
      </c>
      <c r="BY202" s="17" t="s">
        <v>62</v>
      </c>
      <c r="BZ202" s="17" t="s">
        <v>62</v>
      </c>
      <c r="CA202" s="17" t="s">
        <v>62</v>
      </c>
      <c r="CB202" s="17" t="s">
        <v>62</v>
      </c>
      <c r="CC202" s="17" t="s">
        <v>62</v>
      </c>
      <c r="CD202" s="17" t="s">
        <v>62</v>
      </c>
      <c r="CE202" s="17" t="s">
        <v>62</v>
      </c>
      <c r="CF202" s="17" t="s">
        <v>62</v>
      </c>
      <c r="CG202" s="15" t="s">
        <v>64</v>
      </c>
      <c r="CH202" s="15">
        <v>5.1500000000000005E-4</v>
      </c>
      <c r="CI202" s="14">
        <v>4</v>
      </c>
      <c r="CJ202" s="79">
        <v>3</v>
      </c>
      <c r="CK202" s="79" t="s">
        <v>224</v>
      </c>
      <c r="CL202" s="79" t="s">
        <v>224</v>
      </c>
      <c r="CM202" s="79">
        <v>160.67424800000001</v>
      </c>
      <c r="CN202" s="79">
        <v>2</v>
      </c>
      <c r="CO202" s="79" t="s">
        <v>224</v>
      </c>
      <c r="CP202" s="79" t="s">
        <v>224</v>
      </c>
      <c r="CQ202" s="79" t="s">
        <v>224</v>
      </c>
      <c r="CR202" s="12" t="str">
        <f>IF(COUNTIF(Incl!A:A,Raw!J202),1, "")</f>
        <v/>
      </c>
    </row>
    <row r="203" spans="1:96" ht="13.5" thickTop="1" thickBot="1" x14ac:dyDescent="0.3">
      <c r="A203" s="13">
        <v>200</v>
      </c>
      <c r="B203" s="14">
        <v>1</v>
      </c>
      <c r="C203" s="15">
        <v>146.242625</v>
      </c>
      <c r="D203" s="14">
        <v>203</v>
      </c>
      <c r="E203" s="14">
        <v>1</v>
      </c>
      <c r="F203" s="14">
        <v>232</v>
      </c>
      <c r="G203" s="16">
        <v>230</v>
      </c>
      <c r="H203" s="14">
        <v>230</v>
      </c>
      <c r="I203" s="14">
        <v>230</v>
      </c>
      <c r="J203" s="14">
        <v>230</v>
      </c>
      <c r="K203" s="15" t="s">
        <v>117</v>
      </c>
      <c r="L203" s="15" t="s">
        <v>114</v>
      </c>
      <c r="M203" s="15" t="s">
        <v>95</v>
      </c>
      <c r="N203" s="17" t="s">
        <v>62</v>
      </c>
      <c r="O203" s="17" t="s">
        <v>62</v>
      </c>
      <c r="P203" s="16">
        <v>5</v>
      </c>
      <c r="Q203" s="17">
        <v>3</v>
      </c>
      <c r="R203" s="17">
        <v>3</v>
      </c>
      <c r="S203" s="17" t="s">
        <v>62</v>
      </c>
      <c r="T203" s="14">
        <v>11</v>
      </c>
      <c r="U203" s="16">
        <v>9</v>
      </c>
      <c r="V203" s="16">
        <v>5</v>
      </c>
      <c r="W203" s="16">
        <v>10</v>
      </c>
      <c r="X203" s="16">
        <v>10</v>
      </c>
      <c r="Y203" s="14">
        <v>84</v>
      </c>
      <c r="Z203" s="14">
        <v>47</v>
      </c>
      <c r="AA203" s="14">
        <v>93</v>
      </c>
      <c r="AB203" s="14">
        <v>93</v>
      </c>
      <c r="AC203" s="14">
        <v>3</v>
      </c>
      <c r="AD203" s="14">
        <v>6</v>
      </c>
      <c r="AE203" s="14">
        <v>3</v>
      </c>
      <c r="AF203" s="14">
        <v>3</v>
      </c>
      <c r="AG203" s="16">
        <v>4</v>
      </c>
      <c r="AH203" s="14">
        <v>56</v>
      </c>
      <c r="AI203" s="14">
        <v>28</v>
      </c>
      <c r="AJ203" s="14">
        <v>28</v>
      </c>
      <c r="AK203" s="14">
        <v>37</v>
      </c>
      <c r="AL203" s="14">
        <v>0</v>
      </c>
      <c r="AM203" s="17" t="s">
        <v>62</v>
      </c>
      <c r="AN203" s="17" t="s">
        <v>62</v>
      </c>
      <c r="AO203" s="17" t="s">
        <v>62</v>
      </c>
      <c r="AP203" s="17" t="s">
        <v>62</v>
      </c>
      <c r="AQ203" s="17" t="s">
        <v>62</v>
      </c>
      <c r="AR203" s="17" t="s">
        <v>62</v>
      </c>
      <c r="AS203" s="17" t="s">
        <v>62</v>
      </c>
      <c r="AT203" s="17" t="s">
        <v>62</v>
      </c>
      <c r="AU203" s="17" t="s">
        <v>62</v>
      </c>
      <c r="AV203" s="17" t="s">
        <v>62</v>
      </c>
      <c r="AW203" s="17" t="s">
        <v>62</v>
      </c>
      <c r="AX203" s="17" t="s">
        <v>62</v>
      </c>
      <c r="AY203" s="17" t="s">
        <v>62</v>
      </c>
      <c r="AZ203" s="17" t="s">
        <v>62</v>
      </c>
      <c r="BA203" s="17" t="s">
        <v>62</v>
      </c>
      <c r="BB203" s="17" t="s">
        <v>62</v>
      </c>
      <c r="BC203" s="17" t="s">
        <v>62</v>
      </c>
      <c r="BD203" s="17" t="s">
        <v>62</v>
      </c>
      <c r="BE203" s="17" t="s">
        <v>62</v>
      </c>
      <c r="BF203" s="17" t="s">
        <v>62</v>
      </c>
      <c r="BG203" s="17" t="s">
        <v>62</v>
      </c>
      <c r="BH203" s="17" t="s">
        <v>62</v>
      </c>
      <c r="BI203" s="17" t="s">
        <v>62</v>
      </c>
      <c r="BJ203" s="17" t="s">
        <v>62</v>
      </c>
      <c r="BK203" s="17" t="s">
        <v>62</v>
      </c>
      <c r="BL203" s="17" t="s">
        <v>62</v>
      </c>
      <c r="BM203" s="17" t="s">
        <v>62</v>
      </c>
      <c r="BN203" s="17" t="s">
        <v>62</v>
      </c>
      <c r="BO203" s="17" t="s">
        <v>62</v>
      </c>
      <c r="BP203" s="17" t="s">
        <v>62</v>
      </c>
      <c r="BQ203" s="17" t="s">
        <v>62</v>
      </c>
      <c r="BR203" s="17" t="s">
        <v>62</v>
      </c>
      <c r="BS203" s="17" t="s">
        <v>62</v>
      </c>
      <c r="BT203" s="17" t="s">
        <v>62</v>
      </c>
      <c r="BU203" s="17" t="s">
        <v>62</v>
      </c>
      <c r="BV203" s="17" t="s">
        <v>62</v>
      </c>
      <c r="BW203" s="17" t="s">
        <v>62</v>
      </c>
      <c r="BX203" s="17" t="s">
        <v>62</v>
      </c>
      <c r="BY203" s="17" t="s">
        <v>62</v>
      </c>
      <c r="BZ203" s="17" t="s">
        <v>62</v>
      </c>
      <c r="CA203" s="17" t="s">
        <v>62</v>
      </c>
      <c r="CB203" s="17" t="s">
        <v>62</v>
      </c>
      <c r="CC203" s="17" t="s">
        <v>62</v>
      </c>
      <c r="CD203" s="17" t="s">
        <v>62</v>
      </c>
      <c r="CE203" s="17" t="s">
        <v>62</v>
      </c>
      <c r="CF203" s="17" t="s">
        <v>62</v>
      </c>
      <c r="CG203" s="15" t="s">
        <v>64</v>
      </c>
      <c r="CH203" s="15">
        <v>4.6999999999999999E-4</v>
      </c>
      <c r="CI203" s="14">
        <v>3</v>
      </c>
      <c r="CJ203" s="79">
        <v>3</v>
      </c>
      <c r="CK203" s="79" t="s">
        <v>224</v>
      </c>
      <c r="CL203" s="79" t="s">
        <v>224</v>
      </c>
      <c r="CM203" s="79">
        <v>146.24267900000001</v>
      </c>
      <c r="CN203" s="79">
        <v>2</v>
      </c>
      <c r="CO203" s="79" t="s">
        <v>224</v>
      </c>
      <c r="CP203" s="79" t="s">
        <v>224</v>
      </c>
      <c r="CQ203" s="79" t="s">
        <v>224</v>
      </c>
      <c r="CR203" s="12" t="str">
        <f>IF(COUNTIF(Incl!A:A,Raw!J203),1, "")</f>
        <v/>
      </c>
    </row>
    <row r="204" spans="1:96" ht="13.5" thickTop="1" thickBot="1" x14ac:dyDescent="0.3">
      <c r="A204" s="18">
        <v>201</v>
      </c>
      <c r="B204" s="19">
        <v>1</v>
      </c>
      <c r="C204" s="20">
        <v>318.19071400000001</v>
      </c>
      <c r="D204" s="19">
        <v>204</v>
      </c>
      <c r="E204" s="19">
        <v>1</v>
      </c>
      <c r="F204" s="19">
        <v>233</v>
      </c>
      <c r="G204" s="21">
        <v>10</v>
      </c>
      <c r="H204" s="19">
        <v>10</v>
      </c>
      <c r="I204" s="19">
        <v>10</v>
      </c>
      <c r="J204" s="19">
        <v>10</v>
      </c>
      <c r="K204" s="20" t="s">
        <v>98</v>
      </c>
      <c r="L204" s="20" t="s">
        <v>117</v>
      </c>
      <c r="M204" s="20" t="s">
        <v>119</v>
      </c>
      <c r="N204" s="22" t="s">
        <v>62</v>
      </c>
      <c r="O204" s="22" t="s">
        <v>62</v>
      </c>
      <c r="P204" s="21">
        <v>7</v>
      </c>
      <c r="Q204" s="22" t="s">
        <v>62</v>
      </c>
      <c r="R204" s="22" t="s">
        <v>62</v>
      </c>
      <c r="S204" s="22" t="s">
        <v>62</v>
      </c>
      <c r="T204" s="19">
        <v>7</v>
      </c>
      <c r="U204" s="21">
        <v>7</v>
      </c>
      <c r="V204" s="21">
        <v>4</v>
      </c>
      <c r="W204" s="21">
        <v>4</v>
      </c>
      <c r="X204" s="21">
        <v>6</v>
      </c>
      <c r="Y204" s="19">
        <v>97</v>
      </c>
      <c r="Z204" s="19">
        <v>56</v>
      </c>
      <c r="AA204" s="19">
        <v>56</v>
      </c>
      <c r="AB204" s="19">
        <v>83</v>
      </c>
      <c r="AC204" s="19">
        <v>2</v>
      </c>
      <c r="AD204" s="19">
        <v>5</v>
      </c>
      <c r="AE204" s="19">
        <v>2</v>
      </c>
      <c r="AF204" s="19">
        <v>2</v>
      </c>
      <c r="AG204" s="21">
        <v>4</v>
      </c>
      <c r="AH204" s="19">
        <v>69</v>
      </c>
      <c r="AI204" s="19">
        <v>28</v>
      </c>
      <c r="AJ204" s="19">
        <v>28</v>
      </c>
      <c r="AK204" s="19">
        <v>56</v>
      </c>
      <c r="AL204" s="19">
        <v>0</v>
      </c>
      <c r="AM204" s="22" t="s">
        <v>62</v>
      </c>
      <c r="AN204" s="22" t="s">
        <v>62</v>
      </c>
      <c r="AO204" s="22" t="s">
        <v>62</v>
      </c>
      <c r="AP204" s="22" t="s">
        <v>62</v>
      </c>
      <c r="AQ204" s="22" t="s">
        <v>62</v>
      </c>
      <c r="AR204" s="22" t="s">
        <v>62</v>
      </c>
      <c r="AS204" s="22" t="s">
        <v>62</v>
      </c>
      <c r="AT204" s="22" t="s">
        <v>62</v>
      </c>
      <c r="AU204" s="22" t="s">
        <v>62</v>
      </c>
      <c r="AV204" s="22" t="s">
        <v>62</v>
      </c>
      <c r="AW204" s="22" t="s">
        <v>62</v>
      </c>
      <c r="AX204" s="22" t="s">
        <v>62</v>
      </c>
      <c r="AY204" s="22" t="s">
        <v>62</v>
      </c>
      <c r="AZ204" s="22" t="s">
        <v>62</v>
      </c>
      <c r="BA204" s="22" t="s">
        <v>62</v>
      </c>
      <c r="BB204" s="22" t="s">
        <v>62</v>
      </c>
      <c r="BC204" s="22" t="s">
        <v>62</v>
      </c>
      <c r="BD204" s="22" t="s">
        <v>62</v>
      </c>
      <c r="BE204" s="22" t="s">
        <v>62</v>
      </c>
      <c r="BF204" s="22" t="s">
        <v>62</v>
      </c>
      <c r="BG204" s="22" t="s">
        <v>62</v>
      </c>
      <c r="BH204" s="22" t="s">
        <v>62</v>
      </c>
      <c r="BI204" s="22" t="s">
        <v>62</v>
      </c>
      <c r="BJ204" s="22" t="s">
        <v>62</v>
      </c>
      <c r="BK204" s="22" t="s">
        <v>62</v>
      </c>
      <c r="BL204" s="22" t="s">
        <v>62</v>
      </c>
      <c r="BM204" s="22" t="s">
        <v>62</v>
      </c>
      <c r="BN204" s="22" t="s">
        <v>62</v>
      </c>
      <c r="BO204" s="22" t="s">
        <v>62</v>
      </c>
      <c r="BP204" s="22" t="s">
        <v>62</v>
      </c>
      <c r="BQ204" s="22" t="s">
        <v>62</v>
      </c>
      <c r="BR204" s="22" t="s">
        <v>62</v>
      </c>
      <c r="BS204" s="22" t="s">
        <v>62</v>
      </c>
      <c r="BT204" s="22" t="s">
        <v>62</v>
      </c>
      <c r="BU204" s="22" t="s">
        <v>62</v>
      </c>
      <c r="BV204" s="22" t="s">
        <v>62</v>
      </c>
      <c r="BW204" s="22" t="s">
        <v>62</v>
      </c>
      <c r="BX204" s="22" t="s">
        <v>62</v>
      </c>
      <c r="BY204" s="22" t="s">
        <v>62</v>
      </c>
      <c r="BZ204" s="22" t="s">
        <v>62</v>
      </c>
      <c r="CA204" s="22" t="s">
        <v>62</v>
      </c>
      <c r="CB204" s="22" t="s">
        <v>62</v>
      </c>
      <c r="CC204" s="22" t="s">
        <v>62</v>
      </c>
      <c r="CD204" s="22" t="s">
        <v>62</v>
      </c>
      <c r="CE204" s="22" t="s">
        <v>62</v>
      </c>
      <c r="CF204" s="22" t="s">
        <v>62</v>
      </c>
      <c r="CG204" s="20" t="s">
        <v>71</v>
      </c>
      <c r="CH204" s="20">
        <v>9.5100000000000002E-4</v>
      </c>
      <c r="CI204" s="19">
        <v>2</v>
      </c>
      <c r="CJ204" s="78">
        <v>3</v>
      </c>
      <c r="CK204" s="78" t="s">
        <v>224</v>
      </c>
      <c r="CL204" s="78" t="s">
        <v>224</v>
      </c>
      <c r="CM204" s="78">
        <v>318.19074999999998</v>
      </c>
      <c r="CN204" s="78">
        <v>2</v>
      </c>
      <c r="CO204" s="78" t="s">
        <v>224</v>
      </c>
      <c r="CP204" s="78" t="s">
        <v>224</v>
      </c>
      <c r="CQ204" s="78" t="s">
        <v>224</v>
      </c>
      <c r="CR204" s="12" t="str">
        <f>IF(COUNTIF(Incl!A:A,Raw!J204),1, "")</f>
        <v/>
      </c>
    </row>
    <row r="205" spans="1:96" ht="13.5" thickTop="1" thickBot="1" x14ac:dyDescent="0.3">
      <c r="A205" s="13">
        <v>202</v>
      </c>
      <c r="B205" s="14">
        <v>1</v>
      </c>
      <c r="C205" s="15">
        <v>319.15645599999999</v>
      </c>
      <c r="D205" s="14">
        <v>205</v>
      </c>
      <c r="E205" s="14">
        <v>1</v>
      </c>
      <c r="F205" s="14">
        <v>234</v>
      </c>
      <c r="G205" s="16">
        <v>11</v>
      </c>
      <c r="H205" s="14">
        <v>11</v>
      </c>
      <c r="I205" s="14">
        <v>11</v>
      </c>
      <c r="J205" s="14">
        <v>11</v>
      </c>
      <c r="K205" s="15" t="s">
        <v>98</v>
      </c>
      <c r="L205" s="15" t="s">
        <v>119</v>
      </c>
      <c r="M205" s="15" t="s">
        <v>117</v>
      </c>
      <c r="N205" s="17" t="s">
        <v>62</v>
      </c>
      <c r="O205" s="16" t="s">
        <v>62</v>
      </c>
      <c r="P205" s="17">
        <v>11</v>
      </c>
      <c r="Q205" s="17" t="s">
        <v>62</v>
      </c>
      <c r="R205" s="17" t="s">
        <v>62</v>
      </c>
      <c r="S205" s="17" t="s">
        <v>62</v>
      </c>
      <c r="T205" s="14">
        <v>11</v>
      </c>
      <c r="U205" s="16">
        <v>6</v>
      </c>
      <c r="V205" s="16">
        <v>5</v>
      </c>
      <c r="W205" s="16">
        <v>5</v>
      </c>
      <c r="X205" s="16">
        <v>5</v>
      </c>
      <c r="Y205" s="14">
        <v>55</v>
      </c>
      <c r="Z205" s="14">
        <v>46</v>
      </c>
      <c r="AA205" s="14">
        <v>46</v>
      </c>
      <c r="AB205" s="14">
        <v>46</v>
      </c>
      <c r="AC205" s="14">
        <v>0</v>
      </c>
      <c r="AD205" s="14">
        <v>2</v>
      </c>
      <c r="AE205" s="14">
        <v>7</v>
      </c>
      <c r="AF205" s="14">
        <v>11</v>
      </c>
      <c r="AG205" s="16">
        <v>7</v>
      </c>
      <c r="AH205" s="14">
        <v>18</v>
      </c>
      <c r="AI205" s="14">
        <v>64</v>
      </c>
      <c r="AJ205" s="14">
        <v>101</v>
      </c>
      <c r="AK205" s="14">
        <v>64</v>
      </c>
      <c r="AL205" s="14">
        <v>1</v>
      </c>
      <c r="AM205" s="17" t="s">
        <v>62</v>
      </c>
      <c r="AN205" s="17" t="s">
        <v>62</v>
      </c>
      <c r="AO205" s="17" t="s">
        <v>62</v>
      </c>
      <c r="AP205" s="17" t="s">
        <v>62</v>
      </c>
      <c r="AQ205" s="17" t="s">
        <v>62</v>
      </c>
      <c r="AR205" s="17" t="s">
        <v>62</v>
      </c>
      <c r="AS205" s="17" t="s">
        <v>62</v>
      </c>
      <c r="AT205" s="17" t="s">
        <v>62</v>
      </c>
      <c r="AU205" s="17" t="s">
        <v>62</v>
      </c>
      <c r="AV205" s="17" t="s">
        <v>62</v>
      </c>
      <c r="AW205" s="17" t="s">
        <v>62</v>
      </c>
      <c r="AX205" s="17" t="s">
        <v>62</v>
      </c>
      <c r="AY205" s="17" t="s">
        <v>62</v>
      </c>
      <c r="AZ205" s="17" t="s">
        <v>62</v>
      </c>
      <c r="BA205" s="17" t="s">
        <v>62</v>
      </c>
      <c r="BB205" s="17" t="s">
        <v>62</v>
      </c>
      <c r="BC205" s="17" t="s">
        <v>62</v>
      </c>
      <c r="BD205" s="17" t="s">
        <v>62</v>
      </c>
      <c r="BE205" s="17" t="s">
        <v>62</v>
      </c>
      <c r="BF205" s="17" t="s">
        <v>62</v>
      </c>
      <c r="BG205" s="17" t="s">
        <v>62</v>
      </c>
      <c r="BH205" s="17" t="s">
        <v>62</v>
      </c>
      <c r="BI205" s="17" t="s">
        <v>62</v>
      </c>
      <c r="BJ205" s="17" t="s">
        <v>62</v>
      </c>
      <c r="BK205" s="17" t="s">
        <v>62</v>
      </c>
      <c r="BL205" s="17" t="s">
        <v>62</v>
      </c>
      <c r="BM205" s="17" t="s">
        <v>62</v>
      </c>
      <c r="BN205" s="17" t="s">
        <v>62</v>
      </c>
      <c r="BO205" s="17" t="s">
        <v>62</v>
      </c>
      <c r="BP205" s="17" t="s">
        <v>62</v>
      </c>
      <c r="BQ205" s="17" t="s">
        <v>62</v>
      </c>
      <c r="BR205" s="17" t="s">
        <v>62</v>
      </c>
      <c r="BS205" s="17" t="s">
        <v>62</v>
      </c>
      <c r="BT205" s="17" t="s">
        <v>62</v>
      </c>
      <c r="BU205" s="17" t="s">
        <v>62</v>
      </c>
      <c r="BV205" s="17" t="s">
        <v>62</v>
      </c>
      <c r="BW205" s="17" t="s">
        <v>62</v>
      </c>
      <c r="BX205" s="17" t="s">
        <v>62</v>
      </c>
      <c r="BY205" s="17" t="s">
        <v>62</v>
      </c>
      <c r="BZ205" s="17" t="s">
        <v>62</v>
      </c>
      <c r="CA205" s="17" t="s">
        <v>62</v>
      </c>
      <c r="CB205" s="17" t="s">
        <v>62</v>
      </c>
      <c r="CC205" s="17" t="s">
        <v>62</v>
      </c>
      <c r="CD205" s="17" t="s">
        <v>62</v>
      </c>
      <c r="CE205" s="17" t="s">
        <v>62</v>
      </c>
      <c r="CF205" s="17" t="s">
        <v>62</v>
      </c>
      <c r="CG205" s="15" t="s">
        <v>74</v>
      </c>
      <c r="CH205" s="15">
        <v>9.6400000000000001E-4</v>
      </c>
      <c r="CI205" s="14">
        <v>1</v>
      </c>
      <c r="CJ205" s="79">
        <v>3</v>
      </c>
      <c r="CK205" s="79" t="s">
        <v>224</v>
      </c>
      <c r="CL205" s="79" t="s">
        <v>224</v>
      </c>
      <c r="CM205" s="79">
        <v>319.15661999999998</v>
      </c>
      <c r="CN205" s="79">
        <v>2</v>
      </c>
      <c r="CO205" s="79" t="s">
        <v>224</v>
      </c>
      <c r="CP205" s="79" t="s">
        <v>224</v>
      </c>
      <c r="CQ205" s="79" t="s">
        <v>224</v>
      </c>
      <c r="CR205" s="12" t="str">
        <f>IF(COUNTIF(Incl!A:A,Raw!J205),1, "")</f>
        <v/>
      </c>
    </row>
    <row r="206" spans="1:96" ht="13.5" thickTop="1" thickBot="1" x14ac:dyDescent="0.3">
      <c r="A206" s="18">
        <v>203</v>
      </c>
      <c r="B206" s="19">
        <v>1</v>
      </c>
      <c r="C206" s="20">
        <v>315.42548399999998</v>
      </c>
      <c r="D206" s="19">
        <v>206</v>
      </c>
      <c r="E206" s="19">
        <v>1</v>
      </c>
      <c r="F206" s="19">
        <v>235</v>
      </c>
      <c r="G206" s="21">
        <v>20</v>
      </c>
      <c r="H206" s="19">
        <v>20</v>
      </c>
      <c r="I206" s="19">
        <v>20</v>
      </c>
      <c r="J206" s="19">
        <v>20</v>
      </c>
      <c r="K206" s="20" t="s">
        <v>120</v>
      </c>
      <c r="L206" s="20" t="s">
        <v>117</v>
      </c>
      <c r="M206" s="20" t="s">
        <v>119</v>
      </c>
      <c r="N206" s="22" t="s">
        <v>62</v>
      </c>
      <c r="O206" s="21" t="s">
        <v>62</v>
      </c>
      <c r="P206" s="22">
        <v>10</v>
      </c>
      <c r="Q206" s="22" t="s">
        <v>62</v>
      </c>
      <c r="R206" s="22" t="s">
        <v>62</v>
      </c>
      <c r="S206" s="22" t="s">
        <v>62</v>
      </c>
      <c r="T206" s="19">
        <v>10</v>
      </c>
      <c r="U206" s="21">
        <v>5</v>
      </c>
      <c r="V206" s="21">
        <v>8</v>
      </c>
      <c r="W206" s="21">
        <v>7</v>
      </c>
      <c r="X206" s="21">
        <v>8</v>
      </c>
      <c r="Y206" s="19">
        <v>48</v>
      </c>
      <c r="Z206" s="19">
        <v>77</v>
      </c>
      <c r="AA206" s="19">
        <v>68</v>
      </c>
      <c r="AB206" s="19">
        <v>77</v>
      </c>
      <c r="AC206" s="19">
        <v>2</v>
      </c>
      <c r="AD206" s="19">
        <v>5</v>
      </c>
      <c r="AE206" s="19">
        <v>6</v>
      </c>
      <c r="AF206" s="19">
        <v>6</v>
      </c>
      <c r="AG206" s="21">
        <v>6</v>
      </c>
      <c r="AH206" s="19">
        <v>48</v>
      </c>
      <c r="AI206" s="19">
        <v>58</v>
      </c>
      <c r="AJ206" s="19">
        <v>58</v>
      </c>
      <c r="AK206" s="19">
        <v>58</v>
      </c>
      <c r="AL206" s="19">
        <v>0</v>
      </c>
      <c r="AM206" s="22" t="s">
        <v>62</v>
      </c>
      <c r="AN206" s="22" t="s">
        <v>62</v>
      </c>
      <c r="AO206" s="22" t="s">
        <v>62</v>
      </c>
      <c r="AP206" s="22" t="s">
        <v>62</v>
      </c>
      <c r="AQ206" s="22" t="s">
        <v>62</v>
      </c>
      <c r="AR206" s="22" t="s">
        <v>62</v>
      </c>
      <c r="AS206" s="22" t="s">
        <v>62</v>
      </c>
      <c r="AT206" s="22" t="s">
        <v>62</v>
      </c>
      <c r="AU206" s="22" t="s">
        <v>62</v>
      </c>
      <c r="AV206" s="22" t="s">
        <v>62</v>
      </c>
      <c r="AW206" s="22" t="s">
        <v>62</v>
      </c>
      <c r="AX206" s="22" t="s">
        <v>62</v>
      </c>
      <c r="AY206" s="22" t="s">
        <v>62</v>
      </c>
      <c r="AZ206" s="22" t="s">
        <v>62</v>
      </c>
      <c r="BA206" s="22" t="s">
        <v>62</v>
      </c>
      <c r="BB206" s="22" t="s">
        <v>62</v>
      </c>
      <c r="BC206" s="22" t="s">
        <v>62</v>
      </c>
      <c r="BD206" s="22" t="s">
        <v>62</v>
      </c>
      <c r="BE206" s="22" t="s">
        <v>62</v>
      </c>
      <c r="BF206" s="22" t="s">
        <v>62</v>
      </c>
      <c r="BG206" s="22" t="s">
        <v>62</v>
      </c>
      <c r="BH206" s="22" t="s">
        <v>62</v>
      </c>
      <c r="BI206" s="22" t="s">
        <v>62</v>
      </c>
      <c r="BJ206" s="22" t="s">
        <v>62</v>
      </c>
      <c r="BK206" s="22" t="s">
        <v>62</v>
      </c>
      <c r="BL206" s="22" t="s">
        <v>62</v>
      </c>
      <c r="BM206" s="22" t="s">
        <v>62</v>
      </c>
      <c r="BN206" s="22" t="s">
        <v>62</v>
      </c>
      <c r="BO206" s="22" t="s">
        <v>62</v>
      </c>
      <c r="BP206" s="22" t="s">
        <v>62</v>
      </c>
      <c r="BQ206" s="22" t="s">
        <v>62</v>
      </c>
      <c r="BR206" s="22" t="s">
        <v>62</v>
      </c>
      <c r="BS206" s="22" t="s">
        <v>62</v>
      </c>
      <c r="BT206" s="22" t="s">
        <v>62</v>
      </c>
      <c r="BU206" s="22" t="s">
        <v>62</v>
      </c>
      <c r="BV206" s="22" t="s">
        <v>62</v>
      </c>
      <c r="BW206" s="22" t="s">
        <v>62</v>
      </c>
      <c r="BX206" s="22" t="s">
        <v>62</v>
      </c>
      <c r="BY206" s="22" t="s">
        <v>62</v>
      </c>
      <c r="BZ206" s="22" t="s">
        <v>62</v>
      </c>
      <c r="CA206" s="22" t="s">
        <v>62</v>
      </c>
      <c r="CB206" s="22" t="s">
        <v>62</v>
      </c>
      <c r="CC206" s="22" t="s">
        <v>62</v>
      </c>
      <c r="CD206" s="22" t="s">
        <v>62</v>
      </c>
      <c r="CE206" s="22" t="s">
        <v>62</v>
      </c>
      <c r="CF206" s="22" t="s">
        <v>62</v>
      </c>
      <c r="CG206" s="20" t="s">
        <v>71</v>
      </c>
      <c r="CH206" s="20">
        <v>9.5299999999999996E-4</v>
      </c>
      <c r="CI206" s="19">
        <v>2</v>
      </c>
      <c r="CJ206" s="78">
        <v>3</v>
      </c>
      <c r="CK206" s="78" t="s">
        <v>224</v>
      </c>
      <c r="CL206" s="78" t="s">
        <v>224</v>
      </c>
      <c r="CM206" s="78">
        <v>315.42526199999998</v>
      </c>
      <c r="CN206" s="78">
        <v>2</v>
      </c>
      <c r="CO206" s="78" t="s">
        <v>224</v>
      </c>
      <c r="CP206" s="78" t="s">
        <v>224</v>
      </c>
      <c r="CQ206" s="78" t="s">
        <v>224</v>
      </c>
      <c r="CR206" s="12" t="str">
        <f>IF(COUNTIF(Incl!A:A,Raw!J206),1, "")</f>
        <v/>
      </c>
    </row>
    <row r="207" spans="1:96" ht="13.5" thickTop="1" thickBot="1" x14ac:dyDescent="0.3">
      <c r="A207" s="18">
        <v>204</v>
      </c>
      <c r="B207" s="19">
        <v>1</v>
      </c>
      <c r="C207" s="20">
        <v>318.71493800000002</v>
      </c>
      <c r="D207" s="19">
        <v>207</v>
      </c>
      <c r="E207" s="19">
        <v>1</v>
      </c>
      <c r="F207" s="19">
        <v>236</v>
      </c>
      <c r="G207" s="21">
        <v>21</v>
      </c>
      <c r="H207" s="19">
        <v>21</v>
      </c>
      <c r="I207" s="19">
        <v>21</v>
      </c>
      <c r="J207" s="19">
        <v>21</v>
      </c>
      <c r="K207" s="20" t="s">
        <v>120</v>
      </c>
      <c r="L207" s="20" t="s">
        <v>119</v>
      </c>
      <c r="M207" s="20" t="s">
        <v>117</v>
      </c>
      <c r="N207" s="21" t="s">
        <v>62</v>
      </c>
      <c r="O207" s="21" t="s">
        <v>62</v>
      </c>
      <c r="P207" s="22">
        <v>10</v>
      </c>
      <c r="Q207" s="22" t="s">
        <v>62</v>
      </c>
      <c r="R207" s="22" t="s">
        <v>62</v>
      </c>
      <c r="S207" s="22" t="s">
        <v>62</v>
      </c>
      <c r="T207" s="19">
        <v>10</v>
      </c>
      <c r="U207" s="21">
        <v>7</v>
      </c>
      <c r="V207" s="21">
        <v>5</v>
      </c>
      <c r="W207" s="21">
        <v>5</v>
      </c>
      <c r="X207" s="22">
        <v>7</v>
      </c>
      <c r="Y207" s="19">
        <v>73</v>
      </c>
      <c r="Z207" s="19">
        <v>52</v>
      </c>
      <c r="AA207" s="19">
        <v>52</v>
      </c>
      <c r="AB207" s="19">
        <v>73</v>
      </c>
      <c r="AC207" s="19">
        <v>0</v>
      </c>
      <c r="AD207" s="19">
        <v>6</v>
      </c>
      <c r="AE207" s="19">
        <v>3</v>
      </c>
      <c r="AF207" s="19">
        <v>3</v>
      </c>
      <c r="AG207" s="22">
        <v>5</v>
      </c>
      <c r="AH207" s="19">
        <v>63</v>
      </c>
      <c r="AI207" s="19">
        <v>31</v>
      </c>
      <c r="AJ207" s="19">
        <v>31</v>
      </c>
      <c r="AK207" s="19">
        <v>52</v>
      </c>
      <c r="AL207" s="19">
        <v>0</v>
      </c>
      <c r="AM207" s="21" t="s">
        <v>62</v>
      </c>
      <c r="AN207" s="21" t="s">
        <v>62</v>
      </c>
      <c r="AO207" s="21" t="s">
        <v>62</v>
      </c>
      <c r="AP207" s="21" t="s">
        <v>62</v>
      </c>
      <c r="AQ207" s="21" t="s">
        <v>62</v>
      </c>
      <c r="AR207" s="21" t="s">
        <v>62</v>
      </c>
      <c r="AS207" s="21" t="s">
        <v>62</v>
      </c>
      <c r="AT207" s="21" t="s">
        <v>62</v>
      </c>
      <c r="AU207" s="21" t="s">
        <v>62</v>
      </c>
      <c r="AV207" s="21" t="s">
        <v>62</v>
      </c>
      <c r="AW207" s="21" t="s">
        <v>62</v>
      </c>
      <c r="AX207" s="21" t="s">
        <v>62</v>
      </c>
      <c r="AY207" s="21" t="s">
        <v>62</v>
      </c>
      <c r="AZ207" s="21" t="s">
        <v>62</v>
      </c>
      <c r="BA207" s="21" t="s">
        <v>62</v>
      </c>
      <c r="BB207" s="21" t="s">
        <v>62</v>
      </c>
      <c r="BC207" s="21" t="s">
        <v>62</v>
      </c>
      <c r="BD207" s="21" t="s">
        <v>62</v>
      </c>
      <c r="BE207" s="21" t="s">
        <v>62</v>
      </c>
      <c r="BF207" s="21" t="s">
        <v>62</v>
      </c>
      <c r="BG207" s="21" t="s">
        <v>62</v>
      </c>
      <c r="BH207" s="21" t="s">
        <v>62</v>
      </c>
      <c r="BI207" s="20" t="s">
        <v>62</v>
      </c>
      <c r="BJ207" s="21" t="s">
        <v>62</v>
      </c>
      <c r="BK207" s="21" t="s">
        <v>62</v>
      </c>
      <c r="BL207" s="21" t="s">
        <v>62</v>
      </c>
      <c r="BM207" s="21" t="s">
        <v>62</v>
      </c>
      <c r="BN207" s="21" t="s">
        <v>62</v>
      </c>
      <c r="BO207" s="21" t="s">
        <v>62</v>
      </c>
      <c r="BP207" s="21" t="s">
        <v>62</v>
      </c>
      <c r="BQ207" s="21" t="s">
        <v>62</v>
      </c>
      <c r="BR207" s="21" t="s">
        <v>62</v>
      </c>
      <c r="BS207" s="21" t="s">
        <v>62</v>
      </c>
      <c r="BT207" s="21" t="s">
        <v>62</v>
      </c>
      <c r="BU207" s="21" t="s">
        <v>62</v>
      </c>
      <c r="BV207" s="21" t="s">
        <v>62</v>
      </c>
      <c r="BW207" s="21" t="s">
        <v>62</v>
      </c>
      <c r="BX207" s="21" t="s">
        <v>62</v>
      </c>
      <c r="BY207" s="21" t="s">
        <v>62</v>
      </c>
      <c r="BZ207" s="21" t="s">
        <v>62</v>
      </c>
      <c r="CA207" s="21" t="s">
        <v>62</v>
      </c>
      <c r="CB207" s="21" t="s">
        <v>62</v>
      </c>
      <c r="CC207" s="21" t="s">
        <v>62</v>
      </c>
      <c r="CD207" s="21" t="s">
        <v>62</v>
      </c>
      <c r="CE207" s="21" t="s">
        <v>62</v>
      </c>
      <c r="CF207" s="20" t="s">
        <v>62</v>
      </c>
      <c r="CG207" s="20" t="s">
        <v>74</v>
      </c>
      <c r="CH207" s="20">
        <v>9.6100000000000005E-4</v>
      </c>
      <c r="CI207" s="19">
        <v>0</v>
      </c>
      <c r="CJ207" s="78">
        <v>3</v>
      </c>
      <c r="CK207" s="78" t="s">
        <v>224</v>
      </c>
      <c r="CL207" s="78" t="s">
        <v>224</v>
      </c>
      <c r="CM207" s="78">
        <v>318.71489400000002</v>
      </c>
      <c r="CN207" s="78">
        <v>2</v>
      </c>
      <c r="CO207" s="78" t="s">
        <v>224</v>
      </c>
      <c r="CP207" s="78" t="s">
        <v>224</v>
      </c>
      <c r="CQ207" s="78" t="s">
        <v>224</v>
      </c>
      <c r="CR207" s="12" t="str">
        <f>IF(COUNTIF(Incl!A:A,Raw!J207),1, "")</f>
        <v/>
      </c>
    </row>
    <row r="208" spans="1:96" ht="13.5" thickTop="1" thickBot="1" x14ac:dyDescent="0.3">
      <c r="A208" s="13">
        <v>205</v>
      </c>
      <c r="B208" s="14">
        <v>1</v>
      </c>
      <c r="C208" s="15">
        <v>168.36917800000001</v>
      </c>
      <c r="D208" s="14">
        <v>208</v>
      </c>
      <c r="E208" s="14">
        <v>1</v>
      </c>
      <c r="F208" s="14">
        <v>237</v>
      </c>
      <c r="G208" s="16">
        <v>227</v>
      </c>
      <c r="H208" s="14">
        <v>227</v>
      </c>
      <c r="I208" s="14">
        <v>227</v>
      </c>
      <c r="J208" s="14">
        <v>227</v>
      </c>
      <c r="K208" s="15" t="s">
        <v>117</v>
      </c>
      <c r="L208" s="15" t="s">
        <v>98</v>
      </c>
      <c r="M208" s="15" t="s">
        <v>120</v>
      </c>
      <c r="N208" s="17" t="s">
        <v>62</v>
      </c>
      <c r="O208" s="16" t="s">
        <v>62</v>
      </c>
      <c r="P208" s="17">
        <v>8</v>
      </c>
      <c r="Q208" s="17" t="s">
        <v>62</v>
      </c>
      <c r="R208" s="17" t="s">
        <v>62</v>
      </c>
      <c r="S208" s="17" t="s">
        <v>62</v>
      </c>
      <c r="T208" s="14">
        <v>8</v>
      </c>
      <c r="U208" s="16">
        <v>2</v>
      </c>
      <c r="V208" s="16">
        <v>3</v>
      </c>
      <c r="W208" s="16">
        <v>3</v>
      </c>
      <c r="X208" s="17">
        <v>3</v>
      </c>
      <c r="Y208" s="14">
        <v>25</v>
      </c>
      <c r="Z208" s="14">
        <v>38</v>
      </c>
      <c r="AA208" s="14">
        <v>38</v>
      </c>
      <c r="AB208" s="14">
        <v>38</v>
      </c>
      <c r="AC208" s="14">
        <v>0</v>
      </c>
      <c r="AD208" s="14">
        <v>6</v>
      </c>
      <c r="AE208" s="14">
        <v>6</v>
      </c>
      <c r="AF208" s="14">
        <v>4</v>
      </c>
      <c r="AG208" s="17">
        <v>3</v>
      </c>
      <c r="AH208" s="14">
        <v>75</v>
      </c>
      <c r="AI208" s="14">
        <v>75</v>
      </c>
      <c r="AJ208" s="14">
        <v>50</v>
      </c>
      <c r="AK208" s="14">
        <v>38</v>
      </c>
      <c r="AL208" s="14">
        <v>2</v>
      </c>
      <c r="AM208" s="16" t="s">
        <v>62</v>
      </c>
      <c r="AN208" s="16" t="s">
        <v>62</v>
      </c>
      <c r="AO208" s="16" t="s">
        <v>62</v>
      </c>
      <c r="AP208" s="16" t="s">
        <v>62</v>
      </c>
      <c r="AQ208" s="16" t="s">
        <v>62</v>
      </c>
      <c r="AR208" s="16" t="s">
        <v>62</v>
      </c>
      <c r="AS208" s="16" t="s">
        <v>62</v>
      </c>
      <c r="AT208" s="16" t="s">
        <v>62</v>
      </c>
      <c r="AU208" s="16" t="s">
        <v>62</v>
      </c>
      <c r="AV208" s="16" t="s">
        <v>62</v>
      </c>
      <c r="AW208" s="16" t="s">
        <v>62</v>
      </c>
      <c r="AX208" s="16" t="s">
        <v>62</v>
      </c>
      <c r="AY208" s="16" t="s">
        <v>62</v>
      </c>
      <c r="AZ208" s="16" t="s">
        <v>62</v>
      </c>
      <c r="BA208" s="16" t="s">
        <v>62</v>
      </c>
      <c r="BB208" s="16" t="s">
        <v>62</v>
      </c>
      <c r="BC208" s="16" t="s">
        <v>62</v>
      </c>
      <c r="BD208" s="16" t="s">
        <v>62</v>
      </c>
      <c r="BE208" s="16" t="s">
        <v>62</v>
      </c>
      <c r="BF208" s="16" t="s">
        <v>62</v>
      </c>
      <c r="BG208" s="16" t="s">
        <v>62</v>
      </c>
      <c r="BH208" s="16" t="s">
        <v>62</v>
      </c>
      <c r="BI208" s="15" t="s">
        <v>62</v>
      </c>
      <c r="BJ208" s="16" t="s">
        <v>62</v>
      </c>
      <c r="BK208" s="16" t="s">
        <v>62</v>
      </c>
      <c r="BL208" s="16" t="s">
        <v>62</v>
      </c>
      <c r="BM208" s="16" t="s">
        <v>62</v>
      </c>
      <c r="BN208" s="16" t="s">
        <v>62</v>
      </c>
      <c r="BO208" s="16" t="s">
        <v>62</v>
      </c>
      <c r="BP208" s="16" t="s">
        <v>62</v>
      </c>
      <c r="BQ208" s="16" t="s">
        <v>62</v>
      </c>
      <c r="BR208" s="16" t="s">
        <v>62</v>
      </c>
      <c r="BS208" s="16" t="s">
        <v>62</v>
      </c>
      <c r="BT208" s="16" t="s">
        <v>62</v>
      </c>
      <c r="BU208" s="16" t="s">
        <v>62</v>
      </c>
      <c r="BV208" s="16" t="s">
        <v>62</v>
      </c>
      <c r="BW208" s="16" t="s">
        <v>62</v>
      </c>
      <c r="BX208" s="16" t="s">
        <v>62</v>
      </c>
      <c r="BY208" s="16" t="s">
        <v>62</v>
      </c>
      <c r="BZ208" s="16" t="s">
        <v>62</v>
      </c>
      <c r="CA208" s="16" t="s">
        <v>62</v>
      </c>
      <c r="CB208" s="16" t="s">
        <v>62</v>
      </c>
      <c r="CC208" s="16" t="s">
        <v>62</v>
      </c>
      <c r="CD208" s="16" t="s">
        <v>62</v>
      </c>
      <c r="CE208" s="16" t="s">
        <v>62</v>
      </c>
      <c r="CF208" s="15" t="s">
        <v>62</v>
      </c>
      <c r="CG208" s="15" t="s">
        <v>66</v>
      </c>
      <c r="CH208" s="15">
        <v>5.4600000000000004E-4</v>
      </c>
      <c r="CI208" s="14">
        <v>2</v>
      </c>
      <c r="CJ208" s="79">
        <v>3</v>
      </c>
      <c r="CK208" s="79" t="s">
        <v>224</v>
      </c>
      <c r="CL208" s="79" t="s">
        <v>224</v>
      </c>
      <c r="CM208" s="79">
        <v>168.36932400000001</v>
      </c>
      <c r="CN208" s="79">
        <v>2</v>
      </c>
      <c r="CO208" s="79" t="s">
        <v>224</v>
      </c>
      <c r="CP208" s="79" t="s">
        <v>224</v>
      </c>
      <c r="CQ208" s="79" t="s">
        <v>224</v>
      </c>
      <c r="CR208" s="12" t="str">
        <f>IF(COUNTIF(Incl!A:A,Raw!J208),1, "")</f>
        <v/>
      </c>
    </row>
    <row r="209" spans="1:96" ht="13.5" thickTop="1" thickBot="1" x14ac:dyDescent="0.3">
      <c r="A209" s="13">
        <v>206</v>
      </c>
      <c r="B209" s="14">
        <v>1</v>
      </c>
      <c r="C209" s="15">
        <v>147.27759699999999</v>
      </c>
      <c r="D209" s="14">
        <v>209</v>
      </c>
      <c r="E209" s="14">
        <v>1</v>
      </c>
      <c r="F209" s="14">
        <v>238</v>
      </c>
      <c r="G209" s="16">
        <v>229</v>
      </c>
      <c r="H209" s="14">
        <v>229</v>
      </c>
      <c r="I209" s="14">
        <v>229</v>
      </c>
      <c r="J209" s="14">
        <v>229</v>
      </c>
      <c r="K209" s="15" t="s">
        <v>117</v>
      </c>
      <c r="L209" s="15" t="s">
        <v>120</v>
      </c>
      <c r="M209" s="15" t="s">
        <v>95</v>
      </c>
      <c r="N209" s="16" t="s">
        <v>62</v>
      </c>
      <c r="O209" s="17" t="s">
        <v>62</v>
      </c>
      <c r="P209" s="17">
        <v>9</v>
      </c>
      <c r="Q209" s="17" t="s">
        <v>62</v>
      </c>
      <c r="R209" s="17" t="s">
        <v>62</v>
      </c>
      <c r="S209" s="17" t="s">
        <v>62</v>
      </c>
      <c r="T209" s="14">
        <v>9</v>
      </c>
      <c r="U209" s="16">
        <v>8</v>
      </c>
      <c r="V209" s="16">
        <v>4</v>
      </c>
      <c r="W209" s="16">
        <v>5</v>
      </c>
      <c r="X209" s="17">
        <v>10</v>
      </c>
      <c r="Y209" s="14">
        <v>89</v>
      </c>
      <c r="Z209" s="14">
        <v>44</v>
      </c>
      <c r="AA209" s="14">
        <v>56</v>
      </c>
      <c r="AB209" s="14">
        <v>111</v>
      </c>
      <c r="AC209" s="14">
        <v>2</v>
      </c>
      <c r="AD209" s="14">
        <v>6</v>
      </c>
      <c r="AE209" s="14">
        <v>6</v>
      </c>
      <c r="AF209" s="14">
        <v>4</v>
      </c>
      <c r="AG209" s="17">
        <v>4</v>
      </c>
      <c r="AH209" s="14">
        <v>67</v>
      </c>
      <c r="AI209" s="14">
        <v>67</v>
      </c>
      <c r="AJ209" s="14">
        <v>44</v>
      </c>
      <c r="AK209" s="14">
        <v>44</v>
      </c>
      <c r="AL209" s="14">
        <v>0</v>
      </c>
      <c r="AM209" s="16" t="s">
        <v>62</v>
      </c>
      <c r="AN209" s="16" t="s">
        <v>62</v>
      </c>
      <c r="AO209" s="16" t="s">
        <v>62</v>
      </c>
      <c r="AP209" s="16" t="s">
        <v>62</v>
      </c>
      <c r="AQ209" s="16" t="s">
        <v>62</v>
      </c>
      <c r="AR209" s="16" t="s">
        <v>62</v>
      </c>
      <c r="AS209" s="16" t="s">
        <v>62</v>
      </c>
      <c r="AT209" s="16" t="s">
        <v>62</v>
      </c>
      <c r="AU209" s="16" t="s">
        <v>62</v>
      </c>
      <c r="AV209" s="16" t="s">
        <v>62</v>
      </c>
      <c r="AW209" s="16" t="s">
        <v>62</v>
      </c>
      <c r="AX209" s="16" t="s">
        <v>62</v>
      </c>
      <c r="AY209" s="16" t="s">
        <v>62</v>
      </c>
      <c r="AZ209" s="16" t="s">
        <v>62</v>
      </c>
      <c r="BA209" s="16" t="s">
        <v>62</v>
      </c>
      <c r="BB209" s="16" t="s">
        <v>62</v>
      </c>
      <c r="BC209" s="16" t="s">
        <v>62</v>
      </c>
      <c r="BD209" s="16" t="s">
        <v>62</v>
      </c>
      <c r="BE209" s="16" t="s">
        <v>62</v>
      </c>
      <c r="BF209" s="16" t="s">
        <v>62</v>
      </c>
      <c r="BG209" s="16" t="s">
        <v>62</v>
      </c>
      <c r="BH209" s="16" t="s">
        <v>62</v>
      </c>
      <c r="BI209" s="15" t="s">
        <v>62</v>
      </c>
      <c r="BJ209" s="16" t="s">
        <v>62</v>
      </c>
      <c r="BK209" s="16" t="s">
        <v>62</v>
      </c>
      <c r="BL209" s="16" t="s">
        <v>62</v>
      </c>
      <c r="BM209" s="16" t="s">
        <v>62</v>
      </c>
      <c r="BN209" s="16" t="s">
        <v>62</v>
      </c>
      <c r="BO209" s="16" t="s">
        <v>62</v>
      </c>
      <c r="BP209" s="16" t="s">
        <v>62</v>
      </c>
      <c r="BQ209" s="16" t="s">
        <v>62</v>
      </c>
      <c r="BR209" s="16" t="s">
        <v>62</v>
      </c>
      <c r="BS209" s="16" t="s">
        <v>62</v>
      </c>
      <c r="BT209" s="16" t="s">
        <v>62</v>
      </c>
      <c r="BU209" s="16" t="s">
        <v>62</v>
      </c>
      <c r="BV209" s="16" t="s">
        <v>62</v>
      </c>
      <c r="BW209" s="16" t="s">
        <v>62</v>
      </c>
      <c r="BX209" s="16" t="s">
        <v>62</v>
      </c>
      <c r="BY209" s="16" t="s">
        <v>62</v>
      </c>
      <c r="BZ209" s="16" t="s">
        <v>62</v>
      </c>
      <c r="CA209" s="16" t="s">
        <v>62</v>
      </c>
      <c r="CB209" s="16" t="s">
        <v>62</v>
      </c>
      <c r="CC209" s="16" t="s">
        <v>62</v>
      </c>
      <c r="CD209" s="16" t="s">
        <v>62</v>
      </c>
      <c r="CE209" s="16" t="s">
        <v>62</v>
      </c>
      <c r="CF209" s="15" t="s">
        <v>62</v>
      </c>
      <c r="CG209" s="15" t="s">
        <v>66</v>
      </c>
      <c r="CH209" s="15">
        <v>4.7600000000000002E-4</v>
      </c>
      <c r="CI209" s="14">
        <v>2</v>
      </c>
      <c r="CJ209" s="79">
        <v>3</v>
      </c>
      <c r="CK209" s="79" t="s">
        <v>224</v>
      </c>
      <c r="CL209" s="79" t="s">
        <v>224</v>
      </c>
      <c r="CM209" s="79">
        <v>147.27773500000001</v>
      </c>
      <c r="CN209" s="79">
        <v>2</v>
      </c>
      <c r="CO209" s="79" t="s">
        <v>224</v>
      </c>
      <c r="CP209" s="79" t="s">
        <v>224</v>
      </c>
      <c r="CQ209" s="79" t="s">
        <v>224</v>
      </c>
      <c r="CR209" s="12" t="str">
        <f>IF(COUNTIF(Incl!A:A,Raw!J209),1, "")</f>
        <v/>
      </c>
    </row>
    <row r="210" spans="1:96" ht="13.5" thickTop="1" thickBot="1" x14ac:dyDescent="0.3">
      <c r="A210" s="18">
        <v>207</v>
      </c>
      <c r="B210" s="19">
        <v>1</v>
      </c>
      <c r="C210" s="20">
        <v>274.946572</v>
      </c>
      <c r="D210" s="19">
        <v>210</v>
      </c>
      <c r="E210" s="19">
        <v>1</v>
      </c>
      <c r="F210" s="19">
        <v>239</v>
      </c>
      <c r="G210" s="21">
        <v>34</v>
      </c>
      <c r="H210" s="19">
        <v>34</v>
      </c>
      <c r="I210" s="19">
        <v>34</v>
      </c>
      <c r="J210" s="19">
        <v>34</v>
      </c>
      <c r="K210" s="20" t="s">
        <v>95</v>
      </c>
      <c r="L210" s="20" t="s">
        <v>117</v>
      </c>
      <c r="M210" s="20" t="s">
        <v>119</v>
      </c>
      <c r="N210" s="21" t="s">
        <v>62</v>
      </c>
      <c r="O210" s="22" t="s">
        <v>62</v>
      </c>
      <c r="P210" s="22">
        <v>9</v>
      </c>
      <c r="Q210" s="22" t="s">
        <v>62</v>
      </c>
      <c r="R210" s="22" t="s">
        <v>62</v>
      </c>
      <c r="S210" s="22" t="s">
        <v>62</v>
      </c>
      <c r="T210" s="19">
        <v>9</v>
      </c>
      <c r="U210" s="21">
        <v>7</v>
      </c>
      <c r="V210" s="21">
        <v>6</v>
      </c>
      <c r="W210" s="21">
        <v>9</v>
      </c>
      <c r="X210" s="22">
        <v>8</v>
      </c>
      <c r="Y210" s="19">
        <v>78</v>
      </c>
      <c r="Z210" s="19">
        <v>67</v>
      </c>
      <c r="AA210" s="19">
        <v>100</v>
      </c>
      <c r="AB210" s="19">
        <v>89</v>
      </c>
      <c r="AC210" s="19">
        <v>3</v>
      </c>
      <c r="AD210" s="19">
        <v>7</v>
      </c>
      <c r="AE210" s="19">
        <v>3</v>
      </c>
      <c r="AF210" s="19">
        <v>4</v>
      </c>
      <c r="AG210" s="22">
        <v>4</v>
      </c>
      <c r="AH210" s="19">
        <v>78</v>
      </c>
      <c r="AI210" s="19">
        <v>33</v>
      </c>
      <c r="AJ210" s="19">
        <v>44</v>
      </c>
      <c r="AK210" s="19">
        <v>44</v>
      </c>
      <c r="AL210" s="19">
        <v>1</v>
      </c>
      <c r="AM210" s="21" t="s">
        <v>62</v>
      </c>
      <c r="AN210" s="21" t="s">
        <v>62</v>
      </c>
      <c r="AO210" s="21" t="s">
        <v>62</v>
      </c>
      <c r="AP210" s="21" t="s">
        <v>62</v>
      </c>
      <c r="AQ210" s="21" t="s">
        <v>62</v>
      </c>
      <c r="AR210" s="21" t="s">
        <v>62</v>
      </c>
      <c r="AS210" s="21" t="s">
        <v>62</v>
      </c>
      <c r="AT210" s="21" t="s">
        <v>62</v>
      </c>
      <c r="AU210" s="21" t="s">
        <v>62</v>
      </c>
      <c r="AV210" s="21" t="s">
        <v>62</v>
      </c>
      <c r="AW210" s="21" t="s">
        <v>62</v>
      </c>
      <c r="AX210" s="21" t="s">
        <v>62</v>
      </c>
      <c r="AY210" s="21" t="s">
        <v>62</v>
      </c>
      <c r="AZ210" s="21" t="s">
        <v>62</v>
      </c>
      <c r="BA210" s="21" t="s">
        <v>62</v>
      </c>
      <c r="BB210" s="21" t="s">
        <v>62</v>
      </c>
      <c r="BC210" s="21" t="s">
        <v>62</v>
      </c>
      <c r="BD210" s="21" t="s">
        <v>62</v>
      </c>
      <c r="BE210" s="21" t="s">
        <v>62</v>
      </c>
      <c r="BF210" s="21" t="s">
        <v>62</v>
      </c>
      <c r="BG210" s="21" t="s">
        <v>62</v>
      </c>
      <c r="BH210" s="21" t="s">
        <v>62</v>
      </c>
      <c r="BI210" s="20" t="s">
        <v>62</v>
      </c>
      <c r="BJ210" s="21" t="s">
        <v>62</v>
      </c>
      <c r="BK210" s="21" t="s">
        <v>62</v>
      </c>
      <c r="BL210" s="21" t="s">
        <v>62</v>
      </c>
      <c r="BM210" s="21" t="s">
        <v>62</v>
      </c>
      <c r="BN210" s="21" t="s">
        <v>62</v>
      </c>
      <c r="BO210" s="21" t="s">
        <v>62</v>
      </c>
      <c r="BP210" s="21" t="s">
        <v>62</v>
      </c>
      <c r="BQ210" s="21" t="s">
        <v>62</v>
      </c>
      <c r="BR210" s="21" t="s">
        <v>62</v>
      </c>
      <c r="BS210" s="21" t="s">
        <v>62</v>
      </c>
      <c r="BT210" s="21" t="s">
        <v>62</v>
      </c>
      <c r="BU210" s="21" t="s">
        <v>62</v>
      </c>
      <c r="BV210" s="21" t="s">
        <v>62</v>
      </c>
      <c r="BW210" s="21" t="s">
        <v>62</v>
      </c>
      <c r="BX210" s="21" t="s">
        <v>62</v>
      </c>
      <c r="BY210" s="21" t="s">
        <v>62</v>
      </c>
      <c r="BZ210" s="21" t="s">
        <v>62</v>
      </c>
      <c r="CA210" s="21" t="s">
        <v>62</v>
      </c>
      <c r="CB210" s="21" t="s">
        <v>62</v>
      </c>
      <c r="CC210" s="21" t="s">
        <v>62</v>
      </c>
      <c r="CD210" s="21" t="s">
        <v>62</v>
      </c>
      <c r="CE210" s="21" t="s">
        <v>62</v>
      </c>
      <c r="CF210" s="20" t="s">
        <v>62</v>
      </c>
      <c r="CG210" s="20" t="s">
        <v>71</v>
      </c>
      <c r="CH210" s="20">
        <v>8.3299999999999997E-4</v>
      </c>
      <c r="CI210" s="19">
        <v>4</v>
      </c>
      <c r="CJ210" s="78">
        <v>3</v>
      </c>
      <c r="CK210" s="78" t="s">
        <v>224</v>
      </c>
      <c r="CL210" s="78" t="s">
        <v>224</v>
      </c>
      <c r="CM210" s="78">
        <v>274.94664499999999</v>
      </c>
      <c r="CN210" s="78">
        <v>2</v>
      </c>
      <c r="CO210" s="78" t="s">
        <v>224</v>
      </c>
      <c r="CP210" s="78" t="s">
        <v>224</v>
      </c>
      <c r="CQ210" s="78" t="s">
        <v>224</v>
      </c>
      <c r="CR210" s="12" t="str">
        <f>IF(COUNTIF(Incl!A:A,Raw!J210),1, "")</f>
        <v/>
      </c>
    </row>
    <row r="211" spans="1:96" ht="13.5" thickTop="1" thickBot="1" x14ac:dyDescent="0.3">
      <c r="A211" s="18">
        <v>208</v>
      </c>
      <c r="B211" s="19">
        <v>1</v>
      </c>
      <c r="C211" s="20">
        <v>195.17305500000001</v>
      </c>
      <c r="D211" s="19">
        <v>211</v>
      </c>
      <c r="E211" s="19">
        <v>1</v>
      </c>
      <c r="F211" s="19">
        <v>240</v>
      </c>
      <c r="G211" s="21">
        <v>231</v>
      </c>
      <c r="H211" s="19">
        <v>231</v>
      </c>
      <c r="I211" s="19">
        <v>231</v>
      </c>
      <c r="J211" s="19">
        <v>231</v>
      </c>
      <c r="K211" s="20" t="s">
        <v>117</v>
      </c>
      <c r="L211" s="20" t="s">
        <v>95</v>
      </c>
      <c r="M211" s="20" t="s">
        <v>114</v>
      </c>
      <c r="N211" s="22" t="s">
        <v>62</v>
      </c>
      <c r="O211" s="22" t="s">
        <v>62</v>
      </c>
      <c r="P211" s="22">
        <v>10</v>
      </c>
      <c r="Q211" s="22" t="s">
        <v>62</v>
      </c>
      <c r="R211" s="22" t="s">
        <v>62</v>
      </c>
      <c r="S211" s="21" t="s">
        <v>62</v>
      </c>
      <c r="T211" s="19">
        <v>10</v>
      </c>
      <c r="U211" s="21">
        <v>10</v>
      </c>
      <c r="V211" s="21">
        <v>8</v>
      </c>
      <c r="W211" s="21">
        <v>6</v>
      </c>
      <c r="X211" s="22">
        <v>9</v>
      </c>
      <c r="Y211" s="19">
        <v>102</v>
      </c>
      <c r="Z211" s="19">
        <v>82</v>
      </c>
      <c r="AA211" s="19">
        <v>61</v>
      </c>
      <c r="AB211" s="19">
        <v>92</v>
      </c>
      <c r="AC211" s="19">
        <v>3</v>
      </c>
      <c r="AD211" s="19">
        <v>6</v>
      </c>
      <c r="AE211" s="19">
        <v>6</v>
      </c>
      <c r="AF211" s="19">
        <v>6</v>
      </c>
      <c r="AG211" s="22">
        <v>6</v>
      </c>
      <c r="AH211" s="19">
        <v>61</v>
      </c>
      <c r="AI211" s="19">
        <v>61</v>
      </c>
      <c r="AJ211" s="19">
        <v>61</v>
      </c>
      <c r="AK211" s="19">
        <v>61</v>
      </c>
      <c r="AL211" s="19">
        <v>0</v>
      </c>
      <c r="AM211" s="21" t="s">
        <v>62</v>
      </c>
      <c r="AN211" s="21" t="s">
        <v>62</v>
      </c>
      <c r="AO211" s="21" t="s">
        <v>62</v>
      </c>
      <c r="AP211" s="21" t="s">
        <v>62</v>
      </c>
      <c r="AQ211" s="21" t="s">
        <v>62</v>
      </c>
      <c r="AR211" s="21" t="s">
        <v>62</v>
      </c>
      <c r="AS211" s="21" t="s">
        <v>62</v>
      </c>
      <c r="AT211" s="21" t="s">
        <v>62</v>
      </c>
      <c r="AU211" s="21" t="s">
        <v>62</v>
      </c>
      <c r="AV211" s="21" t="s">
        <v>62</v>
      </c>
      <c r="AW211" s="21" t="s">
        <v>62</v>
      </c>
      <c r="AX211" s="21" t="s">
        <v>62</v>
      </c>
      <c r="AY211" s="21" t="s">
        <v>62</v>
      </c>
      <c r="AZ211" s="21" t="s">
        <v>62</v>
      </c>
      <c r="BA211" s="21" t="s">
        <v>62</v>
      </c>
      <c r="BB211" s="21" t="s">
        <v>62</v>
      </c>
      <c r="BC211" s="21" t="s">
        <v>62</v>
      </c>
      <c r="BD211" s="21" t="s">
        <v>62</v>
      </c>
      <c r="BE211" s="21" t="s">
        <v>62</v>
      </c>
      <c r="BF211" s="21" t="s">
        <v>62</v>
      </c>
      <c r="BG211" s="21" t="s">
        <v>62</v>
      </c>
      <c r="BH211" s="21" t="s">
        <v>62</v>
      </c>
      <c r="BI211" s="20" t="s">
        <v>62</v>
      </c>
      <c r="BJ211" s="21" t="s">
        <v>62</v>
      </c>
      <c r="BK211" s="21" t="s">
        <v>62</v>
      </c>
      <c r="BL211" s="21" t="s">
        <v>62</v>
      </c>
      <c r="BM211" s="21" t="s">
        <v>62</v>
      </c>
      <c r="BN211" s="21" t="s">
        <v>62</v>
      </c>
      <c r="BO211" s="21" t="s">
        <v>62</v>
      </c>
      <c r="BP211" s="21" t="s">
        <v>62</v>
      </c>
      <c r="BQ211" s="21" t="s">
        <v>62</v>
      </c>
      <c r="BR211" s="21" t="s">
        <v>62</v>
      </c>
      <c r="BS211" s="21" t="s">
        <v>62</v>
      </c>
      <c r="BT211" s="21" t="s">
        <v>62</v>
      </c>
      <c r="BU211" s="21" t="s">
        <v>62</v>
      </c>
      <c r="BV211" s="21" t="s">
        <v>62</v>
      </c>
      <c r="BW211" s="21" t="s">
        <v>62</v>
      </c>
      <c r="BX211" s="21" t="s">
        <v>62</v>
      </c>
      <c r="BY211" s="21" t="s">
        <v>62</v>
      </c>
      <c r="BZ211" s="21" t="s">
        <v>62</v>
      </c>
      <c r="CA211" s="21" t="s">
        <v>62</v>
      </c>
      <c r="CB211" s="21" t="s">
        <v>62</v>
      </c>
      <c r="CC211" s="21" t="s">
        <v>62</v>
      </c>
      <c r="CD211" s="21" t="s">
        <v>62</v>
      </c>
      <c r="CE211" s="21" t="s">
        <v>62</v>
      </c>
      <c r="CF211" s="20" t="s">
        <v>62</v>
      </c>
      <c r="CG211" s="20" t="s">
        <v>66</v>
      </c>
      <c r="CH211" s="20">
        <v>6.2299999999999996E-4</v>
      </c>
      <c r="CI211" s="19">
        <v>3</v>
      </c>
      <c r="CJ211" s="78">
        <v>3</v>
      </c>
      <c r="CK211" s="78" t="s">
        <v>224</v>
      </c>
      <c r="CL211" s="78" t="s">
        <v>224</v>
      </c>
      <c r="CM211" s="78">
        <v>195.17301699999999</v>
      </c>
      <c r="CN211" s="78">
        <v>2</v>
      </c>
      <c r="CO211" s="78" t="s">
        <v>224</v>
      </c>
      <c r="CP211" s="78" t="s">
        <v>224</v>
      </c>
      <c r="CQ211" s="78" t="s">
        <v>224</v>
      </c>
      <c r="CR211" s="12" t="str">
        <f>IF(COUNTIF(Incl!A:A,Raw!J211),1, "")</f>
        <v/>
      </c>
    </row>
    <row r="212" spans="1:96" ht="13.5" thickTop="1" thickBot="1" x14ac:dyDescent="0.3">
      <c r="A212" s="13">
        <v>209</v>
      </c>
      <c r="B212" s="14">
        <v>1</v>
      </c>
      <c r="C212" s="15">
        <v>295.67057399999999</v>
      </c>
      <c r="D212" s="14">
        <v>212</v>
      </c>
      <c r="E212" s="14">
        <v>1</v>
      </c>
      <c r="F212" s="14">
        <v>241</v>
      </c>
      <c r="G212" s="16">
        <v>35</v>
      </c>
      <c r="H212" s="14">
        <v>35</v>
      </c>
      <c r="I212" s="14">
        <v>35</v>
      </c>
      <c r="J212" s="14">
        <v>35</v>
      </c>
      <c r="K212" s="15" t="s">
        <v>95</v>
      </c>
      <c r="L212" s="15" t="s">
        <v>119</v>
      </c>
      <c r="M212" s="15" t="s">
        <v>117</v>
      </c>
      <c r="N212" s="17" t="s">
        <v>62</v>
      </c>
      <c r="O212" s="17" t="s">
        <v>62</v>
      </c>
      <c r="P212" s="17">
        <v>10</v>
      </c>
      <c r="Q212" s="17" t="s">
        <v>62</v>
      </c>
      <c r="R212" s="17" t="s">
        <v>62</v>
      </c>
      <c r="S212" s="16" t="s">
        <v>62</v>
      </c>
      <c r="T212" s="14">
        <v>10</v>
      </c>
      <c r="U212" s="17">
        <v>8</v>
      </c>
      <c r="V212" s="16">
        <v>6</v>
      </c>
      <c r="W212" s="16">
        <v>9</v>
      </c>
      <c r="X212" s="17">
        <v>9</v>
      </c>
      <c r="Y212" s="14">
        <v>77</v>
      </c>
      <c r="Z212" s="14">
        <v>58</v>
      </c>
      <c r="AA212" s="14">
        <v>87</v>
      </c>
      <c r="AB212" s="14">
        <v>87</v>
      </c>
      <c r="AC212" s="14">
        <v>3</v>
      </c>
      <c r="AD212" s="14">
        <v>4</v>
      </c>
      <c r="AE212" s="14">
        <v>6</v>
      </c>
      <c r="AF212" s="14">
        <v>7</v>
      </c>
      <c r="AG212" s="17">
        <v>9</v>
      </c>
      <c r="AH212" s="14">
        <v>38</v>
      </c>
      <c r="AI212" s="14">
        <v>58</v>
      </c>
      <c r="AJ212" s="14">
        <v>67</v>
      </c>
      <c r="AK212" s="14">
        <v>87</v>
      </c>
      <c r="AL212" s="14">
        <v>1</v>
      </c>
      <c r="AM212" s="16" t="s">
        <v>62</v>
      </c>
      <c r="AN212" s="16" t="s">
        <v>62</v>
      </c>
      <c r="AO212" s="16" t="s">
        <v>62</v>
      </c>
      <c r="AP212" s="16" t="s">
        <v>62</v>
      </c>
      <c r="AQ212" s="16" t="s">
        <v>62</v>
      </c>
      <c r="AR212" s="16" t="s">
        <v>62</v>
      </c>
      <c r="AS212" s="16" t="s">
        <v>62</v>
      </c>
      <c r="AT212" s="16" t="s">
        <v>62</v>
      </c>
      <c r="AU212" s="16" t="s">
        <v>62</v>
      </c>
      <c r="AV212" s="16" t="s">
        <v>62</v>
      </c>
      <c r="AW212" s="16" t="s">
        <v>62</v>
      </c>
      <c r="AX212" s="16" t="s">
        <v>62</v>
      </c>
      <c r="AY212" s="16" t="s">
        <v>62</v>
      </c>
      <c r="AZ212" s="16" t="s">
        <v>62</v>
      </c>
      <c r="BA212" s="16" t="s">
        <v>62</v>
      </c>
      <c r="BB212" s="16" t="s">
        <v>62</v>
      </c>
      <c r="BC212" s="16" t="s">
        <v>62</v>
      </c>
      <c r="BD212" s="16" t="s">
        <v>62</v>
      </c>
      <c r="BE212" s="16" t="s">
        <v>62</v>
      </c>
      <c r="BF212" s="16" t="s">
        <v>62</v>
      </c>
      <c r="BG212" s="16" t="s">
        <v>62</v>
      </c>
      <c r="BH212" s="16" t="s">
        <v>62</v>
      </c>
      <c r="BI212" s="15" t="s">
        <v>62</v>
      </c>
      <c r="BJ212" s="16" t="s">
        <v>62</v>
      </c>
      <c r="BK212" s="16" t="s">
        <v>62</v>
      </c>
      <c r="BL212" s="16" t="s">
        <v>62</v>
      </c>
      <c r="BM212" s="16" t="s">
        <v>62</v>
      </c>
      <c r="BN212" s="16" t="s">
        <v>62</v>
      </c>
      <c r="BO212" s="16" t="s">
        <v>62</v>
      </c>
      <c r="BP212" s="16" t="s">
        <v>62</v>
      </c>
      <c r="BQ212" s="16" t="s">
        <v>62</v>
      </c>
      <c r="BR212" s="16" t="s">
        <v>62</v>
      </c>
      <c r="BS212" s="16" t="s">
        <v>62</v>
      </c>
      <c r="BT212" s="16" t="s">
        <v>62</v>
      </c>
      <c r="BU212" s="16" t="s">
        <v>62</v>
      </c>
      <c r="BV212" s="16" t="s">
        <v>62</v>
      </c>
      <c r="BW212" s="16" t="s">
        <v>62</v>
      </c>
      <c r="BX212" s="16" t="s">
        <v>62</v>
      </c>
      <c r="BY212" s="16" t="s">
        <v>62</v>
      </c>
      <c r="BZ212" s="16" t="s">
        <v>62</v>
      </c>
      <c r="CA212" s="16" t="s">
        <v>62</v>
      </c>
      <c r="CB212" s="16" t="s">
        <v>62</v>
      </c>
      <c r="CC212" s="16" t="s">
        <v>62</v>
      </c>
      <c r="CD212" s="16" t="s">
        <v>62</v>
      </c>
      <c r="CE212" s="16" t="s">
        <v>62</v>
      </c>
      <c r="CF212" s="15" t="s">
        <v>62</v>
      </c>
      <c r="CG212" s="15" t="s">
        <v>74</v>
      </c>
      <c r="CH212" s="15">
        <v>9.0399999999999996E-4</v>
      </c>
      <c r="CI212" s="14">
        <v>4</v>
      </c>
      <c r="CJ212" s="79">
        <v>3</v>
      </c>
      <c r="CK212" s="79" t="s">
        <v>224</v>
      </c>
      <c r="CL212" s="79" t="s">
        <v>224</v>
      </c>
      <c r="CM212" s="79">
        <v>295.67060900000001</v>
      </c>
      <c r="CN212" s="79">
        <v>2</v>
      </c>
      <c r="CO212" s="79" t="s">
        <v>224</v>
      </c>
      <c r="CP212" s="79" t="s">
        <v>224</v>
      </c>
      <c r="CQ212" s="79" t="s">
        <v>224</v>
      </c>
      <c r="CR212" s="12" t="str">
        <f>IF(COUNTIF(Incl!A:A,Raw!J212),1, "")</f>
        <v/>
      </c>
    </row>
    <row r="213" spans="1:96" ht="13.5" thickTop="1" thickBot="1" x14ac:dyDescent="0.3">
      <c r="A213" s="18">
        <v>210</v>
      </c>
      <c r="B213" s="19">
        <v>1</v>
      </c>
      <c r="C213" s="20">
        <v>164.59803500000001</v>
      </c>
      <c r="D213" s="19">
        <v>213</v>
      </c>
      <c r="E213" s="19">
        <v>1</v>
      </c>
      <c r="F213" s="19">
        <v>242</v>
      </c>
      <c r="G213" s="21">
        <v>244</v>
      </c>
      <c r="H213" s="19">
        <v>244</v>
      </c>
      <c r="I213" s="19">
        <v>244</v>
      </c>
      <c r="J213" s="19">
        <v>244</v>
      </c>
      <c r="K213" s="20" t="s">
        <v>119</v>
      </c>
      <c r="L213" s="20" t="s">
        <v>114</v>
      </c>
      <c r="M213" s="20" t="s">
        <v>95</v>
      </c>
      <c r="N213" s="22" t="s">
        <v>62</v>
      </c>
      <c r="O213" s="21">
        <v>5</v>
      </c>
      <c r="P213" s="22" t="s">
        <v>62</v>
      </c>
      <c r="Q213" s="22" t="s">
        <v>62</v>
      </c>
      <c r="R213" s="22" t="s">
        <v>62</v>
      </c>
      <c r="S213" s="22" t="s">
        <v>62</v>
      </c>
      <c r="T213" s="19">
        <v>5</v>
      </c>
      <c r="U213" s="21">
        <v>2</v>
      </c>
      <c r="V213" s="21">
        <v>2</v>
      </c>
      <c r="W213" s="21">
        <v>1</v>
      </c>
      <c r="X213" s="21">
        <v>3</v>
      </c>
      <c r="Y213" s="19">
        <v>42</v>
      </c>
      <c r="Z213" s="19">
        <v>42</v>
      </c>
      <c r="AA213" s="19">
        <v>21</v>
      </c>
      <c r="AB213" s="19">
        <v>63</v>
      </c>
      <c r="AC213" s="19">
        <v>0</v>
      </c>
      <c r="AD213" s="19">
        <v>0</v>
      </c>
      <c r="AE213" s="19">
        <v>0</v>
      </c>
      <c r="AF213" s="19">
        <v>2</v>
      </c>
      <c r="AG213" s="21">
        <v>2</v>
      </c>
      <c r="AH213" s="19">
        <v>0</v>
      </c>
      <c r="AI213" s="19">
        <v>0</v>
      </c>
      <c r="AJ213" s="19">
        <v>42</v>
      </c>
      <c r="AK213" s="19">
        <v>42</v>
      </c>
      <c r="AL213" s="19">
        <v>0</v>
      </c>
      <c r="AM213" s="22" t="s">
        <v>62</v>
      </c>
      <c r="AN213" s="22" t="s">
        <v>62</v>
      </c>
      <c r="AO213" s="22" t="s">
        <v>62</v>
      </c>
      <c r="AP213" s="22" t="s">
        <v>62</v>
      </c>
      <c r="AQ213" s="22" t="s">
        <v>62</v>
      </c>
      <c r="AR213" s="22" t="s">
        <v>62</v>
      </c>
      <c r="AS213" s="22" t="s">
        <v>62</v>
      </c>
      <c r="AT213" s="22" t="s">
        <v>62</v>
      </c>
      <c r="AU213" s="22" t="s">
        <v>62</v>
      </c>
      <c r="AV213" s="22" t="s">
        <v>62</v>
      </c>
      <c r="AW213" s="22" t="s">
        <v>62</v>
      </c>
      <c r="AX213" s="22" t="s">
        <v>62</v>
      </c>
      <c r="AY213" s="22" t="s">
        <v>62</v>
      </c>
      <c r="AZ213" s="22" t="s">
        <v>62</v>
      </c>
      <c r="BA213" s="22" t="s">
        <v>62</v>
      </c>
      <c r="BB213" s="22" t="s">
        <v>62</v>
      </c>
      <c r="BC213" s="22" t="s">
        <v>62</v>
      </c>
      <c r="BD213" s="22" t="s">
        <v>62</v>
      </c>
      <c r="BE213" s="22" t="s">
        <v>62</v>
      </c>
      <c r="BF213" s="22" t="s">
        <v>62</v>
      </c>
      <c r="BG213" s="22" t="s">
        <v>62</v>
      </c>
      <c r="BH213" s="22" t="s">
        <v>62</v>
      </c>
      <c r="BI213" s="22" t="s">
        <v>62</v>
      </c>
      <c r="BJ213" s="22" t="s">
        <v>62</v>
      </c>
      <c r="BK213" s="22" t="s">
        <v>62</v>
      </c>
      <c r="BL213" s="22" t="s">
        <v>62</v>
      </c>
      <c r="BM213" s="22" t="s">
        <v>62</v>
      </c>
      <c r="BN213" s="22" t="s">
        <v>62</v>
      </c>
      <c r="BO213" s="22" t="s">
        <v>62</v>
      </c>
      <c r="BP213" s="22" t="s">
        <v>62</v>
      </c>
      <c r="BQ213" s="22" t="s">
        <v>62</v>
      </c>
      <c r="BR213" s="22" t="s">
        <v>62</v>
      </c>
      <c r="BS213" s="22" t="s">
        <v>62</v>
      </c>
      <c r="BT213" s="22" t="s">
        <v>62</v>
      </c>
      <c r="BU213" s="22" t="s">
        <v>62</v>
      </c>
      <c r="BV213" s="22" t="s">
        <v>62</v>
      </c>
      <c r="BW213" s="22" t="s">
        <v>62</v>
      </c>
      <c r="BX213" s="22" t="s">
        <v>62</v>
      </c>
      <c r="BY213" s="22" t="s">
        <v>62</v>
      </c>
      <c r="BZ213" s="22" t="s">
        <v>62</v>
      </c>
      <c r="CA213" s="22" t="s">
        <v>62</v>
      </c>
      <c r="CB213" s="22" t="s">
        <v>62</v>
      </c>
      <c r="CC213" s="22" t="s">
        <v>62</v>
      </c>
      <c r="CD213" s="22" t="s">
        <v>62</v>
      </c>
      <c r="CE213" s="22" t="s">
        <v>62</v>
      </c>
      <c r="CF213" s="22" t="s">
        <v>62</v>
      </c>
      <c r="CG213" s="20" t="s">
        <v>64</v>
      </c>
      <c r="CH213" s="20">
        <v>5.3300000000000005E-4</v>
      </c>
      <c r="CI213" s="19">
        <v>0</v>
      </c>
      <c r="CJ213" s="78">
        <v>3</v>
      </c>
      <c r="CK213" s="78" t="s">
        <v>224</v>
      </c>
      <c r="CL213" s="78" t="s">
        <v>224</v>
      </c>
      <c r="CM213" s="78">
        <v>164.597926</v>
      </c>
      <c r="CN213" s="78">
        <v>2</v>
      </c>
      <c r="CO213" s="78" t="s">
        <v>224</v>
      </c>
      <c r="CP213" s="78" t="s">
        <v>224</v>
      </c>
      <c r="CQ213" s="78" t="s">
        <v>224</v>
      </c>
      <c r="CR213" s="12" t="str">
        <f>IF(COUNTIF(Incl!A:A,Raw!J213),1, "")</f>
        <v/>
      </c>
    </row>
    <row r="214" spans="1:96" ht="13.5" thickTop="1" thickBot="1" x14ac:dyDescent="0.3">
      <c r="A214" s="18">
        <v>211</v>
      </c>
      <c r="B214" s="19">
        <v>1</v>
      </c>
      <c r="C214" s="20">
        <v>279.18046199999998</v>
      </c>
      <c r="D214" s="19">
        <v>214</v>
      </c>
      <c r="E214" s="19">
        <v>1</v>
      </c>
      <c r="F214" s="19">
        <v>243</v>
      </c>
      <c r="G214" s="21">
        <v>38</v>
      </c>
      <c r="H214" s="19">
        <v>38</v>
      </c>
      <c r="I214" s="19">
        <v>38</v>
      </c>
      <c r="J214" s="19">
        <v>38</v>
      </c>
      <c r="K214" s="20" t="s">
        <v>114</v>
      </c>
      <c r="L214" s="20" t="s">
        <v>117</v>
      </c>
      <c r="M214" s="20" t="s">
        <v>119</v>
      </c>
      <c r="N214" s="22" t="s">
        <v>62</v>
      </c>
      <c r="O214" s="21" t="s">
        <v>62</v>
      </c>
      <c r="P214" s="22" t="s">
        <v>62</v>
      </c>
      <c r="Q214" s="22" t="s">
        <v>62</v>
      </c>
      <c r="R214" s="22" t="s">
        <v>62</v>
      </c>
      <c r="S214" s="22">
        <v>9</v>
      </c>
      <c r="T214" s="19">
        <v>9</v>
      </c>
      <c r="U214" s="21">
        <v>9</v>
      </c>
      <c r="V214" s="21">
        <v>9</v>
      </c>
      <c r="W214" s="21">
        <v>9</v>
      </c>
      <c r="X214" s="21">
        <v>9</v>
      </c>
      <c r="Y214" s="19">
        <v>97</v>
      </c>
      <c r="Z214" s="19">
        <v>97</v>
      </c>
      <c r="AA214" s="19">
        <v>97</v>
      </c>
      <c r="AB214" s="19">
        <v>97</v>
      </c>
      <c r="AC214" s="19">
        <v>4</v>
      </c>
      <c r="AD214" s="19">
        <v>4</v>
      </c>
      <c r="AE214" s="19">
        <v>5</v>
      </c>
      <c r="AF214" s="19">
        <v>5</v>
      </c>
      <c r="AG214" s="21">
        <v>5</v>
      </c>
      <c r="AH214" s="19">
        <v>43</v>
      </c>
      <c r="AI214" s="19">
        <v>54</v>
      </c>
      <c r="AJ214" s="19">
        <v>54</v>
      </c>
      <c r="AK214" s="19">
        <v>54</v>
      </c>
      <c r="AL214" s="19">
        <v>0</v>
      </c>
      <c r="AM214" s="22" t="s">
        <v>62</v>
      </c>
      <c r="AN214" s="22" t="s">
        <v>62</v>
      </c>
      <c r="AO214" s="22" t="s">
        <v>62</v>
      </c>
      <c r="AP214" s="22" t="s">
        <v>62</v>
      </c>
      <c r="AQ214" s="22" t="s">
        <v>62</v>
      </c>
      <c r="AR214" s="22" t="s">
        <v>62</v>
      </c>
      <c r="AS214" s="22" t="s">
        <v>62</v>
      </c>
      <c r="AT214" s="22" t="s">
        <v>62</v>
      </c>
      <c r="AU214" s="22" t="s">
        <v>62</v>
      </c>
      <c r="AV214" s="22" t="s">
        <v>62</v>
      </c>
      <c r="AW214" s="22" t="s">
        <v>62</v>
      </c>
      <c r="AX214" s="22" t="s">
        <v>62</v>
      </c>
      <c r="AY214" s="22" t="s">
        <v>62</v>
      </c>
      <c r="AZ214" s="22" t="s">
        <v>62</v>
      </c>
      <c r="BA214" s="22" t="s">
        <v>62</v>
      </c>
      <c r="BB214" s="22" t="s">
        <v>62</v>
      </c>
      <c r="BC214" s="22" t="s">
        <v>62</v>
      </c>
      <c r="BD214" s="22" t="s">
        <v>62</v>
      </c>
      <c r="BE214" s="22" t="s">
        <v>62</v>
      </c>
      <c r="BF214" s="22" t="s">
        <v>62</v>
      </c>
      <c r="BG214" s="22" t="s">
        <v>62</v>
      </c>
      <c r="BH214" s="22" t="s">
        <v>62</v>
      </c>
      <c r="BI214" s="22" t="s">
        <v>62</v>
      </c>
      <c r="BJ214" s="22" t="s">
        <v>62</v>
      </c>
      <c r="BK214" s="22" t="s">
        <v>62</v>
      </c>
      <c r="BL214" s="22" t="s">
        <v>62</v>
      </c>
      <c r="BM214" s="22" t="s">
        <v>62</v>
      </c>
      <c r="BN214" s="22" t="s">
        <v>62</v>
      </c>
      <c r="BO214" s="22" t="s">
        <v>62</v>
      </c>
      <c r="BP214" s="22" t="s">
        <v>62</v>
      </c>
      <c r="BQ214" s="22" t="s">
        <v>62</v>
      </c>
      <c r="BR214" s="22" t="s">
        <v>62</v>
      </c>
      <c r="BS214" s="22" t="s">
        <v>62</v>
      </c>
      <c r="BT214" s="22" t="s">
        <v>62</v>
      </c>
      <c r="BU214" s="22" t="s">
        <v>62</v>
      </c>
      <c r="BV214" s="22" t="s">
        <v>62</v>
      </c>
      <c r="BW214" s="22" t="s">
        <v>62</v>
      </c>
      <c r="BX214" s="22" t="s">
        <v>62</v>
      </c>
      <c r="BY214" s="22" t="s">
        <v>62</v>
      </c>
      <c r="BZ214" s="22" t="s">
        <v>62</v>
      </c>
      <c r="CA214" s="22" t="s">
        <v>62</v>
      </c>
      <c r="CB214" s="22" t="s">
        <v>62</v>
      </c>
      <c r="CC214" s="22" t="s">
        <v>62</v>
      </c>
      <c r="CD214" s="22" t="s">
        <v>62</v>
      </c>
      <c r="CE214" s="22" t="s">
        <v>62</v>
      </c>
      <c r="CF214" s="22" t="s">
        <v>62</v>
      </c>
      <c r="CG214" s="20" t="s">
        <v>71</v>
      </c>
      <c r="CH214" s="20">
        <v>8.4099999999999995E-4</v>
      </c>
      <c r="CI214" s="19">
        <v>4</v>
      </c>
      <c r="CJ214" s="78">
        <v>3</v>
      </c>
      <c r="CK214" s="78" t="s">
        <v>224</v>
      </c>
      <c r="CL214" s="78" t="s">
        <v>224</v>
      </c>
      <c r="CM214" s="78">
        <v>279.18061399999999</v>
      </c>
      <c r="CN214" s="78">
        <v>2</v>
      </c>
      <c r="CO214" s="78" t="s">
        <v>224</v>
      </c>
      <c r="CP214" s="78" t="s">
        <v>224</v>
      </c>
      <c r="CQ214" s="78" t="s">
        <v>224</v>
      </c>
      <c r="CR214" s="12" t="str">
        <f>IF(COUNTIF(Incl!A:A,Raw!J214),1, "")</f>
        <v/>
      </c>
    </row>
    <row r="215" spans="1:96" ht="13.5" thickTop="1" thickBot="1" x14ac:dyDescent="0.3">
      <c r="A215" s="13">
        <v>212</v>
      </c>
      <c r="B215" s="14">
        <v>1</v>
      </c>
      <c r="C215" s="15">
        <v>167.26463000000001</v>
      </c>
      <c r="D215" s="14">
        <v>215</v>
      </c>
      <c r="E215" s="14">
        <v>1</v>
      </c>
      <c r="F215" s="14">
        <v>244</v>
      </c>
      <c r="G215" s="16">
        <v>242</v>
      </c>
      <c r="H215" s="14">
        <v>242</v>
      </c>
      <c r="I215" s="14">
        <v>242</v>
      </c>
      <c r="J215" s="14">
        <v>242</v>
      </c>
      <c r="K215" s="15" t="s">
        <v>119</v>
      </c>
      <c r="L215" s="15" t="s">
        <v>120</v>
      </c>
      <c r="M215" s="15" t="s">
        <v>98</v>
      </c>
      <c r="N215" s="17" t="s">
        <v>62</v>
      </c>
      <c r="O215" s="16" t="s">
        <v>62</v>
      </c>
      <c r="P215" s="17">
        <v>7</v>
      </c>
      <c r="Q215" s="17" t="s">
        <v>62</v>
      </c>
      <c r="R215" s="17" t="s">
        <v>62</v>
      </c>
      <c r="S215" s="17" t="s">
        <v>62</v>
      </c>
      <c r="T215" s="14">
        <v>7</v>
      </c>
      <c r="U215" s="16">
        <v>3</v>
      </c>
      <c r="V215" s="16">
        <v>2</v>
      </c>
      <c r="W215" s="16">
        <v>3</v>
      </c>
      <c r="X215" s="16">
        <v>6</v>
      </c>
      <c r="Y215" s="14">
        <v>41</v>
      </c>
      <c r="Z215" s="14">
        <v>27</v>
      </c>
      <c r="AA215" s="14">
        <v>41</v>
      </c>
      <c r="AB215" s="14">
        <v>81</v>
      </c>
      <c r="AC215" s="14">
        <v>1</v>
      </c>
      <c r="AD215" s="14">
        <v>2</v>
      </c>
      <c r="AE215" s="14">
        <v>2</v>
      </c>
      <c r="AF215" s="14">
        <v>2</v>
      </c>
      <c r="AG215" s="16">
        <v>4</v>
      </c>
      <c r="AH215" s="14">
        <v>27</v>
      </c>
      <c r="AI215" s="14">
        <v>27</v>
      </c>
      <c r="AJ215" s="14">
        <v>27</v>
      </c>
      <c r="AK215" s="14">
        <v>54</v>
      </c>
      <c r="AL215" s="14">
        <v>0</v>
      </c>
      <c r="AM215" s="17" t="s">
        <v>62</v>
      </c>
      <c r="AN215" s="17" t="s">
        <v>62</v>
      </c>
      <c r="AO215" s="17" t="s">
        <v>62</v>
      </c>
      <c r="AP215" s="17" t="s">
        <v>62</v>
      </c>
      <c r="AQ215" s="17" t="s">
        <v>62</v>
      </c>
      <c r="AR215" s="17" t="s">
        <v>62</v>
      </c>
      <c r="AS215" s="17" t="s">
        <v>62</v>
      </c>
      <c r="AT215" s="17" t="s">
        <v>62</v>
      </c>
      <c r="AU215" s="17" t="s">
        <v>62</v>
      </c>
      <c r="AV215" s="17" t="s">
        <v>62</v>
      </c>
      <c r="AW215" s="17" t="s">
        <v>62</v>
      </c>
      <c r="AX215" s="17" t="s">
        <v>62</v>
      </c>
      <c r="AY215" s="17" t="s">
        <v>62</v>
      </c>
      <c r="AZ215" s="17" t="s">
        <v>62</v>
      </c>
      <c r="BA215" s="17" t="s">
        <v>62</v>
      </c>
      <c r="BB215" s="17" t="s">
        <v>62</v>
      </c>
      <c r="BC215" s="17" t="s">
        <v>62</v>
      </c>
      <c r="BD215" s="17" t="s">
        <v>62</v>
      </c>
      <c r="BE215" s="17" t="s">
        <v>62</v>
      </c>
      <c r="BF215" s="17" t="s">
        <v>62</v>
      </c>
      <c r="BG215" s="17" t="s">
        <v>62</v>
      </c>
      <c r="BH215" s="17" t="s">
        <v>62</v>
      </c>
      <c r="BI215" s="17" t="s">
        <v>62</v>
      </c>
      <c r="BJ215" s="17" t="s">
        <v>62</v>
      </c>
      <c r="BK215" s="17" t="s">
        <v>62</v>
      </c>
      <c r="BL215" s="17" t="s">
        <v>62</v>
      </c>
      <c r="BM215" s="17" t="s">
        <v>62</v>
      </c>
      <c r="BN215" s="17" t="s">
        <v>62</v>
      </c>
      <c r="BO215" s="17" t="s">
        <v>62</v>
      </c>
      <c r="BP215" s="17" t="s">
        <v>62</v>
      </c>
      <c r="BQ215" s="17" t="s">
        <v>62</v>
      </c>
      <c r="BR215" s="17" t="s">
        <v>62</v>
      </c>
      <c r="BS215" s="17" t="s">
        <v>62</v>
      </c>
      <c r="BT215" s="17" t="s">
        <v>62</v>
      </c>
      <c r="BU215" s="17" t="s">
        <v>62</v>
      </c>
      <c r="BV215" s="17" t="s">
        <v>62</v>
      </c>
      <c r="BW215" s="17" t="s">
        <v>62</v>
      </c>
      <c r="BX215" s="17" t="s">
        <v>62</v>
      </c>
      <c r="BY215" s="17" t="s">
        <v>62</v>
      </c>
      <c r="BZ215" s="17" t="s">
        <v>62</v>
      </c>
      <c r="CA215" s="17" t="s">
        <v>62</v>
      </c>
      <c r="CB215" s="17" t="s">
        <v>62</v>
      </c>
      <c r="CC215" s="17" t="s">
        <v>62</v>
      </c>
      <c r="CD215" s="17" t="s">
        <v>62</v>
      </c>
      <c r="CE215" s="17" t="s">
        <v>62</v>
      </c>
      <c r="CF215" s="17" t="s">
        <v>62</v>
      </c>
      <c r="CG215" s="15" t="s">
        <v>64</v>
      </c>
      <c r="CH215" s="15">
        <v>5.3899999999999998E-4</v>
      </c>
      <c r="CI215" s="14">
        <v>1</v>
      </c>
      <c r="CJ215" s="79">
        <v>3</v>
      </c>
      <c r="CK215" s="79" t="s">
        <v>224</v>
      </c>
      <c r="CL215" s="79" t="s">
        <v>224</v>
      </c>
      <c r="CM215" s="79">
        <v>167.26481699999999</v>
      </c>
      <c r="CN215" s="79">
        <v>2</v>
      </c>
      <c r="CO215" s="79" t="s">
        <v>224</v>
      </c>
      <c r="CP215" s="79" t="s">
        <v>224</v>
      </c>
      <c r="CQ215" s="79" t="s">
        <v>224</v>
      </c>
      <c r="CR215" s="12" t="str">
        <f>IF(COUNTIF(Incl!A:A,Raw!J215),1, "")</f>
        <v/>
      </c>
    </row>
    <row r="216" spans="1:96" ht="13.5" thickTop="1" thickBot="1" x14ac:dyDescent="0.3">
      <c r="A216" s="18">
        <v>213</v>
      </c>
      <c r="B216" s="19">
        <v>1</v>
      </c>
      <c r="C216" s="20">
        <v>163.515117</v>
      </c>
      <c r="D216" s="19">
        <v>216</v>
      </c>
      <c r="E216" s="19">
        <v>1</v>
      </c>
      <c r="F216" s="19">
        <v>245</v>
      </c>
      <c r="G216" s="21">
        <v>243</v>
      </c>
      <c r="H216" s="19">
        <v>243</v>
      </c>
      <c r="I216" s="19">
        <v>243</v>
      </c>
      <c r="J216" s="19">
        <v>243</v>
      </c>
      <c r="K216" s="20" t="s">
        <v>119</v>
      </c>
      <c r="L216" s="20" t="s">
        <v>95</v>
      </c>
      <c r="M216" s="20" t="s">
        <v>120</v>
      </c>
      <c r="N216" s="22" t="s">
        <v>62</v>
      </c>
      <c r="O216" s="21" t="s">
        <v>62</v>
      </c>
      <c r="P216" s="22">
        <v>7</v>
      </c>
      <c r="Q216" s="22" t="s">
        <v>62</v>
      </c>
      <c r="R216" s="22" t="s">
        <v>62</v>
      </c>
      <c r="S216" s="22" t="s">
        <v>62</v>
      </c>
      <c r="T216" s="19">
        <v>7</v>
      </c>
      <c r="U216" s="21">
        <v>2</v>
      </c>
      <c r="V216" s="21">
        <v>5</v>
      </c>
      <c r="W216" s="21">
        <v>3</v>
      </c>
      <c r="X216" s="21">
        <v>5</v>
      </c>
      <c r="Y216" s="19">
        <v>29</v>
      </c>
      <c r="Z216" s="19">
        <v>74</v>
      </c>
      <c r="AA216" s="19">
        <v>44</v>
      </c>
      <c r="AB216" s="19">
        <v>74</v>
      </c>
      <c r="AC216" s="19">
        <v>0</v>
      </c>
      <c r="AD216" s="19">
        <v>5</v>
      </c>
      <c r="AE216" s="19">
        <v>5</v>
      </c>
      <c r="AF216" s="19">
        <v>5</v>
      </c>
      <c r="AG216" s="21">
        <v>4</v>
      </c>
      <c r="AH216" s="19">
        <v>74</v>
      </c>
      <c r="AI216" s="19">
        <v>74</v>
      </c>
      <c r="AJ216" s="19">
        <v>74</v>
      </c>
      <c r="AK216" s="19">
        <v>59</v>
      </c>
      <c r="AL216" s="19">
        <v>0</v>
      </c>
      <c r="AM216" s="22" t="s">
        <v>62</v>
      </c>
      <c r="AN216" s="22" t="s">
        <v>62</v>
      </c>
      <c r="AO216" s="22" t="s">
        <v>62</v>
      </c>
      <c r="AP216" s="22" t="s">
        <v>62</v>
      </c>
      <c r="AQ216" s="22" t="s">
        <v>62</v>
      </c>
      <c r="AR216" s="22" t="s">
        <v>62</v>
      </c>
      <c r="AS216" s="22" t="s">
        <v>62</v>
      </c>
      <c r="AT216" s="22" t="s">
        <v>62</v>
      </c>
      <c r="AU216" s="22" t="s">
        <v>62</v>
      </c>
      <c r="AV216" s="22" t="s">
        <v>62</v>
      </c>
      <c r="AW216" s="22" t="s">
        <v>62</v>
      </c>
      <c r="AX216" s="22" t="s">
        <v>62</v>
      </c>
      <c r="AY216" s="22" t="s">
        <v>62</v>
      </c>
      <c r="AZ216" s="22" t="s">
        <v>62</v>
      </c>
      <c r="BA216" s="22" t="s">
        <v>62</v>
      </c>
      <c r="BB216" s="22" t="s">
        <v>62</v>
      </c>
      <c r="BC216" s="22" t="s">
        <v>62</v>
      </c>
      <c r="BD216" s="22" t="s">
        <v>62</v>
      </c>
      <c r="BE216" s="22" t="s">
        <v>62</v>
      </c>
      <c r="BF216" s="22" t="s">
        <v>62</v>
      </c>
      <c r="BG216" s="22" t="s">
        <v>62</v>
      </c>
      <c r="BH216" s="22" t="s">
        <v>62</v>
      </c>
      <c r="BI216" s="22" t="s">
        <v>62</v>
      </c>
      <c r="BJ216" s="22" t="s">
        <v>62</v>
      </c>
      <c r="BK216" s="22" t="s">
        <v>62</v>
      </c>
      <c r="BL216" s="22" t="s">
        <v>62</v>
      </c>
      <c r="BM216" s="22" t="s">
        <v>62</v>
      </c>
      <c r="BN216" s="22" t="s">
        <v>62</v>
      </c>
      <c r="BO216" s="22" t="s">
        <v>62</v>
      </c>
      <c r="BP216" s="22" t="s">
        <v>62</v>
      </c>
      <c r="BQ216" s="22" t="s">
        <v>62</v>
      </c>
      <c r="BR216" s="22" t="s">
        <v>62</v>
      </c>
      <c r="BS216" s="22" t="s">
        <v>62</v>
      </c>
      <c r="BT216" s="22" t="s">
        <v>62</v>
      </c>
      <c r="BU216" s="22" t="s">
        <v>62</v>
      </c>
      <c r="BV216" s="22" t="s">
        <v>62</v>
      </c>
      <c r="BW216" s="22" t="s">
        <v>62</v>
      </c>
      <c r="BX216" s="22" t="s">
        <v>62</v>
      </c>
      <c r="BY216" s="22" t="s">
        <v>62</v>
      </c>
      <c r="BZ216" s="22" t="s">
        <v>62</v>
      </c>
      <c r="CA216" s="22" t="s">
        <v>62</v>
      </c>
      <c r="CB216" s="22" t="s">
        <v>62</v>
      </c>
      <c r="CC216" s="22" t="s">
        <v>62</v>
      </c>
      <c r="CD216" s="22" t="s">
        <v>62</v>
      </c>
      <c r="CE216" s="22" t="s">
        <v>62</v>
      </c>
      <c r="CF216" s="22" t="s">
        <v>62</v>
      </c>
      <c r="CG216" s="20" t="s">
        <v>64</v>
      </c>
      <c r="CH216" s="20">
        <v>5.22E-4</v>
      </c>
      <c r="CI216" s="19">
        <v>0</v>
      </c>
      <c r="CJ216" s="78">
        <v>3</v>
      </c>
      <c r="CK216" s="78" t="s">
        <v>224</v>
      </c>
      <c r="CL216" s="78" t="s">
        <v>224</v>
      </c>
      <c r="CM216" s="78">
        <v>163.515163</v>
      </c>
      <c r="CN216" s="78">
        <v>2</v>
      </c>
      <c r="CO216" s="78" t="s">
        <v>224</v>
      </c>
      <c r="CP216" s="78" t="s">
        <v>224</v>
      </c>
      <c r="CQ216" s="78" t="s">
        <v>224</v>
      </c>
      <c r="CR216" s="12" t="str">
        <f>IF(COUNTIF(Incl!A:A,Raw!J216),1, "")</f>
        <v/>
      </c>
    </row>
    <row r="217" spans="1:96" ht="13.5" thickTop="1" thickBot="1" x14ac:dyDescent="0.3">
      <c r="A217" s="13">
        <v>214</v>
      </c>
      <c r="B217" s="14">
        <v>1</v>
      </c>
      <c r="C217" s="15">
        <v>1364.4973030000001</v>
      </c>
      <c r="D217" s="14">
        <v>217</v>
      </c>
      <c r="E217" s="14">
        <v>1</v>
      </c>
      <c r="F217" s="14">
        <v>246</v>
      </c>
      <c r="G217" s="16">
        <v>247</v>
      </c>
      <c r="H217" s="14">
        <v>247</v>
      </c>
      <c r="I217" s="14">
        <v>247</v>
      </c>
      <c r="J217" s="14">
        <v>247</v>
      </c>
      <c r="K217" s="15" t="s">
        <v>119</v>
      </c>
      <c r="L217" s="15" t="s">
        <v>98</v>
      </c>
      <c r="M217" s="15" t="s">
        <v>69</v>
      </c>
      <c r="N217" s="17" t="s">
        <v>62</v>
      </c>
      <c r="O217" s="16">
        <v>25</v>
      </c>
      <c r="P217" s="17">
        <v>22</v>
      </c>
      <c r="Q217" s="17" t="s">
        <v>62</v>
      </c>
      <c r="R217" s="17" t="s">
        <v>62</v>
      </c>
      <c r="S217" s="17" t="s">
        <v>62</v>
      </c>
      <c r="T217" s="14">
        <v>47</v>
      </c>
      <c r="U217" s="16">
        <v>3</v>
      </c>
      <c r="V217" s="16">
        <v>5</v>
      </c>
      <c r="W217" s="16" t="s">
        <v>62</v>
      </c>
      <c r="X217" s="17" t="s">
        <v>62</v>
      </c>
      <c r="Y217" s="14">
        <v>6</v>
      </c>
      <c r="Z217" s="14">
        <v>11</v>
      </c>
      <c r="AA217" s="14">
        <v>0</v>
      </c>
      <c r="AB217" s="14">
        <v>0</v>
      </c>
      <c r="AC217" s="14">
        <v>0</v>
      </c>
      <c r="AD217" s="14">
        <v>2</v>
      </c>
      <c r="AE217" s="14">
        <v>2</v>
      </c>
      <c r="AF217" s="14">
        <v>6</v>
      </c>
      <c r="AG217" s="17">
        <v>14</v>
      </c>
      <c r="AH217" s="14">
        <v>4</v>
      </c>
      <c r="AI217" s="14">
        <v>4</v>
      </c>
      <c r="AJ217" s="14">
        <v>13</v>
      </c>
      <c r="AK217" s="14">
        <v>30</v>
      </c>
      <c r="AL217" s="14">
        <v>0</v>
      </c>
      <c r="AM217" s="16" t="s">
        <v>62</v>
      </c>
      <c r="AN217" s="16" t="s">
        <v>62</v>
      </c>
      <c r="AO217" s="16" t="s">
        <v>62</v>
      </c>
      <c r="AP217" s="16" t="s">
        <v>62</v>
      </c>
      <c r="AQ217" s="16" t="s">
        <v>62</v>
      </c>
      <c r="AR217" s="16" t="s">
        <v>62</v>
      </c>
      <c r="AS217" s="16" t="s">
        <v>62</v>
      </c>
      <c r="AT217" s="16" t="s">
        <v>62</v>
      </c>
      <c r="AU217" s="16" t="s">
        <v>62</v>
      </c>
      <c r="AV217" s="16" t="s">
        <v>62</v>
      </c>
      <c r="AW217" s="16" t="s">
        <v>62</v>
      </c>
      <c r="AX217" s="16" t="s">
        <v>62</v>
      </c>
      <c r="AY217" s="16" t="s">
        <v>62</v>
      </c>
      <c r="AZ217" s="16" t="s">
        <v>62</v>
      </c>
      <c r="BA217" s="16" t="s">
        <v>62</v>
      </c>
      <c r="BB217" s="16" t="s">
        <v>62</v>
      </c>
      <c r="BC217" s="16" t="s">
        <v>62</v>
      </c>
      <c r="BD217" s="16" t="s">
        <v>62</v>
      </c>
      <c r="BE217" s="16" t="s">
        <v>62</v>
      </c>
      <c r="BF217" s="16" t="s">
        <v>62</v>
      </c>
      <c r="BG217" s="16" t="s">
        <v>62</v>
      </c>
      <c r="BH217" s="16" t="s">
        <v>62</v>
      </c>
      <c r="BI217" s="15" t="s">
        <v>62</v>
      </c>
      <c r="BJ217" s="16" t="s">
        <v>62</v>
      </c>
      <c r="BK217" s="16" t="s">
        <v>62</v>
      </c>
      <c r="BL217" s="16" t="s">
        <v>62</v>
      </c>
      <c r="BM217" s="16" t="s">
        <v>62</v>
      </c>
      <c r="BN217" s="16" t="s">
        <v>62</v>
      </c>
      <c r="BO217" s="16" t="s">
        <v>62</v>
      </c>
      <c r="BP217" s="16" t="s">
        <v>62</v>
      </c>
      <c r="BQ217" s="16" t="s">
        <v>62</v>
      </c>
      <c r="BR217" s="16" t="s">
        <v>62</v>
      </c>
      <c r="BS217" s="16" t="s">
        <v>62</v>
      </c>
      <c r="BT217" s="16" t="s">
        <v>62</v>
      </c>
      <c r="BU217" s="16" t="s">
        <v>62</v>
      </c>
      <c r="BV217" s="16" t="s">
        <v>62</v>
      </c>
      <c r="BW217" s="16" t="s">
        <v>62</v>
      </c>
      <c r="BX217" s="16" t="s">
        <v>62</v>
      </c>
      <c r="BY217" s="16" t="s">
        <v>62</v>
      </c>
      <c r="BZ217" s="16" t="s">
        <v>62</v>
      </c>
      <c r="CA217" s="16" t="s">
        <v>62</v>
      </c>
      <c r="CB217" s="16" t="s">
        <v>62</v>
      </c>
      <c r="CC217" s="16" t="s">
        <v>62</v>
      </c>
      <c r="CD217" s="16" t="s">
        <v>62</v>
      </c>
      <c r="CE217" s="16" t="s">
        <v>62</v>
      </c>
      <c r="CF217" s="15" t="s">
        <v>62</v>
      </c>
      <c r="CG217" s="15" t="s">
        <v>66</v>
      </c>
      <c r="CH217" s="15">
        <v>4.4070000000000003E-3</v>
      </c>
      <c r="CI217" s="14">
        <v>0</v>
      </c>
      <c r="CJ217" s="79">
        <v>0</v>
      </c>
      <c r="CK217" s="79" t="s">
        <v>224</v>
      </c>
      <c r="CL217" s="79" t="s">
        <v>224</v>
      </c>
      <c r="CM217" s="79">
        <v>1364.4973640000001</v>
      </c>
      <c r="CN217" s="79">
        <v>2</v>
      </c>
      <c r="CO217" s="79" t="s">
        <v>224</v>
      </c>
      <c r="CP217" s="79" t="s">
        <v>224</v>
      </c>
      <c r="CQ217" s="79" t="s">
        <v>224</v>
      </c>
      <c r="CR217" s="12" t="str">
        <f>IF(COUNTIF(Incl!A:A,Raw!J217),1, "")</f>
        <v/>
      </c>
    </row>
    <row r="218" spans="1:96" ht="13.5" thickTop="1" thickBot="1" x14ac:dyDescent="0.3">
      <c r="A218" s="13">
        <v>215</v>
      </c>
      <c r="B218" s="14">
        <v>1</v>
      </c>
      <c r="C218" s="15">
        <v>276.57521500000001</v>
      </c>
      <c r="D218" s="14">
        <v>218</v>
      </c>
      <c r="E218" s="14">
        <v>1</v>
      </c>
      <c r="F218" s="14">
        <v>247</v>
      </c>
      <c r="G218" s="16">
        <v>39</v>
      </c>
      <c r="H218" s="14">
        <v>39</v>
      </c>
      <c r="I218" s="14">
        <v>39</v>
      </c>
      <c r="J218" s="14">
        <v>39</v>
      </c>
      <c r="K218" s="15" t="s">
        <v>114</v>
      </c>
      <c r="L218" s="15" t="s">
        <v>119</v>
      </c>
      <c r="M218" s="15" t="s">
        <v>117</v>
      </c>
      <c r="N218" s="17" t="s">
        <v>62</v>
      </c>
      <c r="O218" s="16" t="s">
        <v>62</v>
      </c>
      <c r="P218" s="17" t="s">
        <v>62</v>
      </c>
      <c r="Q218" s="17" t="s">
        <v>62</v>
      </c>
      <c r="R218" s="17" t="s">
        <v>62</v>
      </c>
      <c r="S218" s="17">
        <v>11</v>
      </c>
      <c r="T218" s="14">
        <v>11</v>
      </c>
      <c r="U218" s="16">
        <v>9</v>
      </c>
      <c r="V218" s="16">
        <v>11</v>
      </c>
      <c r="W218" s="16">
        <v>9</v>
      </c>
      <c r="X218" s="17">
        <v>8</v>
      </c>
      <c r="Y218" s="14">
        <v>83</v>
      </c>
      <c r="Z218" s="14">
        <v>101</v>
      </c>
      <c r="AA218" s="14">
        <v>83</v>
      </c>
      <c r="AB218" s="14">
        <v>73</v>
      </c>
      <c r="AC218" s="14">
        <v>3</v>
      </c>
      <c r="AD218" s="14">
        <v>2</v>
      </c>
      <c r="AE218" s="14">
        <v>7</v>
      </c>
      <c r="AF218" s="14">
        <v>8</v>
      </c>
      <c r="AG218" s="17">
        <v>10</v>
      </c>
      <c r="AH218" s="14">
        <v>18</v>
      </c>
      <c r="AI218" s="14">
        <v>64</v>
      </c>
      <c r="AJ218" s="14">
        <v>73</v>
      </c>
      <c r="AK218" s="14">
        <v>92</v>
      </c>
      <c r="AL218" s="14">
        <v>1</v>
      </c>
      <c r="AM218" s="16" t="s">
        <v>62</v>
      </c>
      <c r="AN218" s="16" t="s">
        <v>62</v>
      </c>
      <c r="AO218" s="16" t="s">
        <v>62</v>
      </c>
      <c r="AP218" s="16" t="s">
        <v>62</v>
      </c>
      <c r="AQ218" s="16" t="s">
        <v>62</v>
      </c>
      <c r="AR218" s="16" t="s">
        <v>62</v>
      </c>
      <c r="AS218" s="16" t="s">
        <v>62</v>
      </c>
      <c r="AT218" s="16" t="s">
        <v>62</v>
      </c>
      <c r="AU218" s="16" t="s">
        <v>62</v>
      </c>
      <c r="AV218" s="16" t="s">
        <v>62</v>
      </c>
      <c r="AW218" s="16" t="s">
        <v>62</v>
      </c>
      <c r="AX218" s="16" t="s">
        <v>62</v>
      </c>
      <c r="AY218" s="16" t="s">
        <v>62</v>
      </c>
      <c r="AZ218" s="16" t="s">
        <v>62</v>
      </c>
      <c r="BA218" s="16" t="s">
        <v>62</v>
      </c>
      <c r="BB218" s="16" t="s">
        <v>62</v>
      </c>
      <c r="BC218" s="16" t="s">
        <v>62</v>
      </c>
      <c r="BD218" s="16" t="s">
        <v>62</v>
      </c>
      <c r="BE218" s="16" t="s">
        <v>62</v>
      </c>
      <c r="BF218" s="16" t="s">
        <v>62</v>
      </c>
      <c r="BG218" s="16" t="s">
        <v>62</v>
      </c>
      <c r="BH218" s="16" t="s">
        <v>62</v>
      </c>
      <c r="BI218" s="15" t="s">
        <v>62</v>
      </c>
      <c r="BJ218" s="16" t="s">
        <v>62</v>
      </c>
      <c r="BK218" s="16" t="s">
        <v>62</v>
      </c>
      <c r="BL218" s="16" t="s">
        <v>62</v>
      </c>
      <c r="BM218" s="16" t="s">
        <v>62</v>
      </c>
      <c r="BN218" s="16" t="s">
        <v>62</v>
      </c>
      <c r="BO218" s="16" t="s">
        <v>62</v>
      </c>
      <c r="BP218" s="16" t="s">
        <v>62</v>
      </c>
      <c r="BQ218" s="16" t="s">
        <v>62</v>
      </c>
      <c r="BR218" s="16" t="s">
        <v>62</v>
      </c>
      <c r="BS218" s="16" t="s">
        <v>62</v>
      </c>
      <c r="BT218" s="16" t="s">
        <v>62</v>
      </c>
      <c r="BU218" s="16" t="s">
        <v>62</v>
      </c>
      <c r="BV218" s="16" t="s">
        <v>62</v>
      </c>
      <c r="BW218" s="16" t="s">
        <v>62</v>
      </c>
      <c r="BX218" s="16" t="s">
        <v>62</v>
      </c>
      <c r="BY218" s="16" t="s">
        <v>62</v>
      </c>
      <c r="BZ218" s="16" t="s">
        <v>62</v>
      </c>
      <c r="CA218" s="16" t="s">
        <v>62</v>
      </c>
      <c r="CB218" s="16" t="s">
        <v>62</v>
      </c>
      <c r="CC218" s="16" t="s">
        <v>62</v>
      </c>
      <c r="CD218" s="16" t="s">
        <v>62</v>
      </c>
      <c r="CE218" s="16" t="s">
        <v>62</v>
      </c>
      <c r="CF218" s="15" t="s">
        <v>62</v>
      </c>
      <c r="CG218" s="15" t="s">
        <v>74</v>
      </c>
      <c r="CH218" s="15">
        <v>8.3299999999999997E-4</v>
      </c>
      <c r="CI218" s="14">
        <v>4</v>
      </c>
      <c r="CJ218" s="79">
        <v>3</v>
      </c>
      <c r="CK218" s="79" t="s">
        <v>224</v>
      </c>
      <c r="CL218" s="79" t="s">
        <v>224</v>
      </c>
      <c r="CM218" s="79">
        <v>276.57514700000002</v>
      </c>
      <c r="CN218" s="79">
        <v>2</v>
      </c>
      <c r="CO218" s="79" t="s">
        <v>224</v>
      </c>
      <c r="CP218" s="79" t="s">
        <v>224</v>
      </c>
      <c r="CQ218" s="79" t="s">
        <v>224</v>
      </c>
      <c r="CR218" s="12" t="str">
        <f>IF(COUNTIF(Incl!A:A,Raw!J218),1, "")</f>
        <v/>
      </c>
    </row>
    <row r="219" spans="1:96" ht="13.5" thickTop="1" thickBot="1" x14ac:dyDescent="0.3">
      <c r="A219" s="13">
        <v>216</v>
      </c>
      <c r="B219" s="14">
        <v>1</v>
      </c>
      <c r="C219" s="15">
        <v>300.98609099999999</v>
      </c>
      <c r="D219" s="14">
        <v>219</v>
      </c>
      <c r="E219" s="14">
        <v>1</v>
      </c>
      <c r="F219" s="14">
        <v>248</v>
      </c>
      <c r="G219" s="16">
        <v>43</v>
      </c>
      <c r="H219" s="14">
        <v>43</v>
      </c>
      <c r="I219" s="14">
        <v>43</v>
      </c>
      <c r="J219" s="14">
        <v>43</v>
      </c>
      <c r="K219" s="15" t="s">
        <v>115</v>
      </c>
      <c r="L219" s="15" t="s">
        <v>117</v>
      </c>
      <c r="M219" s="15" t="s">
        <v>119</v>
      </c>
      <c r="N219" s="17" t="s">
        <v>62</v>
      </c>
      <c r="O219" s="16" t="s">
        <v>62</v>
      </c>
      <c r="P219" s="17">
        <v>8</v>
      </c>
      <c r="Q219" s="17" t="s">
        <v>62</v>
      </c>
      <c r="R219" s="17" t="s">
        <v>62</v>
      </c>
      <c r="S219" s="17" t="s">
        <v>62</v>
      </c>
      <c r="T219" s="14">
        <v>8</v>
      </c>
      <c r="U219" s="16">
        <v>8</v>
      </c>
      <c r="V219" s="16">
        <v>5</v>
      </c>
      <c r="W219" s="16">
        <v>6</v>
      </c>
      <c r="X219" s="17">
        <v>8</v>
      </c>
      <c r="Y219" s="14">
        <v>105</v>
      </c>
      <c r="Z219" s="14">
        <v>66</v>
      </c>
      <c r="AA219" s="14">
        <v>79</v>
      </c>
      <c r="AB219" s="14">
        <v>105</v>
      </c>
      <c r="AC219" s="14">
        <v>3</v>
      </c>
      <c r="AD219" s="14">
        <v>9</v>
      </c>
      <c r="AE219" s="14">
        <v>9</v>
      </c>
      <c r="AF219" s="14">
        <v>6</v>
      </c>
      <c r="AG219" s="17">
        <v>7</v>
      </c>
      <c r="AH219" s="14">
        <v>118</v>
      </c>
      <c r="AI219" s="14">
        <v>118</v>
      </c>
      <c r="AJ219" s="14">
        <v>79</v>
      </c>
      <c r="AK219" s="14">
        <v>92</v>
      </c>
      <c r="AL219" s="14">
        <v>4</v>
      </c>
      <c r="AM219" s="16" t="s">
        <v>62</v>
      </c>
      <c r="AN219" s="16" t="s">
        <v>62</v>
      </c>
      <c r="AO219" s="16" t="s">
        <v>62</v>
      </c>
      <c r="AP219" s="16" t="s">
        <v>62</v>
      </c>
      <c r="AQ219" s="16" t="s">
        <v>62</v>
      </c>
      <c r="AR219" s="16" t="s">
        <v>62</v>
      </c>
      <c r="AS219" s="16" t="s">
        <v>62</v>
      </c>
      <c r="AT219" s="16" t="s">
        <v>62</v>
      </c>
      <c r="AU219" s="16" t="s">
        <v>62</v>
      </c>
      <c r="AV219" s="16" t="s">
        <v>62</v>
      </c>
      <c r="AW219" s="16" t="s">
        <v>62</v>
      </c>
      <c r="AX219" s="16" t="s">
        <v>62</v>
      </c>
      <c r="AY219" s="16" t="s">
        <v>62</v>
      </c>
      <c r="AZ219" s="16" t="s">
        <v>62</v>
      </c>
      <c r="BA219" s="16" t="s">
        <v>62</v>
      </c>
      <c r="BB219" s="16" t="s">
        <v>62</v>
      </c>
      <c r="BC219" s="16" t="s">
        <v>62</v>
      </c>
      <c r="BD219" s="16" t="s">
        <v>62</v>
      </c>
      <c r="BE219" s="16" t="s">
        <v>62</v>
      </c>
      <c r="BF219" s="16" t="s">
        <v>62</v>
      </c>
      <c r="BG219" s="16" t="s">
        <v>62</v>
      </c>
      <c r="BH219" s="16" t="s">
        <v>62</v>
      </c>
      <c r="BI219" s="15" t="s">
        <v>62</v>
      </c>
      <c r="BJ219" s="16" t="s">
        <v>62</v>
      </c>
      <c r="BK219" s="16" t="s">
        <v>62</v>
      </c>
      <c r="BL219" s="16" t="s">
        <v>62</v>
      </c>
      <c r="BM219" s="16" t="s">
        <v>62</v>
      </c>
      <c r="BN219" s="16" t="s">
        <v>62</v>
      </c>
      <c r="BO219" s="16" t="s">
        <v>62</v>
      </c>
      <c r="BP219" s="16" t="s">
        <v>62</v>
      </c>
      <c r="BQ219" s="16" t="s">
        <v>62</v>
      </c>
      <c r="BR219" s="16" t="s">
        <v>62</v>
      </c>
      <c r="BS219" s="16" t="s">
        <v>62</v>
      </c>
      <c r="BT219" s="16" t="s">
        <v>62</v>
      </c>
      <c r="BU219" s="16" t="s">
        <v>62</v>
      </c>
      <c r="BV219" s="16" t="s">
        <v>62</v>
      </c>
      <c r="BW219" s="16" t="s">
        <v>62</v>
      </c>
      <c r="BX219" s="16" t="s">
        <v>62</v>
      </c>
      <c r="BY219" s="16" t="s">
        <v>62</v>
      </c>
      <c r="BZ219" s="16" t="s">
        <v>62</v>
      </c>
      <c r="CA219" s="16" t="s">
        <v>62</v>
      </c>
      <c r="CB219" s="16" t="s">
        <v>62</v>
      </c>
      <c r="CC219" s="16" t="s">
        <v>62</v>
      </c>
      <c r="CD219" s="16" t="s">
        <v>62</v>
      </c>
      <c r="CE219" s="16" t="s">
        <v>62</v>
      </c>
      <c r="CF219" s="15" t="s">
        <v>62</v>
      </c>
      <c r="CG219" s="15" t="s">
        <v>71</v>
      </c>
      <c r="CH219" s="15">
        <v>9.0399999999999996E-4</v>
      </c>
      <c r="CI219" s="14">
        <v>7</v>
      </c>
      <c r="CJ219" s="79">
        <v>3</v>
      </c>
      <c r="CK219" s="79" t="s">
        <v>224</v>
      </c>
      <c r="CL219" s="79" t="s">
        <v>224</v>
      </c>
      <c r="CM219" s="79">
        <v>300.98593099999999</v>
      </c>
      <c r="CN219" s="79">
        <v>2</v>
      </c>
      <c r="CO219" s="79" t="s">
        <v>224</v>
      </c>
      <c r="CP219" s="79" t="s">
        <v>224</v>
      </c>
      <c r="CQ219" s="79" t="s">
        <v>224</v>
      </c>
      <c r="CR219" s="12" t="str">
        <f>IF(COUNTIF(Incl!A:A,Raw!J219),1, "")</f>
        <v/>
      </c>
    </row>
    <row r="220" spans="1:96" ht="13.5" thickTop="1" thickBot="1" x14ac:dyDescent="0.3">
      <c r="A220" s="18">
        <v>217</v>
      </c>
      <c r="B220" s="19">
        <v>1</v>
      </c>
      <c r="C220" s="20">
        <v>156.56625199999999</v>
      </c>
      <c r="D220" s="19">
        <v>220</v>
      </c>
      <c r="E220" s="19">
        <v>1</v>
      </c>
      <c r="F220" s="19">
        <v>249</v>
      </c>
      <c r="G220" s="21">
        <v>245</v>
      </c>
      <c r="H220" s="19">
        <v>245</v>
      </c>
      <c r="I220" s="19">
        <v>245</v>
      </c>
      <c r="J220" s="19">
        <v>245</v>
      </c>
      <c r="K220" s="20" t="s">
        <v>119</v>
      </c>
      <c r="L220" s="20" t="s">
        <v>115</v>
      </c>
      <c r="M220" s="20" t="s">
        <v>114</v>
      </c>
      <c r="N220" s="21" t="s">
        <v>62</v>
      </c>
      <c r="O220" s="22">
        <v>7</v>
      </c>
      <c r="P220" s="22" t="s">
        <v>62</v>
      </c>
      <c r="Q220" s="22" t="s">
        <v>62</v>
      </c>
      <c r="R220" s="22" t="s">
        <v>62</v>
      </c>
      <c r="S220" s="22" t="s">
        <v>62</v>
      </c>
      <c r="T220" s="19">
        <v>7</v>
      </c>
      <c r="U220" s="21">
        <v>3</v>
      </c>
      <c r="V220" s="21">
        <v>2</v>
      </c>
      <c r="W220" s="21">
        <v>4</v>
      </c>
      <c r="X220" s="22">
        <v>6</v>
      </c>
      <c r="Y220" s="19">
        <v>44</v>
      </c>
      <c r="Z220" s="19">
        <v>29</v>
      </c>
      <c r="AA220" s="19">
        <v>59</v>
      </c>
      <c r="AB220" s="19">
        <v>88</v>
      </c>
      <c r="AC220" s="19">
        <v>1</v>
      </c>
      <c r="AD220" s="19">
        <v>2</v>
      </c>
      <c r="AE220" s="19">
        <v>2</v>
      </c>
      <c r="AF220" s="19">
        <v>3</v>
      </c>
      <c r="AG220" s="22">
        <v>3</v>
      </c>
      <c r="AH220" s="19">
        <v>29</v>
      </c>
      <c r="AI220" s="19">
        <v>29</v>
      </c>
      <c r="AJ220" s="19">
        <v>44</v>
      </c>
      <c r="AK220" s="19">
        <v>44</v>
      </c>
      <c r="AL220" s="19">
        <v>0</v>
      </c>
      <c r="AM220" s="21" t="s">
        <v>62</v>
      </c>
      <c r="AN220" s="21" t="s">
        <v>62</v>
      </c>
      <c r="AO220" s="21" t="s">
        <v>62</v>
      </c>
      <c r="AP220" s="21" t="s">
        <v>62</v>
      </c>
      <c r="AQ220" s="21" t="s">
        <v>62</v>
      </c>
      <c r="AR220" s="21" t="s">
        <v>62</v>
      </c>
      <c r="AS220" s="21" t="s">
        <v>62</v>
      </c>
      <c r="AT220" s="21" t="s">
        <v>62</v>
      </c>
      <c r="AU220" s="21" t="s">
        <v>62</v>
      </c>
      <c r="AV220" s="21" t="s">
        <v>62</v>
      </c>
      <c r="AW220" s="21" t="s">
        <v>62</v>
      </c>
      <c r="AX220" s="21" t="s">
        <v>62</v>
      </c>
      <c r="AY220" s="21" t="s">
        <v>62</v>
      </c>
      <c r="AZ220" s="21" t="s">
        <v>62</v>
      </c>
      <c r="BA220" s="21" t="s">
        <v>62</v>
      </c>
      <c r="BB220" s="21" t="s">
        <v>62</v>
      </c>
      <c r="BC220" s="21" t="s">
        <v>62</v>
      </c>
      <c r="BD220" s="21" t="s">
        <v>62</v>
      </c>
      <c r="BE220" s="21" t="s">
        <v>62</v>
      </c>
      <c r="BF220" s="21" t="s">
        <v>62</v>
      </c>
      <c r="BG220" s="21" t="s">
        <v>62</v>
      </c>
      <c r="BH220" s="21" t="s">
        <v>62</v>
      </c>
      <c r="BI220" s="20" t="s">
        <v>62</v>
      </c>
      <c r="BJ220" s="21" t="s">
        <v>62</v>
      </c>
      <c r="BK220" s="21" t="s">
        <v>62</v>
      </c>
      <c r="BL220" s="21" t="s">
        <v>62</v>
      </c>
      <c r="BM220" s="21" t="s">
        <v>62</v>
      </c>
      <c r="BN220" s="21" t="s">
        <v>62</v>
      </c>
      <c r="BO220" s="21" t="s">
        <v>62</v>
      </c>
      <c r="BP220" s="21" t="s">
        <v>62</v>
      </c>
      <c r="BQ220" s="21" t="s">
        <v>62</v>
      </c>
      <c r="BR220" s="21" t="s">
        <v>62</v>
      </c>
      <c r="BS220" s="21" t="s">
        <v>62</v>
      </c>
      <c r="BT220" s="21" t="s">
        <v>62</v>
      </c>
      <c r="BU220" s="21" t="s">
        <v>62</v>
      </c>
      <c r="BV220" s="21" t="s">
        <v>62</v>
      </c>
      <c r="BW220" s="21" t="s">
        <v>62</v>
      </c>
      <c r="BX220" s="21" t="s">
        <v>62</v>
      </c>
      <c r="BY220" s="21" t="s">
        <v>62</v>
      </c>
      <c r="BZ220" s="21" t="s">
        <v>62</v>
      </c>
      <c r="CA220" s="21" t="s">
        <v>62</v>
      </c>
      <c r="CB220" s="21" t="s">
        <v>62</v>
      </c>
      <c r="CC220" s="21" t="s">
        <v>62</v>
      </c>
      <c r="CD220" s="21" t="s">
        <v>62</v>
      </c>
      <c r="CE220" s="21" t="s">
        <v>62</v>
      </c>
      <c r="CF220" s="20" t="s">
        <v>62</v>
      </c>
      <c r="CG220" s="20" t="s">
        <v>64</v>
      </c>
      <c r="CH220" s="20">
        <v>5.0299999999999997E-4</v>
      </c>
      <c r="CI220" s="19">
        <v>1</v>
      </c>
      <c r="CJ220" s="78">
        <v>3</v>
      </c>
      <c r="CK220" s="78" t="s">
        <v>224</v>
      </c>
      <c r="CL220" s="78" t="s">
        <v>224</v>
      </c>
      <c r="CM220" s="78">
        <v>156.56640899999999</v>
      </c>
      <c r="CN220" s="78">
        <v>2</v>
      </c>
      <c r="CO220" s="78" t="s">
        <v>224</v>
      </c>
      <c r="CP220" s="78" t="s">
        <v>224</v>
      </c>
      <c r="CQ220" s="78" t="s">
        <v>224</v>
      </c>
      <c r="CR220" s="12" t="str">
        <f>IF(COUNTIF(Incl!A:A,Raw!J220),1, "")</f>
        <v/>
      </c>
    </row>
    <row r="221" spans="1:96" ht="13.5" thickTop="1" thickBot="1" x14ac:dyDescent="0.3">
      <c r="A221" s="18">
        <v>218</v>
      </c>
      <c r="B221" s="19">
        <v>1</v>
      </c>
      <c r="C221" s="20">
        <v>279.09290299999998</v>
      </c>
      <c r="D221" s="19">
        <v>221</v>
      </c>
      <c r="E221" s="19">
        <v>1</v>
      </c>
      <c r="F221" s="19">
        <v>250</v>
      </c>
      <c r="G221" s="21">
        <v>44</v>
      </c>
      <c r="H221" s="19">
        <v>44</v>
      </c>
      <c r="I221" s="19">
        <v>44</v>
      </c>
      <c r="J221" s="19">
        <v>44</v>
      </c>
      <c r="K221" s="20" t="s">
        <v>115</v>
      </c>
      <c r="L221" s="20" t="s">
        <v>119</v>
      </c>
      <c r="M221" s="20" t="s">
        <v>117</v>
      </c>
      <c r="N221" s="22" t="s">
        <v>62</v>
      </c>
      <c r="O221" s="21" t="s">
        <v>62</v>
      </c>
      <c r="P221" s="22">
        <v>11</v>
      </c>
      <c r="Q221" s="22" t="s">
        <v>62</v>
      </c>
      <c r="R221" s="22" t="s">
        <v>62</v>
      </c>
      <c r="S221" s="22" t="s">
        <v>62</v>
      </c>
      <c r="T221" s="19">
        <v>11</v>
      </c>
      <c r="U221" s="21">
        <v>11</v>
      </c>
      <c r="V221" s="21">
        <v>4</v>
      </c>
      <c r="W221" s="21">
        <v>9</v>
      </c>
      <c r="X221" s="21">
        <v>9</v>
      </c>
      <c r="Y221" s="19">
        <v>102</v>
      </c>
      <c r="Z221" s="19">
        <v>37</v>
      </c>
      <c r="AA221" s="19">
        <v>83</v>
      </c>
      <c r="AB221" s="19">
        <v>83</v>
      </c>
      <c r="AC221" s="19">
        <v>3</v>
      </c>
      <c r="AD221" s="19">
        <v>4</v>
      </c>
      <c r="AE221" s="19">
        <v>4</v>
      </c>
      <c r="AF221" s="19">
        <v>4</v>
      </c>
      <c r="AG221" s="21">
        <v>5</v>
      </c>
      <c r="AH221" s="19">
        <v>37</v>
      </c>
      <c r="AI221" s="19">
        <v>37</v>
      </c>
      <c r="AJ221" s="19">
        <v>37</v>
      </c>
      <c r="AK221" s="19">
        <v>46</v>
      </c>
      <c r="AL221" s="19">
        <v>0</v>
      </c>
      <c r="AM221" s="22" t="s">
        <v>62</v>
      </c>
      <c r="AN221" s="22" t="s">
        <v>62</v>
      </c>
      <c r="AO221" s="22" t="s">
        <v>62</v>
      </c>
      <c r="AP221" s="22" t="s">
        <v>62</v>
      </c>
      <c r="AQ221" s="22" t="s">
        <v>62</v>
      </c>
      <c r="AR221" s="22" t="s">
        <v>62</v>
      </c>
      <c r="AS221" s="22" t="s">
        <v>62</v>
      </c>
      <c r="AT221" s="22" t="s">
        <v>62</v>
      </c>
      <c r="AU221" s="22" t="s">
        <v>62</v>
      </c>
      <c r="AV221" s="22" t="s">
        <v>62</v>
      </c>
      <c r="AW221" s="22" t="s">
        <v>62</v>
      </c>
      <c r="AX221" s="22" t="s">
        <v>62</v>
      </c>
      <c r="AY221" s="22" t="s">
        <v>62</v>
      </c>
      <c r="AZ221" s="22" t="s">
        <v>62</v>
      </c>
      <c r="BA221" s="22" t="s">
        <v>62</v>
      </c>
      <c r="BB221" s="22" t="s">
        <v>62</v>
      </c>
      <c r="BC221" s="22" t="s">
        <v>62</v>
      </c>
      <c r="BD221" s="22" t="s">
        <v>62</v>
      </c>
      <c r="BE221" s="22" t="s">
        <v>62</v>
      </c>
      <c r="BF221" s="22" t="s">
        <v>62</v>
      </c>
      <c r="BG221" s="22" t="s">
        <v>62</v>
      </c>
      <c r="BH221" s="22" t="s">
        <v>62</v>
      </c>
      <c r="BI221" s="22" t="s">
        <v>62</v>
      </c>
      <c r="BJ221" s="22" t="s">
        <v>62</v>
      </c>
      <c r="BK221" s="22" t="s">
        <v>62</v>
      </c>
      <c r="BL221" s="22" t="s">
        <v>62</v>
      </c>
      <c r="BM221" s="22" t="s">
        <v>62</v>
      </c>
      <c r="BN221" s="22" t="s">
        <v>62</v>
      </c>
      <c r="BO221" s="22" t="s">
        <v>62</v>
      </c>
      <c r="BP221" s="22" t="s">
        <v>62</v>
      </c>
      <c r="BQ221" s="22" t="s">
        <v>62</v>
      </c>
      <c r="BR221" s="22" t="s">
        <v>62</v>
      </c>
      <c r="BS221" s="22" t="s">
        <v>62</v>
      </c>
      <c r="BT221" s="22" t="s">
        <v>62</v>
      </c>
      <c r="BU221" s="22" t="s">
        <v>62</v>
      </c>
      <c r="BV221" s="22" t="s">
        <v>62</v>
      </c>
      <c r="BW221" s="22" t="s">
        <v>62</v>
      </c>
      <c r="BX221" s="22" t="s">
        <v>62</v>
      </c>
      <c r="BY221" s="22" t="s">
        <v>62</v>
      </c>
      <c r="BZ221" s="22" t="s">
        <v>62</v>
      </c>
      <c r="CA221" s="22" t="s">
        <v>62</v>
      </c>
      <c r="CB221" s="22" t="s">
        <v>62</v>
      </c>
      <c r="CC221" s="22" t="s">
        <v>62</v>
      </c>
      <c r="CD221" s="22" t="s">
        <v>62</v>
      </c>
      <c r="CE221" s="22" t="s">
        <v>62</v>
      </c>
      <c r="CF221" s="22" t="s">
        <v>62</v>
      </c>
      <c r="CG221" s="20" t="s">
        <v>74</v>
      </c>
      <c r="CH221" s="20">
        <v>8.3799999999999999E-4</v>
      </c>
      <c r="CI221" s="19">
        <v>3</v>
      </c>
      <c r="CJ221" s="78">
        <v>3</v>
      </c>
      <c r="CK221" s="78" t="s">
        <v>224</v>
      </c>
      <c r="CL221" s="78" t="s">
        <v>224</v>
      </c>
      <c r="CM221" s="78">
        <v>279.09289699999999</v>
      </c>
      <c r="CN221" s="78">
        <v>2</v>
      </c>
      <c r="CO221" s="78" t="s">
        <v>224</v>
      </c>
      <c r="CP221" s="78" t="s">
        <v>224</v>
      </c>
      <c r="CQ221" s="78" t="s">
        <v>224</v>
      </c>
      <c r="CR221" s="12" t="str">
        <f>IF(COUNTIF(Incl!A:A,Raw!J221),1, "")</f>
        <v/>
      </c>
    </row>
    <row r="222" spans="1:96" ht="13.5" thickTop="1" thickBot="1" x14ac:dyDescent="0.3">
      <c r="A222" s="13">
        <v>219</v>
      </c>
      <c r="B222" s="14">
        <v>1</v>
      </c>
      <c r="C222" s="15">
        <v>277.64211499999999</v>
      </c>
      <c r="D222" s="14">
        <v>222</v>
      </c>
      <c r="E222" s="14">
        <v>1</v>
      </c>
      <c r="F222" s="14">
        <v>251</v>
      </c>
      <c r="G222" s="16">
        <v>62</v>
      </c>
      <c r="H222" s="14">
        <v>62</v>
      </c>
      <c r="I222" s="14">
        <v>62</v>
      </c>
      <c r="J222" s="14">
        <v>62</v>
      </c>
      <c r="K222" s="15" t="s">
        <v>69</v>
      </c>
      <c r="L222" s="15" t="s">
        <v>117</v>
      </c>
      <c r="M222" s="15" t="s">
        <v>119</v>
      </c>
      <c r="N222" s="17" t="s">
        <v>62</v>
      </c>
      <c r="O222" s="16">
        <v>4</v>
      </c>
      <c r="P222" s="17" t="s">
        <v>62</v>
      </c>
      <c r="Q222" s="17">
        <v>1</v>
      </c>
      <c r="R222" s="17" t="s">
        <v>62</v>
      </c>
      <c r="S222" s="17" t="s">
        <v>62</v>
      </c>
      <c r="T222" s="14">
        <v>5</v>
      </c>
      <c r="U222" s="16">
        <v>3</v>
      </c>
      <c r="V222" s="16">
        <v>2</v>
      </c>
      <c r="W222" s="16">
        <v>2</v>
      </c>
      <c r="X222" s="16">
        <v>4</v>
      </c>
      <c r="Y222" s="14">
        <v>65</v>
      </c>
      <c r="Z222" s="14">
        <v>43</v>
      </c>
      <c r="AA222" s="14">
        <v>43</v>
      </c>
      <c r="AB222" s="14">
        <v>87</v>
      </c>
      <c r="AC222" s="14">
        <v>1</v>
      </c>
      <c r="AD222" s="14">
        <v>1</v>
      </c>
      <c r="AE222" s="14">
        <v>1</v>
      </c>
      <c r="AF222" s="14">
        <v>2</v>
      </c>
      <c r="AG222" s="16">
        <v>2</v>
      </c>
      <c r="AH222" s="14">
        <v>22</v>
      </c>
      <c r="AI222" s="14">
        <v>22</v>
      </c>
      <c r="AJ222" s="14">
        <v>43</v>
      </c>
      <c r="AK222" s="14">
        <v>43</v>
      </c>
      <c r="AL222" s="14">
        <v>0</v>
      </c>
      <c r="AM222" s="17" t="s">
        <v>62</v>
      </c>
      <c r="AN222" s="17" t="s">
        <v>62</v>
      </c>
      <c r="AO222" s="17" t="s">
        <v>62</v>
      </c>
      <c r="AP222" s="17" t="s">
        <v>62</v>
      </c>
      <c r="AQ222" s="17" t="s">
        <v>62</v>
      </c>
      <c r="AR222" s="17" t="s">
        <v>62</v>
      </c>
      <c r="AS222" s="17" t="s">
        <v>62</v>
      </c>
      <c r="AT222" s="17" t="s">
        <v>62</v>
      </c>
      <c r="AU222" s="17" t="s">
        <v>62</v>
      </c>
      <c r="AV222" s="17" t="s">
        <v>62</v>
      </c>
      <c r="AW222" s="17" t="s">
        <v>62</v>
      </c>
      <c r="AX222" s="17" t="s">
        <v>62</v>
      </c>
      <c r="AY222" s="17" t="s">
        <v>62</v>
      </c>
      <c r="AZ222" s="17" t="s">
        <v>62</v>
      </c>
      <c r="BA222" s="17" t="s">
        <v>62</v>
      </c>
      <c r="BB222" s="17" t="s">
        <v>62</v>
      </c>
      <c r="BC222" s="17" t="s">
        <v>62</v>
      </c>
      <c r="BD222" s="17" t="s">
        <v>62</v>
      </c>
      <c r="BE222" s="17" t="s">
        <v>62</v>
      </c>
      <c r="BF222" s="17" t="s">
        <v>62</v>
      </c>
      <c r="BG222" s="17" t="s">
        <v>62</v>
      </c>
      <c r="BH222" s="17" t="s">
        <v>62</v>
      </c>
      <c r="BI222" s="17" t="s">
        <v>62</v>
      </c>
      <c r="BJ222" s="17" t="s">
        <v>62</v>
      </c>
      <c r="BK222" s="17" t="s">
        <v>62</v>
      </c>
      <c r="BL222" s="17" t="s">
        <v>62</v>
      </c>
      <c r="BM222" s="17" t="s">
        <v>62</v>
      </c>
      <c r="BN222" s="17" t="s">
        <v>62</v>
      </c>
      <c r="BO222" s="17" t="s">
        <v>62</v>
      </c>
      <c r="BP222" s="17" t="s">
        <v>62</v>
      </c>
      <c r="BQ222" s="17" t="s">
        <v>62</v>
      </c>
      <c r="BR222" s="17" t="s">
        <v>62</v>
      </c>
      <c r="BS222" s="17" t="s">
        <v>62</v>
      </c>
      <c r="BT222" s="17" t="s">
        <v>62</v>
      </c>
      <c r="BU222" s="17" t="s">
        <v>62</v>
      </c>
      <c r="BV222" s="17" t="s">
        <v>62</v>
      </c>
      <c r="BW222" s="17" t="s">
        <v>62</v>
      </c>
      <c r="BX222" s="17" t="s">
        <v>62</v>
      </c>
      <c r="BY222" s="17" t="s">
        <v>62</v>
      </c>
      <c r="BZ222" s="17" t="s">
        <v>62</v>
      </c>
      <c r="CA222" s="17" t="s">
        <v>62</v>
      </c>
      <c r="CB222" s="17" t="s">
        <v>62</v>
      </c>
      <c r="CC222" s="17" t="s">
        <v>62</v>
      </c>
      <c r="CD222" s="17" t="s">
        <v>62</v>
      </c>
      <c r="CE222" s="17" t="s">
        <v>62</v>
      </c>
      <c r="CF222" s="17" t="s">
        <v>62</v>
      </c>
      <c r="CG222" s="15" t="s">
        <v>71</v>
      </c>
      <c r="CH222" s="15">
        <v>8.3199999999999995E-4</v>
      </c>
      <c r="CI222" s="14">
        <v>1</v>
      </c>
      <c r="CJ222" s="79">
        <v>3</v>
      </c>
      <c r="CK222" s="79" t="s">
        <v>224</v>
      </c>
      <c r="CL222" s="79" t="s">
        <v>224</v>
      </c>
      <c r="CM222" s="79">
        <v>277.64218799999998</v>
      </c>
      <c r="CN222" s="79">
        <v>2</v>
      </c>
      <c r="CO222" s="79" t="s">
        <v>224</v>
      </c>
      <c r="CP222" s="79" t="s">
        <v>224</v>
      </c>
      <c r="CQ222" s="79" t="s">
        <v>224</v>
      </c>
      <c r="CR222" s="12" t="str">
        <f>IF(COUNTIF(Incl!A:A,Raw!J222),1, "")</f>
        <v/>
      </c>
    </row>
    <row r="223" spans="1:96" ht="13.5" thickTop="1" thickBot="1" x14ac:dyDescent="0.3">
      <c r="A223" s="13">
        <v>220</v>
      </c>
      <c r="B223" s="14">
        <v>1</v>
      </c>
      <c r="C223" s="15">
        <v>174.395994</v>
      </c>
      <c r="D223" s="14">
        <v>223</v>
      </c>
      <c r="E223" s="14">
        <v>1</v>
      </c>
      <c r="F223" s="14">
        <v>252</v>
      </c>
      <c r="G223" s="16">
        <v>246</v>
      </c>
      <c r="H223" s="14">
        <v>246</v>
      </c>
      <c r="I223" s="14">
        <v>246</v>
      </c>
      <c r="J223" s="14">
        <v>246</v>
      </c>
      <c r="K223" s="15" t="s">
        <v>119</v>
      </c>
      <c r="L223" s="15" t="s">
        <v>69</v>
      </c>
      <c r="M223" s="15" t="s">
        <v>115</v>
      </c>
      <c r="N223" s="17" t="s">
        <v>62</v>
      </c>
      <c r="O223" s="16">
        <v>7</v>
      </c>
      <c r="P223" s="17" t="s">
        <v>62</v>
      </c>
      <c r="Q223" s="17" t="s">
        <v>62</v>
      </c>
      <c r="R223" s="17" t="s">
        <v>62</v>
      </c>
      <c r="S223" s="17" t="s">
        <v>62</v>
      </c>
      <c r="T223" s="14">
        <v>7</v>
      </c>
      <c r="U223" s="16" t="s">
        <v>62</v>
      </c>
      <c r="V223" s="16" t="s">
        <v>62</v>
      </c>
      <c r="W223" s="16">
        <v>1</v>
      </c>
      <c r="X223" s="16" t="s">
        <v>62</v>
      </c>
      <c r="Y223" s="14">
        <v>0</v>
      </c>
      <c r="Z223" s="14">
        <v>0</v>
      </c>
      <c r="AA223" s="14">
        <v>14</v>
      </c>
      <c r="AB223" s="14">
        <v>0</v>
      </c>
      <c r="AC223" s="14">
        <v>0</v>
      </c>
      <c r="AD223" s="14">
        <v>0</v>
      </c>
      <c r="AE223" s="14">
        <v>0</v>
      </c>
      <c r="AF223" s="14">
        <v>0</v>
      </c>
      <c r="AG223" s="16">
        <v>3</v>
      </c>
      <c r="AH223" s="14">
        <v>0</v>
      </c>
      <c r="AI223" s="14">
        <v>0</v>
      </c>
      <c r="AJ223" s="14">
        <v>0</v>
      </c>
      <c r="AK223" s="14">
        <v>43</v>
      </c>
      <c r="AL223" s="14">
        <v>0</v>
      </c>
      <c r="AM223" s="17" t="s">
        <v>62</v>
      </c>
      <c r="AN223" s="17" t="s">
        <v>62</v>
      </c>
      <c r="AO223" s="17" t="s">
        <v>62</v>
      </c>
      <c r="AP223" s="17" t="s">
        <v>62</v>
      </c>
      <c r="AQ223" s="17" t="s">
        <v>62</v>
      </c>
      <c r="AR223" s="17" t="s">
        <v>62</v>
      </c>
      <c r="AS223" s="17" t="s">
        <v>62</v>
      </c>
      <c r="AT223" s="17" t="s">
        <v>62</v>
      </c>
      <c r="AU223" s="17" t="s">
        <v>62</v>
      </c>
      <c r="AV223" s="17" t="s">
        <v>62</v>
      </c>
      <c r="AW223" s="17" t="s">
        <v>62</v>
      </c>
      <c r="AX223" s="17" t="s">
        <v>62</v>
      </c>
      <c r="AY223" s="17" t="s">
        <v>62</v>
      </c>
      <c r="AZ223" s="17" t="s">
        <v>62</v>
      </c>
      <c r="BA223" s="17" t="s">
        <v>62</v>
      </c>
      <c r="BB223" s="17" t="s">
        <v>62</v>
      </c>
      <c r="BC223" s="17" t="s">
        <v>62</v>
      </c>
      <c r="BD223" s="17" t="s">
        <v>62</v>
      </c>
      <c r="BE223" s="17" t="s">
        <v>62</v>
      </c>
      <c r="BF223" s="17" t="s">
        <v>62</v>
      </c>
      <c r="BG223" s="17" t="s">
        <v>62</v>
      </c>
      <c r="BH223" s="17" t="s">
        <v>62</v>
      </c>
      <c r="BI223" s="17" t="s">
        <v>62</v>
      </c>
      <c r="BJ223" s="17" t="s">
        <v>62</v>
      </c>
      <c r="BK223" s="17" t="s">
        <v>62</v>
      </c>
      <c r="BL223" s="17" t="s">
        <v>62</v>
      </c>
      <c r="BM223" s="17" t="s">
        <v>62</v>
      </c>
      <c r="BN223" s="17" t="s">
        <v>62</v>
      </c>
      <c r="BO223" s="17" t="s">
        <v>62</v>
      </c>
      <c r="BP223" s="17" t="s">
        <v>62</v>
      </c>
      <c r="BQ223" s="17" t="s">
        <v>62</v>
      </c>
      <c r="BR223" s="17" t="s">
        <v>62</v>
      </c>
      <c r="BS223" s="17" t="s">
        <v>62</v>
      </c>
      <c r="BT223" s="17" t="s">
        <v>62</v>
      </c>
      <c r="BU223" s="17" t="s">
        <v>62</v>
      </c>
      <c r="BV223" s="17" t="s">
        <v>62</v>
      </c>
      <c r="BW223" s="17" t="s">
        <v>62</v>
      </c>
      <c r="BX223" s="17" t="s">
        <v>62</v>
      </c>
      <c r="BY223" s="17" t="s">
        <v>62</v>
      </c>
      <c r="BZ223" s="17" t="s">
        <v>62</v>
      </c>
      <c r="CA223" s="17" t="s">
        <v>62</v>
      </c>
      <c r="CB223" s="17" t="s">
        <v>62</v>
      </c>
      <c r="CC223" s="17" t="s">
        <v>62</v>
      </c>
      <c r="CD223" s="17" t="s">
        <v>62</v>
      </c>
      <c r="CE223" s="17" t="s">
        <v>62</v>
      </c>
      <c r="CF223" s="17" t="s">
        <v>62</v>
      </c>
      <c r="CG223" s="15" t="s">
        <v>64</v>
      </c>
      <c r="CH223" s="15">
        <v>5.6499999999999996E-4</v>
      </c>
      <c r="CI223" s="14">
        <v>0</v>
      </c>
      <c r="CJ223" s="79">
        <v>3</v>
      </c>
      <c r="CK223" s="79" t="s">
        <v>224</v>
      </c>
      <c r="CL223" s="79" t="s">
        <v>224</v>
      </c>
      <c r="CM223" s="79">
        <v>174.396027</v>
      </c>
      <c r="CN223" s="79">
        <v>2</v>
      </c>
      <c r="CO223" s="79" t="s">
        <v>224</v>
      </c>
      <c r="CP223" s="79" t="s">
        <v>224</v>
      </c>
      <c r="CQ223" s="79" t="s">
        <v>224</v>
      </c>
      <c r="CR223" s="12" t="str">
        <f>IF(COUNTIF(Incl!A:A,Raw!J223),1, "")</f>
        <v/>
      </c>
    </row>
    <row r="224" spans="1:96" ht="13.5" thickTop="1" thickBot="1" x14ac:dyDescent="0.3">
      <c r="A224" s="18">
        <v>221</v>
      </c>
      <c r="B224" s="19">
        <v>1</v>
      </c>
      <c r="C224" s="20">
        <v>297.26390300000003</v>
      </c>
      <c r="D224" s="19">
        <v>224</v>
      </c>
      <c r="E224" s="19">
        <v>1</v>
      </c>
      <c r="F224" s="19">
        <v>253</v>
      </c>
      <c r="G224" s="21">
        <v>63</v>
      </c>
      <c r="H224" s="19">
        <v>63</v>
      </c>
      <c r="I224" s="19">
        <v>63</v>
      </c>
      <c r="J224" s="19">
        <v>63</v>
      </c>
      <c r="K224" s="20" t="s">
        <v>69</v>
      </c>
      <c r="L224" s="20" t="s">
        <v>119</v>
      </c>
      <c r="M224" s="20" t="s">
        <v>117</v>
      </c>
      <c r="N224" s="22" t="s">
        <v>62</v>
      </c>
      <c r="O224" s="21">
        <v>9</v>
      </c>
      <c r="P224" s="22" t="s">
        <v>62</v>
      </c>
      <c r="Q224" s="22" t="s">
        <v>62</v>
      </c>
      <c r="R224" s="22" t="s">
        <v>62</v>
      </c>
      <c r="S224" s="22" t="s">
        <v>62</v>
      </c>
      <c r="T224" s="19">
        <v>9</v>
      </c>
      <c r="U224" s="21">
        <v>8</v>
      </c>
      <c r="V224" s="21">
        <v>6</v>
      </c>
      <c r="W224" s="21">
        <v>3</v>
      </c>
      <c r="X224" s="21">
        <v>5</v>
      </c>
      <c r="Y224" s="19">
        <v>85</v>
      </c>
      <c r="Z224" s="19">
        <v>63</v>
      </c>
      <c r="AA224" s="19">
        <v>32</v>
      </c>
      <c r="AB224" s="19">
        <v>53</v>
      </c>
      <c r="AC224" s="19">
        <v>1</v>
      </c>
      <c r="AD224" s="19">
        <v>7</v>
      </c>
      <c r="AE224" s="19">
        <v>1</v>
      </c>
      <c r="AF224" s="19">
        <v>4</v>
      </c>
      <c r="AG224" s="21">
        <v>4</v>
      </c>
      <c r="AH224" s="19">
        <v>74</v>
      </c>
      <c r="AI224" s="19">
        <v>11</v>
      </c>
      <c r="AJ224" s="19">
        <v>42</v>
      </c>
      <c r="AK224" s="19">
        <v>42</v>
      </c>
      <c r="AL224" s="19">
        <v>0</v>
      </c>
      <c r="AM224" s="22" t="s">
        <v>62</v>
      </c>
      <c r="AN224" s="22" t="s">
        <v>62</v>
      </c>
      <c r="AO224" s="22" t="s">
        <v>62</v>
      </c>
      <c r="AP224" s="22" t="s">
        <v>62</v>
      </c>
      <c r="AQ224" s="22" t="s">
        <v>62</v>
      </c>
      <c r="AR224" s="22" t="s">
        <v>62</v>
      </c>
      <c r="AS224" s="22" t="s">
        <v>62</v>
      </c>
      <c r="AT224" s="22" t="s">
        <v>62</v>
      </c>
      <c r="AU224" s="22" t="s">
        <v>62</v>
      </c>
      <c r="AV224" s="22" t="s">
        <v>62</v>
      </c>
      <c r="AW224" s="22" t="s">
        <v>62</v>
      </c>
      <c r="AX224" s="22" t="s">
        <v>62</v>
      </c>
      <c r="AY224" s="22" t="s">
        <v>62</v>
      </c>
      <c r="AZ224" s="22" t="s">
        <v>62</v>
      </c>
      <c r="BA224" s="22" t="s">
        <v>62</v>
      </c>
      <c r="BB224" s="22" t="s">
        <v>62</v>
      </c>
      <c r="BC224" s="22" t="s">
        <v>62</v>
      </c>
      <c r="BD224" s="22" t="s">
        <v>62</v>
      </c>
      <c r="BE224" s="22" t="s">
        <v>62</v>
      </c>
      <c r="BF224" s="22" t="s">
        <v>62</v>
      </c>
      <c r="BG224" s="22" t="s">
        <v>62</v>
      </c>
      <c r="BH224" s="22" t="s">
        <v>62</v>
      </c>
      <c r="BI224" s="22" t="s">
        <v>62</v>
      </c>
      <c r="BJ224" s="22" t="s">
        <v>62</v>
      </c>
      <c r="BK224" s="22" t="s">
        <v>62</v>
      </c>
      <c r="BL224" s="22" t="s">
        <v>62</v>
      </c>
      <c r="BM224" s="22" t="s">
        <v>62</v>
      </c>
      <c r="BN224" s="22" t="s">
        <v>62</v>
      </c>
      <c r="BO224" s="22" t="s">
        <v>62</v>
      </c>
      <c r="BP224" s="22" t="s">
        <v>62</v>
      </c>
      <c r="BQ224" s="22" t="s">
        <v>62</v>
      </c>
      <c r="BR224" s="22" t="s">
        <v>62</v>
      </c>
      <c r="BS224" s="22" t="s">
        <v>62</v>
      </c>
      <c r="BT224" s="22" t="s">
        <v>62</v>
      </c>
      <c r="BU224" s="22" t="s">
        <v>62</v>
      </c>
      <c r="BV224" s="22" t="s">
        <v>62</v>
      </c>
      <c r="BW224" s="22" t="s">
        <v>62</v>
      </c>
      <c r="BX224" s="22" t="s">
        <v>62</v>
      </c>
      <c r="BY224" s="22" t="s">
        <v>62</v>
      </c>
      <c r="BZ224" s="22" t="s">
        <v>62</v>
      </c>
      <c r="CA224" s="22" t="s">
        <v>62</v>
      </c>
      <c r="CB224" s="22" t="s">
        <v>62</v>
      </c>
      <c r="CC224" s="22" t="s">
        <v>62</v>
      </c>
      <c r="CD224" s="22" t="s">
        <v>62</v>
      </c>
      <c r="CE224" s="22" t="s">
        <v>62</v>
      </c>
      <c r="CF224" s="22" t="s">
        <v>62</v>
      </c>
      <c r="CG224" s="20" t="s">
        <v>74</v>
      </c>
      <c r="CH224" s="20">
        <v>8.9899999999999995E-4</v>
      </c>
      <c r="CI224" s="19">
        <v>1</v>
      </c>
      <c r="CJ224" s="78">
        <v>3</v>
      </c>
      <c r="CK224" s="78" t="s">
        <v>224</v>
      </c>
      <c r="CL224" s="78" t="s">
        <v>224</v>
      </c>
      <c r="CM224" s="78">
        <v>297.26397800000001</v>
      </c>
      <c r="CN224" s="78">
        <v>2</v>
      </c>
      <c r="CO224" s="78" t="s">
        <v>224</v>
      </c>
      <c r="CP224" s="78" t="s">
        <v>224</v>
      </c>
      <c r="CQ224" s="78" t="s">
        <v>224</v>
      </c>
      <c r="CR224" s="12" t="str">
        <f>IF(COUNTIF(Incl!A:A,Raw!J224),1, "")</f>
        <v/>
      </c>
    </row>
    <row r="225" spans="1:96" ht="13.5" thickTop="1" thickBot="1" x14ac:dyDescent="0.3">
      <c r="A225" s="18">
        <v>222</v>
      </c>
      <c r="B225" s="19">
        <v>1</v>
      </c>
      <c r="C225" s="20">
        <v>289.48049900000001</v>
      </c>
      <c r="D225" s="19">
        <v>225</v>
      </c>
      <c r="E225" s="19">
        <v>1</v>
      </c>
      <c r="F225" s="19">
        <v>254</v>
      </c>
      <c r="G225" s="21">
        <v>94</v>
      </c>
      <c r="H225" s="19">
        <v>94</v>
      </c>
      <c r="I225" s="19">
        <v>94</v>
      </c>
      <c r="J225" s="19">
        <v>94</v>
      </c>
      <c r="K225" s="20" t="s">
        <v>82</v>
      </c>
      <c r="L225" s="20" t="s">
        <v>117</v>
      </c>
      <c r="M225" s="20" t="s">
        <v>119</v>
      </c>
      <c r="N225" s="22" t="s">
        <v>62</v>
      </c>
      <c r="O225" s="21">
        <v>13</v>
      </c>
      <c r="P225" s="22" t="s">
        <v>62</v>
      </c>
      <c r="Q225" s="22" t="s">
        <v>62</v>
      </c>
      <c r="R225" s="22" t="s">
        <v>62</v>
      </c>
      <c r="S225" s="22" t="s">
        <v>62</v>
      </c>
      <c r="T225" s="19">
        <v>13</v>
      </c>
      <c r="U225" s="21">
        <v>13</v>
      </c>
      <c r="V225" s="21">
        <v>12</v>
      </c>
      <c r="W225" s="21">
        <v>13</v>
      </c>
      <c r="X225" s="22">
        <v>12</v>
      </c>
      <c r="Y225" s="19">
        <v>97</v>
      </c>
      <c r="Z225" s="19">
        <v>90</v>
      </c>
      <c r="AA225" s="19">
        <v>97</v>
      </c>
      <c r="AB225" s="19">
        <v>90</v>
      </c>
      <c r="AC225" s="19">
        <v>4</v>
      </c>
      <c r="AD225" s="19">
        <v>7</v>
      </c>
      <c r="AE225" s="19">
        <v>9</v>
      </c>
      <c r="AF225" s="19">
        <v>12</v>
      </c>
      <c r="AG225" s="22">
        <v>12</v>
      </c>
      <c r="AH225" s="19">
        <v>52</v>
      </c>
      <c r="AI225" s="19">
        <v>67</v>
      </c>
      <c r="AJ225" s="19">
        <v>90</v>
      </c>
      <c r="AK225" s="19">
        <v>90</v>
      </c>
      <c r="AL225" s="19">
        <v>2</v>
      </c>
      <c r="AM225" s="21" t="s">
        <v>62</v>
      </c>
      <c r="AN225" s="21" t="s">
        <v>62</v>
      </c>
      <c r="AO225" s="21" t="s">
        <v>62</v>
      </c>
      <c r="AP225" s="21" t="s">
        <v>62</v>
      </c>
      <c r="AQ225" s="21" t="s">
        <v>62</v>
      </c>
      <c r="AR225" s="21" t="s">
        <v>62</v>
      </c>
      <c r="AS225" s="21" t="s">
        <v>62</v>
      </c>
      <c r="AT225" s="21" t="s">
        <v>62</v>
      </c>
      <c r="AU225" s="21" t="s">
        <v>62</v>
      </c>
      <c r="AV225" s="21" t="s">
        <v>62</v>
      </c>
      <c r="AW225" s="21" t="s">
        <v>62</v>
      </c>
      <c r="AX225" s="21" t="s">
        <v>62</v>
      </c>
      <c r="AY225" s="21" t="s">
        <v>62</v>
      </c>
      <c r="AZ225" s="21" t="s">
        <v>62</v>
      </c>
      <c r="BA225" s="21" t="s">
        <v>62</v>
      </c>
      <c r="BB225" s="21" t="s">
        <v>62</v>
      </c>
      <c r="BC225" s="21" t="s">
        <v>62</v>
      </c>
      <c r="BD225" s="21" t="s">
        <v>62</v>
      </c>
      <c r="BE225" s="21" t="s">
        <v>62</v>
      </c>
      <c r="BF225" s="21" t="s">
        <v>62</v>
      </c>
      <c r="BG225" s="21" t="s">
        <v>62</v>
      </c>
      <c r="BH225" s="21" t="s">
        <v>62</v>
      </c>
      <c r="BI225" s="20" t="s">
        <v>62</v>
      </c>
      <c r="BJ225" s="21" t="s">
        <v>62</v>
      </c>
      <c r="BK225" s="21" t="s">
        <v>62</v>
      </c>
      <c r="BL225" s="21" t="s">
        <v>62</v>
      </c>
      <c r="BM225" s="21" t="s">
        <v>62</v>
      </c>
      <c r="BN225" s="21" t="s">
        <v>62</v>
      </c>
      <c r="BO225" s="21" t="s">
        <v>62</v>
      </c>
      <c r="BP225" s="21" t="s">
        <v>62</v>
      </c>
      <c r="BQ225" s="21" t="s">
        <v>62</v>
      </c>
      <c r="BR225" s="21" t="s">
        <v>62</v>
      </c>
      <c r="BS225" s="21" t="s">
        <v>62</v>
      </c>
      <c r="BT225" s="21" t="s">
        <v>62</v>
      </c>
      <c r="BU225" s="21" t="s">
        <v>62</v>
      </c>
      <c r="BV225" s="21" t="s">
        <v>62</v>
      </c>
      <c r="BW225" s="21" t="s">
        <v>62</v>
      </c>
      <c r="BX225" s="21" t="s">
        <v>62</v>
      </c>
      <c r="BY225" s="21" t="s">
        <v>62</v>
      </c>
      <c r="BZ225" s="21" t="s">
        <v>62</v>
      </c>
      <c r="CA225" s="21" t="s">
        <v>62</v>
      </c>
      <c r="CB225" s="21" t="s">
        <v>62</v>
      </c>
      <c r="CC225" s="21" t="s">
        <v>62</v>
      </c>
      <c r="CD225" s="21" t="s">
        <v>62</v>
      </c>
      <c r="CE225" s="21" t="s">
        <v>62</v>
      </c>
      <c r="CF225" s="20" t="s">
        <v>62</v>
      </c>
      <c r="CG225" s="20" t="s">
        <v>71</v>
      </c>
      <c r="CH225" s="20">
        <v>8.7699999999999996E-4</v>
      </c>
      <c r="CI225" s="19">
        <v>6</v>
      </c>
      <c r="CJ225" s="78">
        <v>3</v>
      </c>
      <c r="CK225" s="78" t="s">
        <v>224</v>
      </c>
      <c r="CL225" s="78" t="s">
        <v>224</v>
      </c>
      <c r="CM225" s="78">
        <v>289.48036100000002</v>
      </c>
      <c r="CN225" s="78">
        <v>2</v>
      </c>
      <c r="CO225" s="78" t="s">
        <v>224</v>
      </c>
      <c r="CP225" s="78" t="s">
        <v>224</v>
      </c>
      <c r="CQ225" s="78" t="s">
        <v>224</v>
      </c>
      <c r="CR225" s="12" t="str">
        <f>IF(COUNTIF(Incl!A:A,Raw!J225),1, "")</f>
        <v/>
      </c>
    </row>
    <row r="226" spans="1:96" ht="13.5" thickTop="1" thickBot="1" x14ac:dyDescent="0.3">
      <c r="A226" s="13">
        <v>223</v>
      </c>
      <c r="B226" s="14">
        <v>1</v>
      </c>
      <c r="C226" s="15">
        <v>163.21970400000001</v>
      </c>
      <c r="D226" s="14">
        <v>226</v>
      </c>
      <c r="E226" s="14">
        <v>1</v>
      </c>
      <c r="F226" s="14">
        <v>255</v>
      </c>
      <c r="G226" s="16">
        <v>248</v>
      </c>
      <c r="H226" s="14">
        <v>248</v>
      </c>
      <c r="I226" s="14">
        <v>248</v>
      </c>
      <c r="J226" s="14">
        <v>248</v>
      </c>
      <c r="K226" s="15" t="s">
        <v>119</v>
      </c>
      <c r="L226" s="15" t="s">
        <v>82</v>
      </c>
      <c r="M226" s="15" t="s">
        <v>69</v>
      </c>
      <c r="N226" s="17" t="s">
        <v>62</v>
      </c>
      <c r="O226" s="16" t="s">
        <v>62</v>
      </c>
      <c r="P226" s="17" t="s">
        <v>62</v>
      </c>
      <c r="Q226" s="17" t="s">
        <v>62</v>
      </c>
      <c r="R226" s="17" t="s">
        <v>62</v>
      </c>
      <c r="S226" s="17" t="s">
        <v>62</v>
      </c>
      <c r="T226" s="14">
        <v>0</v>
      </c>
      <c r="U226" s="16" t="s">
        <v>62</v>
      </c>
      <c r="V226" s="16" t="s">
        <v>62</v>
      </c>
      <c r="W226" s="16" t="s">
        <v>62</v>
      </c>
      <c r="X226" s="17" t="s">
        <v>62</v>
      </c>
      <c r="Y226" s="14">
        <v>0</v>
      </c>
      <c r="Z226" s="14">
        <v>0</v>
      </c>
      <c r="AA226" s="14">
        <v>0</v>
      </c>
      <c r="AB226" s="14">
        <v>0</v>
      </c>
      <c r="AC226" s="14">
        <v>0</v>
      </c>
      <c r="AD226" s="14">
        <v>0</v>
      </c>
      <c r="AE226" s="14">
        <v>0</v>
      </c>
      <c r="AF226" s="14">
        <v>0</v>
      </c>
      <c r="AG226" s="17" t="s">
        <v>62</v>
      </c>
      <c r="AH226" s="14">
        <v>0</v>
      </c>
      <c r="AI226" s="14">
        <v>0</v>
      </c>
      <c r="AJ226" s="14">
        <v>0</v>
      </c>
      <c r="AK226" s="14">
        <v>0</v>
      </c>
      <c r="AL226" s="14">
        <v>0</v>
      </c>
      <c r="AM226" s="16">
        <v>0</v>
      </c>
      <c r="AN226" s="16">
        <v>0</v>
      </c>
      <c r="AO226" s="16">
        <v>0</v>
      </c>
      <c r="AP226" s="16">
        <v>0</v>
      </c>
      <c r="AQ226" s="16">
        <v>0</v>
      </c>
      <c r="AR226" s="16">
        <v>0</v>
      </c>
      <c r="AS226" s="16">
        <v>0</v>
      </c>
      <c r="AT226" s="16">
        <v>0</v>
      </c>
      <c r="AU226" s="16">
        <v>0</v>
      </c>
      <c r="AV226" s="16">
        <v>0</v>
      </c>
      <c r="AW226" s="16">
        <v>0</v>
      </c>
      <c r="AX226" s="16">
        <v>0</v>
      </c>
      <c r="AY226" s="16">
        <v>0</v>
      </c>
      <c r="AZ226" s="16">
        <v>0</v>
      </c>
      <c r="BA226" s="16">
        <v>0</v>
      </c>
      <c r="BB226" s="16">
        <v>0</v>
      </c>
      <c r="BC226" s="16">
        <v>0</v>
      </c>
      <c r="BD226" s="16">
        <v>0</v>
      </c>
      <c r="BE226" s="16">
        <v>0</v>
      </c>
      <c r="BF226" s="16">
        <v>0</v>
      </c>
      <c r="BG226" s="16">
        <v>0</v>
      </c>
      <c r="BH226" s="16">
        <v>0</v>
      </c>
      <c r="BI226" s="15" t="s">
        <v>77</v>
      </c>
      <c r="BJ226" s="16">
        <v>0</v>
      </c>
      <c r="BK226" s="16">
        <v>0</v>
      </c>
      <c r="BL226" s="16">
        <v>0</v>
      </c>
      <c r="BM226" s="16">
        <v>0</v>
      </c>
      <c r="BN226" s="16">
        <v>0</v>
      </c>
      <c r="BO226" s="16">
        <v>0</v>
      </c>
      <c r="BP226" s="16">
        <v>0</v>
      </c>
      <c r="BQ226" s="16">
        <v>0</v>
      </c>
      <c r="BR226" s="16">
        <v>0</v>
      </c>
      <c r="BS226" s="16">
        <v>0</v>
      </c>
      <c r="BT226" s="16">
        <v>0</v>
      </c>
      <c r="BU226" s="16">
        <v>0</v>
      </c>
      <c r="BV226" s="16">
        <v>0</v>
      </c>
      <c r="BW226" s="16">
        <v>0</v>
      </c>
      <c r="BX226" s="16">
        <v>0</v>
      </c>
      <c r="BY226" s="16">
        <v>0</v>
      </c>
      <c r="BZ226" s="16">
        <v>0</v>
      </c>
      <c r="CA226" s="16">
        <v>0</v>
      </c>
      <c r="CB226" s="16">
        <v>0</v>
      </c>
      <c r="CC226" s="16">
        <v>0</v>
      </c>
      <c r="CD226" s="16">
        <v>0</v>
      </c>
      <c r="CE226" s="16">
        <v>0</v>
      </c>
      <c r="CF226" s="15" t="s">
        <v>77</v>
      </c>
      <c r="CG226" s="15" t="s">
        <v>64</v>
      </c>
      <c r="CH226" s="15">
        <v>5.2499999999999997E-4</v>
      </c>
      <c r="CI226" s="14">
        <v>0</v>
      </c>
      <c r="CJ226" s="79">
        <v>3</v>
      </c>
      <c r="CK226" s="79" t="s">
        <v>224</v>
      </c>
      <c r="CL226" s="79" t="s">
        <v>224</v>
      </c>
      <c r="CM226" s="79">
        <v>163.21966</v>
      </c>
      <c r="CN226" s="79">
        <v>1</v>
      </c>
      <c r="CO226" s="79" t="s">
        <v>224</v>
      </c>
      <c r="CP226" s="79" t="s">
        <v>224</v>
      </c>
      <c r="CQ226" s="79" t="s">
        <v>224</v>
      </c>
      <c r="CR226" s="12" t="str">
        <f>IF(COUNTIF(Incl!A:A,Raw!J226),1, "")</f>
        <v/>
      </c>
    </row>
    <row r="227" spans="1:96" ht="13.5" thickTop="1" thickBot="1" x14ac:dyDescent="0.3">
      <c r="A227" s="13">
        <v>224</v>
      </c>
      <c r="B227" s="14">
        <v>1</v>
      </c>
      <c r="C227" s="15">
        <v>231.185057</v>
      </c>
      <c r="D227" s="14">
        <v>227</v>
      </c>
      <c r="E227" s="14">
        <v>1</v>
      </c>
      <c r="F227" s="14">
        <v>256</v>
      </c>
      <c r="G227" s="16">
        <v>249</v>
      </c>
      <c r="H227" s="14">
        <v>249</v>
      </c>
      <c r="I227" s="14">
        <v>249</v>
      </c>
      <c r="J227" s="14">
        <v>249</v>
      </c>
      <c r="K227" s="15" t="s">
        <v>119</v>
      </c>
      <c r="L227" s="15" t="s">
        <v>69</v>
      </c>
      <c r="M227" s="15" t="s">
        <v>82</v>
      </c>
      <c r="N227" s="17" t="s">
        <v>62</v>
      </c>
      <c r="O227" s="17" t="s">
        <v>62</v>
      </c>
      <c r="P227" s="16" t="s">
        <v>62</v>
      </c>
      <c r="Q227" s="17" t="s">
        <v>62</v>
      </c>
      <c r="R227" s="17" t="s">
        <v>62</v>
      </c>
      <c r="S227" s="17" t="s">
        <v>62</v>
      </c>
      <c r="T227" s="14">
        <v>0</v>
      </c>
      <c r="U227" s="16" t="s">
        <v>62</v>
      </c>
      <c r="V227" s="16" t="s">
        <v>62</v>
      </c>
      <c r="W227" s="16" t="s">
        <v>62</v>
      </c>
      <c r="X227" s="16" t="s">
        <v>62</v>
      </c>
      <c r="Y227" s="14">
        <v>0</v>
      </c>
      <c r="Z227" s="14">
        <v>0</v>
      </c>
      <c r="AA227" s="14">
        <v>0</v>
      </c>
      <c r="AB227" s="14">
        <v>0</v>
      </c>
      <c r="AC227" s="14">
        <v>0</v>
      </c>
      <c r="AD227" s="14">
        <v>0</v>
      </c>
      <c r="AE227" s="14">
        <v>0</v>
      </c>
      <c r="AF227" s="14">
        <v>0</v>
      </c>
      <c r="AG227" s="16" t="s">
        <v>62</v>
      </c>
      <c r="AH227" s="14">
        <v>0</v>
      </c>
      <c r="AI227" s="14">
        <v>0</v>
      </c>
      <c r="AJ227" s="14">
        <v>0</v>
      </c>
      <c r="AK227" s="14">
        <v>0</v>
      </c>
      <c r="AL227" s="14">
        <v>0</v>
      </c>
      <c r="AM227" s="17">
        <v>0</v>
      </c>
      <c r="AN227" s="17">
        <v>0</v>
      </c>
      <c r="AO227" s="17">
        <v>0</v>
      </c>
      <c r="AP227" s="17">
        <v>0</v>
      </c>
      <c r="AQ227" s="17">
        <v>0</v>
      </c>
      <c r="AR227" s="17">
        <v>0</v>
      </c>
      <c r="AS227" s="17">
        <v>0</v>
      </c>
      <c r="AT227" s="17">
        <v>0</v>
      </c>
      <c r="AU227" s="17">
        <v>0</v>
      </c>
      <c r="AV227" s="17">
        <v>0</v>
      </c>
      <c r="AW227" s="17">
        <v>0</v>
      </c>
      <c r="AX227" s="17">
        <v>0</v>
      </c>
      <c r="AY227" s="17">
        <v>0</v>
      </c>
      <c r="AZ227" s="17">
        <v>0</v>
      </c>
      <c r="BA227" s="17">
        <v>0</v>
      </c>
      <c r="BB227" s="17">
        <v>0</v>
      </c>
      <c r="BC227" s="17">
        <v>0</v>
      </c>
      <c r="BD227" s="17">
        <v>0</v>
      </c>
      <c r="BE227" s="17">
        <v>0</v>
      </c>
      <c r="BF227" s="17">
        <v>0</v>
      </c>
      <c r="BG227" s="17">
        <v>0</v>
      </c>
      <c r="BH227" s="17">
        <v>0</v>
      </c>
      <c r="BI227" s="17" t="s">
        <v>77</v>
      </c>
      <c r="BJ227" s="17">
        <v>0</v>
      </c>
      <c r="BK227" s="17">
        <v>0</v>
      </c>
      <c r="BL227" s="17">
        <v>0</v>
      </c>
      <c r="BM227" s="17">
        <v>0</v>
      </c>
      <c r="BN227" s="17">
        <v>0</v>
      </c>
      <c r="BO227" s="17">
        <v>0</v>
      </c>
      <c r="BP227" s="17">
        <v>0</v>
      </c>
      <c r="BQ227" s="17">
        <v>0</v>
      </c>
      <c r="BR227" s="17">
        <v>0</v>
      </c>
      <c r="BS227" s="17">
        <v>0</v>
      </c>
      <c r="BT227" s="17">
        <v>0</v>
      </c>
      <c r="BU227" s="17">
        <v>0</v>
      </c>
      <c r="BV227" s="17">
        <v>0</v>
      </c>
      <c r="BW227" s="17">
        <v>0</v>
      </c>
      <c r="BX227" s="17">
        <v>0</v>
      </c>
      <c r="BY227" s="17">
        <v>0</v>
      </c>
      <c r="BZ227" s="17">
        <v>0</v>
      </c>
      <c r="CA227" s="17">
        <v>0</v>
      </c>
      <c r="CB227" s="17">
        <v>0</v>
      </c>
      <c r="CC227" s="17">
        <v>0</v>
      </c>
      <c r="CD227" s="17">
        <v>0</v>
      </c>
      <c r="CE227" s="17">
        <v>0</v>
      </c>
      <c r="CF227" s="17" t="s">
        <v>77</v>
      </c>
      <c r="CG227" s="15" t="s">
        <v>66</v>
      </c>
      <c r="CH227" s="15">
        <v>7.5100000000000004E-4</v>
      </c>
      <c r="CI227" s="14">
        <v>0</v>
      </c>
      <c r="CJ227" s="79" t="s">
        <v>224</v>
      </c>
      <c r="CK227" s="79" t="s">
        <v>224</v>
      </c>
      <c r="CL227" s="79" t="s">
        <v>224</v>
      </c>
      <c r="CM227" s="79">
        <v>231.18497400000001</v>
      </c>
      <c r="CN227" s="79">
        <v>1</v>
      </c>
      <c r="CO227" s="79" t="s">
        <v>224</v>
      </c>
      <c r="CP227" s="79" t="s">
        <v>224</v>
      </c>
      <c r="CQ227" s="79" t="s">
        <v>224</v>
      </c>
      <c r="CR227" s="12" t="str">
        <f>IF(COUNTIF(Incl!A:A,Raw!J227),1, "")</f>
        <v/>
      </c>
    </row>
    <row r="228" spans="1:96" ht="13.5" thickTop="1" thickBot="1" x14ac:dyDescent="0.3">
      <c r="A228" s="18">
        <v>225</v>
      </c>
      <c r="B228" s="19">
        <v>1</v>
      </c>
      <c r="C228" s="20">
        <v>301.98190199999999</v>
      </c>
      <c r="D228" s="19">
        <v>228</v>
      </c>
      <c r="E228" s="19">
        <v>1</v>
      </c>
      <c r="F228" s="19">
        <v>257</v>
      </c>
      <c r="G228" s="21">
        <v>95</v>
      </c>
      <c r="H228" s="19">
        <v>95</v>
      </c>
      <c r="I228" s="19">
        <v>95</v>
      </c>
      <c r="J228" s="19">
        <v>95</v>
      </c>
      <c r="K228" s="20" t="s">
        <v>82</v>
      </c>
      <c r="L228" s="20" t="s">
        <v>119</v>
      </c>
      <c r="M228" s="20" t="s">
        <v>117</v>
      </c>
      <c r="N228" s="22" t="s">
        <v>62</v>
      </c>
      <c r="O228" s="22">
        <v>15</v>
      </c>
      <c r="P228" s="21" t="s">
        <v>62</v>
      </c>
      <c r="Q228" s="22" t="s">
        <v>62</v>
      </c>
      <c r="R228" s="22" t="s">
        <v>62</v>
      </c>
      <c r="S228" s="22" t="s">
        <v>62</v>
      </c>
      <c r="T228" s="19">
        <v>15</v>
      </c>
      <c r="U228" s="21">
        <v>14</v>
      </c>
      <c r="V228" s="21">
        <v>12</v>
      </c>
      <c r="W228" s="21">
        <v>14</v>
      </c>
      <c r="X228" s="21">
        <v>13</v>
      </c>
      <c r="Y228" s="19">
        <v>92</v>
      </c>
      <c r="Z228" s="19">
        <v>79</v>
      </c>
      <c r="AA228" s="19">
        <v>92</v>
      </c>
      <c r="AB228" s="19">
        <v>86</v>
      </c>
      <c r="AC228" s="19">
        <v>4</v>
      </c>
      <c r="AD228" s="19">
        <v>10</v>
      </c>
      <c r="AE228" s="19">
        <v>10</v>
      </c>
      <c r="AF228" s="19">
        <v>12</v>
      </c>
      <c r="AG228" s="21">
        <v>12</v>
      </c>
      <c r="AH228" s="19">
        <v>66</v>
      </c>
      <c r="AI228" s="19">
        <v>66</v>
      </c>
      <c r="AJ228" s="19">
        <v>79</v>
      </c>
      <c r="AK228" s="19">
        <v>79</v>
      </c>
      <c r="AL228" s="19">
        <v>2</v>
      </c>
      <c r="AM228" s="22" t="s">
        <v>62</v>
      </c>
      <c r="AN228" s="22" t="s">
        <v>62</v>
      </c>
      <c r="AO228" s="22" t="s">
        <v>62</v>
      </c>
      <c r="AP228" s="22" t="s">
        <v>62</v>
      </c>
      <c r="AQ228" s="22" t="s">
        <v>62</v>
      </c>
      <c r="AR228" s="22" t="s">
        <v>62</v>
      </c>
      <c r="AS228" s="22" t="s">
        <v>62</v>
      </c>
      <c r="AT228" s="22" t="s">
        <v>62</v>
      </c>
      <c r="AU228" s="22" t="s">
        <v>62</v>
      </c>
      <c r="AV228" s="22" t="s">
        <v>62</v>
      </c>
      <c r="AW228" s="22" t="s">
        <v>62</v>
      </c>
      <c r="AX228" s="22" t="s">
        <v>62</v>
      </c>
      <c r="AY228" s="22" t="s">
        <v>62</v>
      </c>
      <c r="AZ228" s="22" t="s">
        <v>62</v>
      </c>
      <c r="BA228" s="22" t="s">
        <v>62</v>
      </c>
      <c r="BB228" s="22" t="s">
        <v>62</v>
      </c>
      <c r="BC228" s="22" t="s">
        <v>62</v>
      </c>
      <c r="BD228" s="22" t="s">
        <v>62</v>
      </c>
      <c r="BE228" s="22" t="s">
        <v>62</v>
      </c>
      <c r="BF228" s="22" t="s">
        <v>62</v>
      </c>
      <c r="BG228" s="22" t="s">
        <v>62</v>
      </c>
      <c r="BH228" s="22" t="s">
        <v>62</v>
      </c>
      <c r="BI228" s="22" t="s">
        <v>62</v>
      </c>
      <c r="BJ228" s="22" t="s">
        <v>62</v>
      </c>
      <c r="BK228" s="22" t="s">
        <v>62</v>
      </c>
      <c r="BL228" s="22" t="s">
        <v>62</v>
      </c>
      <c r="BM228" s="22" t="s">
        <v>62</v>
      </c>
      <c r="BN228" s="22" t="s">
        <v>62</v>
      </c>
      <c r="BO228" s="22" t="s">
        <v>62</v>
      </c>
      <c r="BP228" s="22" t="s">
        <v>62</v>
      </c>
      <c r="BQ228" s="22" t="s">
        <v>62</v>
      </c>
      <c r="BR228" s="22" t="s">
        <v>62</v>
      </c>
      <c r="BS228" s="22" t="s">
        <v>62</v>
      </c>
      <c r="BT228" s="22" t="s">
        <v>62</v>
      </c>
      <c r="BU228" s="22" t="s">
        <v>62</v>
      </c>
      <c r="BV228" s="22" t="s">
        <v>62</v>
      </c>
      <c r="BW228" s="22" t="s">
        <v>62</v>
      </c>
      <c r="BX228" s="22" t="s">
        <v>62</v>
      </c>
      <c r="BY228" s="22" t="s">
        <v>62</v>
      </c>
      <c r="BZ228" s="22" t="s">
        <v>62</v>
      </c>
      <c r="CA228" s="22" t="s">
        <v>62</v>
      </c>
      <c r="CB228" s="22" t="s">
        <v>62</v>
      </c>
      <c r="CC228" s="22" t="s">
        <v>62</v>
      </c>
      <c r="CD228" s="22" t="s">
        <v>62</v>
      </c>
      <c r="CE228" s="22" t="s">
        <v>62</v>
      </c>
      <c r="CF228" s="22" t="s">
        <v>62</v>
      </c>
      <c r="CG228" s="20" t="s">
        <v>74</v>
      </c>
      <c r="CH228" s="20">
        <v>9.1E-4</v>
      </c>
      <c r="CI228" s="19">
        <v>6</v>
      </c>
      <c r="CJ228" s="78">
        <v>3</v>
      </c>
      <c r="CK228" s="78" t="s">
        <v>224</v>
      </c>
      <c r="CL228" s="78" t="s">
        <v>224</v>
      </c>
      <c r="CM228" s="78">
        <v>301.98176899999999</v>
      </c>
      <c r="CN228" s="78">
        <v>2</v>
      </c>
      <c r="CO228" s="78" t="s">
        <v>224</v>
      </c>
      <c r="CP228" s="78" t="s">
        <v>224</v>
      </c>
      <c r="CQ228" s="78" t="s">
        <v>224</v>
      </c>
      <c r="CR228" s="12" t="str">
        <f>IF(COUNTIF(Incl!A:A,Raw!J228),1, "")</f>
        <v/>
      </c>
    </row>
    <row r="229" spans="1:96" ht="13.5" thickTop="1" thickBot="1" x14ac:dyDescent="0.3">
      <c r="A229" s="18">
        <v>226</v>
      </c>
      <c r="B229" s="19">
        <v>1</v>
      </c>
      <c r="C229" s="20">
        <v>216.32664199999999</v>
      </c>
      <c r="D229" s="19">
        <v>229</v>
      </c>
      <c r="E229" s="19">
        <v>1</v>
      </c>
      <c r="F229" s="19">
        <v>258</v>
      </c>
      <c r="G229" s="21">
        <v>250</v>
      </c>
      <c r="H229" s="19">
        <v>250</v>
      </c>
      <c r="I229" s="19">
        <v>250</v>
      </c>
      <c r="J229" s="19">
        <v>250</v>
      </c>
      <c r="K229" s="20" t="s">
        <v>119</v>
      </c>
      <c r="L229" s="20" t="s">
        <v>60</v>
      </c>
      <c r="M229" s="20" t="s">
        <v>82</v>
      </c>
      <c r="N229" s="22" t="s">
        <v>62</v>
      </c>
      <c r="O229" s="22" t="s">
        <v>62</v>
      </c>
      <c r="P229" s="21" t="s">
        <v>62</v>
      </c>
      <c r="Q229" s="22" t="s">
        <v>62</v>
      </c>
      <c r="R229" s="22" t="s">
        <v>62</v>
      </c>
      <c r="S229" s="22" t="s">
        <v>62</v>
      </c>
      <c r="T229" s="19">
        <v>0</v>
      </c>
      <c r="U229" s="21" t="s">
        <v>62</v>
      </c>
      <c r="V229" s="21" t="s">
        <v>62</v>
      </c>
      <c r="W229" s="21" t="s">
        <v>62</v>
      </c>
      <c r="X229" s="21" t="s">
        <v>62</v>
      </c>
      <c r="Y229" s="19">
        <v>0</v>
      </c>
      <c r="Z229" s="19">
        <v>0</v>
      </c>
      <c r="AA229" s="19">
        <v>0</v>
      </c>
      <c r="AB229" s="19">
        <v>0</v>
      </c>
      <c r="AC229" s="19">
        <v>0</v>
      </c>
      <c r="AD229" s="19">
        <v>0</v>
      </c>
      <c r="AE229" s="19">
        <v>0</v>
      </c>
      <c r="AF229" s="19">
        <v>0</v>
      </c>
      <c r="AG229" s="21" t="s">
        <v>62</v>
      </c>
      <c r="AH229" s="19">
        <v>0</v>
      </c>
      <c r="AI229" s="19">
        <v>0</v>
      </c>
      <c r="AJ229" s="19">
        <v>0</v>
      </c>
      <c r="AK229" s="19">
        <v>0</v>
      </c>
      <c r="AL229" s="19">
        <v>0</v>
      </c>
      <c r="AM229" s="22">
        <v>0</v>
      </c>
      <c r="AN229" s="22">
        <v>0</v>
      </c>
      <c r="AO229" s="22">
        <v>0</v>
      </c>
      <c r="AP229" s="22">
        <v>0</v>
      </c>
      <c r="AQ229" s="22">
        <v>0</v>
      </c>
      <c r="AR229" s="22">
        <v>0</v>
      </c>
      <c r="AS229" s="22">
        <v>0</v>
      </c>
      <c r="AT229" s="22">
        <v>0</v>
      </c>
      <c r="AU229" s="22">
        <v>0</v>
      </c>
      <c r="AV229" s="22">
        <v>0</v>
      </c>
      <c r="AW229" s="22">
        <v>0</v>
      </c>
      <c r="AX229" s="22">
        <v>0</v>
      </c>
      <c r="AY229" s="22">
        <v>0</v>
      </c>
      <c r="AZ229" s="22">
        <v>0</v>
      </c>
      <c r="BA229" s="22">
        <v>0</v>
      </c>
      <c r="BB229" s="22">
        <v>0</v>
      </c>
      <c r="BC229" s="22">
        <v>0</v>
      </c>
      <c r="BD229" s="22">
        <v>0</v>
      </c>
      <c r="BE229" s="22">
        <v>0</v>
      </c>
      <c r="BF229" s="22">
        <v>0</v>
      </c>
      <c r="BG229" s="22">
        <v>0</v>
      </c>
      <c r="BH229" s="22">
        <v>0</v>
      </c>
      <c r="BI229" s="22" t="s">
        <v>77</v>
      </c>
      <c r="BJ229" s="22">
        <v>0</v>
      </c>
      <c r="BK229" s="22">
        <v>0</v>
      </c>
      <c r="BL229" s="22">
        <v>0</v>
      </c>
      <c r="BM229" s="22">
        <v>0</v>
      </c>
      <c r="BN229" s="22">
        <v>0</v>
      </c>
      <c r="BO229" s="22">
        <v>0</v>
      </c>
      <c r="BP229" s="22">
        <v>0</v>
      </c>
      <c r="BQ229" s="22">
        <v>0</v>
      </c>
      <c r="BR229" s="22">
        <v>0</v>
      </c>
      <c r="BS229" s="22">
        <v>0</v>
      </c>
      <c r="BT229" s="22">
        <v>0</v>
      </c>
      <c r="BU229" s="22">
        <v>0</v>
      </c>
      <c r="BV229" s="22">
        <v>0</v>
      </c>
      <c r="BW229" s="22">
        <v>0</v>
      </c>
      <c r="BX229" s="22">
        <v>0</v>
      </c>
      <c r="BY229" s="22">
        <v>0</v>
      </c>
      <c r="BZ229" s="22">
        <v>0</v>
      </c>
      <c r="CA229" s="22">
        <v>0</v>
      </c>
      <c r="CB229" s="22">
        <v>0</v>
      </c>
      <c r="CC229" s="22">
        <v>0</v>
      </c>
      <c r="CD229" s="22">
        <v>0</v>
      </c>
      <c r="CE229" s="22">
        <v>0</v>
      </c>
      <c r="CF229" s="22" t="s">
        <v>77</v>
      </c>
      <c r="CG229" s="20" t="s">
        <v>64</v>
      </c>
      <c r="CH229" s="20">
        <v>6.9800000000000005E-4</v>
      </c>
      <c r="CI229" s="19">
        <v>0</v>
      </c>
      <c r="CJ229" s="78">
        <v>3</v>
      </c>
      <c r="CK229" s="78" t="s">
        <v>224</v>
      </c>
      <c r="CL229" s="78" t="s">
        <v>224</v>
      </c>
      <c r="CM229" s="78">
        <v>216.32683700000001</v>
      </c>
      <c r="CN229" s="78">
        <v>1</v>
      </c>
      <c r="CO229" s="78" t="s">
        <v>224</v>
      </c>
      <c r="CP229" s="78" t="s">
        <v>224</v>
      </c>
      <c r="CQ229" s="78" t="s">
        <v>224</v>
      </c>
      <c r="CR229" s="12" t="str">
        <f>IF(COUNTIF(Incl!A:A,Raw!J229),1, "")</f>
        <v/>
      </c>
    </row>
    <row r="230" spans="1:96" ht="13.5" thickTop="1" thickBot="1" x14ac:dyDescent="0.3">
      <c r="A230" s="13">
        <v>227</v>
      </c>
      <c r="B230" s="14">
        <v>1</v>
      </c>
      <c r="C230" s="15">
        <v>281.56476099999998</v>
      </c>
      <c r="D230" s="14">
        <v>230</v>
      </c>
      <c r="E230" s="14">
        <v>1</v>
      </c>
      <c r="F230" s="14">
        <v>259</v>
      </c>
      <c r="G230" s="16">
        <v>132</v>
      </c>
      <c r="H230" s="14">
        <v>132</v>
      </c>
      <c r="I230" s="14">
        <v>132</v>
      </c>
      <c r="J230" s="14">
        <v>132</v>
      </c>
      <c r="K230" s="15" t="s">
        <v>60</v>
      </c>
      <c r="L230" s="15" t="s">
        <v>117</v>
      </c>
      <c r="M230" s="15" t="s">
        <v>119</v>
      </c>
      <c r="N230" s="17">
        <v>4</v>
      </c>
      <c r="O230" s="17" t="s">
        <v>62</v>
      </c>
      <c r="P230" s="16" t="s">
        <v>62</v>
      </c>
      <c r="Q230" s="17" t="s">
        <v>62</v>
      </c>
      <c r="R230" s="17" t="s">
        <v>62</v>
      </c>
      <c r="S230" s="17" t="s">
        <v>62</v>
      </c>
      <c r="T230" s="14">
        <v>4</v>
      </c>
      <c r="U230" s="16">
        <v>2</v>
      </c>
      <c r="V230" s="16">
        <v>4</v>
      </c>
      <c r="W230" s="16">
        <v>1</v>
      </c>
      <c r="X230" s="16" t="s">
        <v>62</v>
      </c>
      <c r="Y230" s="14">
        <v>48</v>
      </c>
      <c r="Z230" s="14">
        <v>95</v>
      </c>
      <c r="AA230" s="14">
        <v>24</v>
      </c>
      <c r="AB230" s="14">
        <v>0</v>
      </c>
      <c r="AC230" s="14">
        <v>1</v>
      </c>
      <c r="AD230" s="14">
        <v>2</v>
      </c>
      <c r="AE230" s="14">
        <v>2</v>
      </c>
      <c r="AF230" s="14">
        <v>2</v>
      </c>
      <c r="AG230" s="16" t="s">
        <v>62</v>
      </c>
      <c r="AH230" s="14">
        <v>48</v>
      </c>
      <c r="AI230" s="14">
        <v>48</v>
      </c>
      <c r="AJ230" s="14">
        <v>48</v>
      </c>
      <c r="AK230" s="14">
        <v>0</v>
      </c>
      <c r="AL230" s="14">
        <v>0</v>
      </c>
      <c r="AM230" s="17">
        <v>2</v>
      </c>
      <c r="AN230" s="17">
        <v>3</v>
      </c>
      <c r="AO230" s="17">
        <v>4</v>
      </c>
      <c r="AP230" s="17">
        <v>4</v>
      </c>
      <c r="AQ230" s="17">
        <v>4</v>
      </c>
      <c r="AR230" s="17">
        <v>3</v>
      </c>
      <c r="AS230" s="17">
        <v>2</v>
      </c>
      <c r="AT230" s="17">
        <v>2</v>
      </c>
      <c r="AU230" s="17">
        <v>1</v>
      </c>
      <c r="AV230" s="17">
        <v>2</v>
      </c>
      <c r="AW230" s="17">
        <v>10</v>
      </c>
      <c r="AX230" s="17">
        <v>2</v>
      </c>
      <c r="AY230" s="17">
        <v>1</v>
      </c>
      <c r="AZ230" s="17">
        <v>0</v>
      </c>
      <c r="BA230" s="17">
        <v>0</v>
      </c>
      <c r="BB230" s="17">
        <v>0</v>
      </c>
      <c r="BC230" s="17">
        <v>0</v>
      </c>
      <c r="BD230" s="17">
        <v>0</v>
      </c>
      <c r="BE230" s="17">
        <v>0</v>
      </c>
      <c r="BF230" s="17">
        <v>1</v>
      </c>
      <c r="BG230" s="17">
        <v>14</v>
      </c>
      <c r="BH230" s="17">
        <v>3.3</v>
      </c>
      <c r="BI230" s="17" t="s">
        <v>65</v>
      </c>
      <c r="BJ230" s="17">
        <v>2</v>
      </c>
      <c r="BK230" s="17">
        <v>2</v>
      </c>
      <c r="BL230" s="17">
        <v>2</v>
      </c>
      <c r="BM230" s="17">
        <v>2</v>
      </c>
      <c r="BN230" s="17">
        <v>2</v>
      </c>
      <c r="BO230" s="17">
        <v>2</v>
      </c>
      <c r="BP230" s="17">
        <v>2</v>
      </c>
      <c r="BQ230" s="17">
        <v>2</v>
      </c>
      <c r="BR230" s="17">
        <v>2</v>
      </c>
      <c r="BS230" s="17">
        <v>2</v>
      </c>
      <c r="BT230" s="17">
        <v>0</v>
      </c>
      <c r="BU230" s="17">
        <v>0</v>
      </c>
      <c r="BV230" s="17">
        <v>1</v>
      </c>
      <c r="BW230" s="17">
        <v>1</v>
      </c>
      <c r="BX230" s="17">
        <v>0</v>
      </c>
      <c r="BY230" s="17">
        <v>1</v>
      </c>
      <c r="BZ230" s="17">
        <v>1</v>
      </c>
      <c r="CA230" s="17">
        <v>0</v>
      </c>
      <c r="CB230" s="17">
        <v>0</v>
      </c>
      <c r="CC230" s="17">
        <v>0</v>
      </c>
      <c r="CD230" s="17">
        <v>4</v>
      </c>
      <c r="CE230" s="17">
        <v>1</v>
      </c>
      <c r="CF230" s="17" t="s">
        <v>77</v>
      </c>
      <c r="CG230" s="15" t="s">
        <v>71</v>
      </c>
      <c r="CH230" s="15">
        <v>7.85E-4</v>
      </c>
      <c r="CI230" s="14">
        <v>1</v>
      </c>
      <c r="CJ230" s="79">
        <v>1</v>
      </c>
      <c r="CK230" s="79">
        <v>1</v>
      </c>
      <c r="CL230" s="79">
        <v>1</v>
      </c>
      <c r="CM230" s="79">
        <v>256.05595099999999</v>
      </c>
      <c r="CN230" s="79">
        <v>1</v>
      </c>
      <c r="CO230" s="79">
        <v>1</v>
      </c>
      <c r="CP230" s="79" t="s">
        <v>224</v>
      </c>
      <c r="CQ230" s="79" t="s">
        <v>224</v>
      </c>
      <c r="CR230" s="12">
        <f>IF(COUNTIF(Incl!A:A,Raw!J230),1, "")</f>
        <v>1</v>
      </c>
    </row>
    <row r="231" spans="1:96" ht="13.5" thickTop="1" thickBot="1" x14ac:dyDescent="0.3">
      <c r="A231" s="13">
        <v>228</v>
      </c>
      <c r="B231" s="14">
        <v>1</v>
      </c>
      <c r="C231" s="15">
        <v>239.678493</v>
      </c>
      <c r="D231" s="14">
        <v>231</v>
      </c>
      <c r="E231" s="14">
        <v>1</v>
      </c>
      <c r="F231" s="14">
        <v>260</v>
      </c>
      <c r="G231" s="16">
        <v>65</v>
      </c>
      <c r="H231" s="14">
        <v>65</v>
      </c>
      <c r="I231" s="14">
        <v>65</v>
      </c>
      <c r="J231" s="14">
        <v>65</v>
      </c>
      <c r="K231" s="15" t="s">
        <v>69</v>
      </c>
      <c r="L231" s="15" t="s">
        <v>82</v>
      </c>
      <c r="M231" s="15" t="s">
        <v>119</v>
      </c>
      <c r="N231" s="17" t="s">
        <v>62</v>
      </c>
      <c r="O231" s="17" t="s">
        <v>62</v>
      </c>
      <c r="P231" s="16">
        <v>5</v>
      </c>
      <c r="Q231" s="16" t="s">
        <v>62</v>
      </c>
      <c r="R231" s="16" t="s">
        <v>62</v>
      </c>
      <c r="S231" s="17" t="s">
        <v>62</v>
      </c>
      <c r="T231" s="14">
        <v>5</v>
      </c>
      <c r="U231" s="16">
        <v>5</v>
      </c>
      <c r="V231" s="16">
        <v>5</v>
      </c>
      <c r="W231" s="16">
        <v>5</v>
      </c>
      <c r="X231" s="16">
        <v>5</v>
      </c>
      <c r="Y231" s="14">
        <v>100</v>
      </c>
      <c r="Z231" s="14">
        <v>100</v>
      </c>
      <c r="AA231" s="14">
        <v>100</v>
      </c>
      <c r="AB231" s="14">
        <v>100</v>
      </c>
      <c r="AC231" s="14">
        <v>4</v>
      </c>
      <c r="AD231" s="14">
        <v>0</v>
      </c>
      <c r="AE231" s="14">
        <v>0</v>
      </c>
      <c r="AF231" s="14">
        <v>5</v>
      </c>
      <c r="AG231" s="16">
        <v>5</v>
      </c>
      <c r="AH231" s="14">
        <v>0</v>
      </c>
      <c r="AI231" s="14">
        <v>0</v>
      </c>
      <c r="AJ231" s="14">
        <v>100</v>
      </c>
      <c r="AK231" s="14">
        <v>100</v>
      </c>
      <c r="AL231" s="14">
        <v>2</v>
      </c>
      <c r="AM231" s="17" t="s">
        <v>62</v>
      </c>
      <c r="AN231" s="17" t="s">
        <v>62</v>
      </c>
      <c r="AO231" s="17" t="s">
        <v>62</v>
      </c>
      <c r="AP231" s="17" t="s">
        <v>62</v>
      </c>
      <c r="AQ231" s="17" t="s">
        <v>62</v>
      </c>
      <c r="AR231" s="17" t="s">
        <v>62</v>
      </c>
      <c r="AS231" s="17" t="s">
        <v>62</v>
      </c>
      <c r="AT231" s="17" t="s">
        <v>62</v>
      </c>
      <c r="AU231" s="17" t="s">
        <v>62</v>
      </c>
      <c r="AV231" s="17" t="s">
        <v>62</v>
      </c>
      <c r="AW231" s="17" t="s">
        <v>62</v>
      </c>
      <c r="AX231" s="17" t="s">
        <v>62</v>
      </c>
      <c r="AY231" s="17" t="s">
        <v>62</v>
      </c>
      <c r="AZ231" s="17" t="s">
        <v>62</v>
      </c>
      <c r="BA231" s="17" t="s">
        <v>62</v>
      </c>
      <c r="BB231" s="17" t="s">
        <v>62</v>
      </c>
      <c r="BC231" s="17" t="s">
        <v>62</v>
      </c>
      <c r="BD231" s="17" t="s">
        <v>62</v>
      </c>
      <c r="BE231" s="17" t="s">
        <v>62</v>
      </c>
      <c r="BF231" s="17" t="s">
        <v>62</v>
      </c>
      <c r="BG231" s="17" t="s">
        <v>62</v>
      </c>
      <c r="BH231" s="17" t="s">
        <v>62</v>
      </c>
      <c r="BI231" s="17" t="s">
        <v>62</v>
      </c>
      <c r="BJ231" s="17" t="s">
        <v>62</v>
      </c>
      <c r="BK231" s="17" t="s">
        <v>62</v>
      </c>
      <c r="BL231" s="17" t="s">
        <v>62</v>
      </c>
      <c r="BM231" s="17" t="s">
        <v>62</v>
      </c>
      <c r="BN231" s="17" t="s">
        <v>62</v>
      </c>
      <c r="BO231" s="17" t="s">
        <v>62</v>
      </c>
      <c r="BP231" s="17" t="s">
        <v>62</v>
      </c>
      <c r="BQ231" s="17" t="s">
        <v>62</v>
      </c>
      <c r="BR231" s="17" t="s">
        <v>62</v>
      </c>
      <c r="BS231" s="17" t="s">
        <v>62</v>
      </c>
      <c r="BT231" s="17" t="s">
        <v>62</v>
      </c>
      <c r="BU231" s="17" t="s">
        <v>62</v>
      </c>
      <c r="BV231" s="17" t="s">
        <v>62</v>
      </c>
      <c r="BW231" s="17" t="s">
        <v>62</v>
      </c>
      <c r="BX231" s="17" t="s">
        <v>62</v>
      </c>
      <c r="BY231" s="17" t="s">
        <v>62</v>
      </c>
      <c r="BZ231" s="17" t="s">
        <v>62</v>
      </c>
      <c r="CA231" s="17" t="s">
        <v>62</v>
      </c>
      <c r="CB231" s="17" t="s">
        <v>62</v>
      </c>
      <c r="CC231" s="17" t="s">
        <v>62</v>
      </c>
      <c r="CD231" s="17" t="s">
        <v>62</v>
      </c>
      <c r="CE231" s="17" t="s">
        <v>62</v>
      </c>
      <c r="CF231" s="17" t="s">
        <v>62</v>
      </c>
      <c r="CG231" s="15" t="s">
        <v>74</v>
      </c>
      <c r="CH231" s="15">
        <v>7.4899999999999999E-4</v>
      </c>
      <c r="CI231" s="14">
        <v>6</v>
      </c>
      <c r="CJ231" s="79" t="s">
        <v>224</v>
      </c>
      <c r="CK231" s="79" t="s">
        <v>224</v>
      </c>
      <c r="CL231" s="79" t="s">
        <v>224</v>
      </c>
      <c r="CM231" s="79">
        <v>239.67847499999999</v>
      </c>
      <c r="CN231" s="79">
        <v>2</v>
      </c>
      <c r="CO231" s="79" t="s">
        <v>224</v>
      </c>
      <c r="CP231" s="79" t="s">
        <v>224</v>
      </c>
      <c r="CQ231" s="79" t="s">
        <v>224</v>
      </c>
      <c r="CR231" s="12" t="str">
        <f>IF(COUNTIF(Incl!A:A,Raw!J231),1, "")</f>
        <v/>
      </c>
    </row>
    <row r="232" spans="1:96" ht="13.5" thickTop="1" thickBot="1" x14ac:dyDescent="0.3">
      <c r="A232" s="13">
        <v>229</v>
      </c>
      <c r="B232" s="14">
        <v>1</v>
      </c>
      <c r="C232" s="15">
        <v>285.96632399999999</v>
      </c>
      <c r="D232" s="14">
        <v>232</v>
      </c>
      <c r="E232" s="14">
        <v>1</v>
      </c>
      <c r="F232" s="14">
        <v>261</v>
      </c>
      <c r="G232" s="16">
        <v>96</v>
      </c>
      <c r="H232" s="14">
        <v>96</v>
      </c>
      <c r="I232" s="14">
        <v>96</v>
      </c>
      <c r="J232" s="14">
        <v>96</v>
      </c>
      <c r="K232" s="15" t="s">
        <v>82</v>
      </c>
      <c r="L232" s="15" t="s">
        <v>119</v>
      </c>
      <c r="M232" s="15" t="s">
        <v>69</v>
      </c>
      <c r="N232" s="17" t="s">
        <v>62</v>
      </c>
      <c r="O232" s="17" t="s">
        <v>62</v>
      </c>
      <c r="P232" s="16">
        <v>11</v>
      </c>
      <c r="Q232" s="17" t="s">
        <v>62</v>
      </c>
      <c r="R232" s="17" t="s">
        <v>62</v>
      </c>
      <c r="S232" s="17" t="s">
        <v>62</v>
      </c>
      <c r="T232" s="14">
        <v>11</v>
      </c>
      <c r="U232" s="16">
        <v>11</v>
      </c>
      <c r="V232" s="16">
        <v>8</v>
      </c>
      <c r="W232" s="16">
        <v>11</v>
      </c>
      <c r="X232" s="16">
        <v>9</v>
      </c>
      <c r="Y232" s="14">
        <v>98</v>
      </c>
      <c r="Z232" s="14">
        <v>71</v>
      </c>
      <c r="AA232" s="14">
        <v>98</v>
      </c>
      <c r="AB232" s="14">
        <v>80</v>
      </c>
      <c r="AC232" s="14">
        <v>3</v>
      </c>
      <c r="AD232" s="14">
        <v>8</v>
      </c>
      <c r="AE232" s="14">
        <v>8</v>
      </c>
      <c r="AF232" s="14">
        <v>9</v>
      </c>
      <c r="AG232" s="16">
        <v>9</v>
      </c>
      <c r="AH232" s="14">
        <v>71</v>
      </c>
      <c r="AI232" s="14">
        <v>71</v>
      </c>
      <c r="AJ232" s="14">
        <v>80</v>
      </c>
      <c r="AK232" s="14">
        <v>80</v>
      </c>
      <c r="AL232" s="14">
        <v>2</v>
      </c>
      <c r="AM232" s="17" t="s">
        <v>62</v>
      </c>
      <c r="AN232" s="17" t="s">
        <v>62</v>
      </c>
      <c r="AO232" s="17" t="s">
        <v>62</v>
      </c>
      <c r="AP232" s="17" t="s">
        <v>62</v>
      </c>
      <c r="AQ232" s="17" t="s">
        <v>62</v>
      </c>
      <c r="AR232" s="17" t="s">
        <v>62</v>
      </c>
      <c r="AS232" s="17" t="s">
        <v>62</v>
      </c>
      <c r="AT232" s="17" t="s">
        <v>62</v>
      </c>
      <c r="AU232" s="17" t="s">
        <v>62</v>
      </c>
      <c r="AV232" s="17" t="s">
        <v>62</v>
      </c>
      <c r="AW232" s="17" t="s">
        <v>62</v>
      </c>
      <c r="AX232" s="17" t="s">
        <v>62</v>
      </c>
      <c r="AY232" s="17" t="s">
        <v>62</v>
      </c>
      <c r="AZ232" s="17" t="s">
        <v>62</v>
      </c>
      <c r="BA232" s="17" t="s">
        <v>62</v>
      </c>
      <c r="BB232" s="17" t="s">
        <v>62</v>
      </c>
      <c r="BC232" s="17" t="s">
        <v>62</v>
      </c>
      <c r="BD232" s="17" t="s">
        <v>62</v>
      </c>
      <c r="BE232" s="17" t="s">
        <v>62</v>
      </c>
      <c r="BF232" s="17" t="s">
        <v>62</v>
      </c>
      <c r="BG232" s="17" t="s">
        <v>62</v>
      </c>
      <c r="BH232" s="17" t="s">
        <v>62</v>
      </c>
      <c r="BI232" s="17" t="s">
        <v>62</v>
      </c>
      <c r="BJ232" s="17" t="s">
        <v>62</v>
      </c>
      <c r="BK232" s="17" t="s">
        <v>62</v>
      </c>
      <c r="BL232" s="17" t="s">
        <v>62</v>
      </c>
      <c r="BM232" s="17" t="s">
        <v>62</v>
      </c>
      <c r="BN232" s="17" t="s">
        <v>62</v>
      </c>
      <c r="BO232" s="17" t="s">
        <v>62</v>
      </c>
      <c r="BP232" s="17" t="s">
        <v>62</v>
      </c>
      <c r="BQ232" s="17" t="s">
        <v>62</v>
      </c>
      <c r="BR232" s="17" t="s">
        <v>62</v>
      </c>
      <c r="BS232" s="17" t="s">
        <v>62</v>
      </c>
      <c r="BT232" s="17" t="s">
        <v>62</v>
      </c>
      <c r="BU232" s="17" t="s">
        <v>62</v>
      </c>
      <c r="BV232" s="17" t="s">
        <v>62</v>
      </c>
      <c r="BW232" s="17" t="s">
        <v>62</v>
      </c>
      <c r="BX232" s="17" t="s">
        <v>62</v>
      </c>
      <c r="BY232" s="17" t="s">
        <v>62</v>
      </c>
      <c r="BZ232" s="17" t="s">
        <v>62</v>
      </c>
      <c r="CA232" s="17" t="s">
        <v>62</v>
      </c>
      <c r="CB232" s="17" t="s">
        <v>62</v>
      </c>
      <c r="CC232" s="17" t="s">
        <v>62</v>
      </c>
      <c r="CD232" s="17" t="s">
        <v>62</v>
      </c>
      <c r="CE232" s="17" t="s">
        <v>62</v>
      </c>
      <c r="CF232" s="17" t="s">
        <v>62</v>
      </c>
      <c r="CG232" s="15" t="s">
        <v>71</v>
      </c>
      <c r="CH232" s="15">
        <v>8.2299999999999995E-4</v>
      </c>
      <c r="CI232" s="14">
        <v>5</v>
      </c>
      <c r="CJ232" s="79" t="s">
        <v>224</v>
      </c>
      <c r="CK232" s="79" t="s">
        <v>224</v>
      </c>
      <c r="CL232" s="79" t="s">
        <v>224</v>
      </c>
      <c r="CM232" s="79">
        <v>285.96640500000001</v>
      </c>
      <c r="CN232" s="79">
        <v>2</v>
      </c>
      <c r="CO232" s="79" t="s">
        <v>224</v>
      </c>
      <c r="CP232" s="79" t="s">
        <v>224</v>
      </c>
      <c r="CQ232" s="79" t="s">
        <v>224</v>
      </c>
      <c r="CR232" s="12" t="str">
        <f>IF(COUNTIF(Incl!A:A,Raw!J232),1, "")</f>
        <v/>
      </c>
    </row>
    <row r="233" spans="1:96" ht="13.5" thickTop="1" thickBot="1" x14ac:dyDescent="0.3">
      <c r="A233" s="18">
        <v>230</v>
      </c>
      <c r="B233" s="19">
        <v>1</v>
      </c>
      <c r="C233" s="20">
        <v>438.148211</v>
      </c>
      <c r="D233" s="19">
        <v>233</v>
      </c>
      <c r="E233" s="19">
        <v>1</v>
      </c>
      <c r="F233" s="19">
        <v>262</v>
      </c>
      <c r="G233" s="21">
        <v>97</v>
      </c>
      <c r="H233" s="19">
        <v>97</v>
      </c>
      <c r="I233" s="19">
        <v>97</v>
      </c>
      <c r="J233" s="19">
        <v>97</v>
      </c>
      <c r="K233" s="20" t="s">
        <v>82</v>
      </c>
      <c r="L233" s="20" t="s">
        <v>69</v>
      </c>
      <c r="M233" s="20" t="s">
        <v>119</v>
      </c>
      <c r="N233" s="22" t="s">
        <v>62</v>
      </c>
      <c r="O233" s="21" t="s">
        <v>62</v>
      </c>
      <c r="P233" s="22">
        <v>13</v>
      </c>
      <c r="Q233" s="22" t="s">
        <v>62</v>
      </c>
      <c r="R233" s="22" t="s">
        <v>62</v>
      </c>
      <c r="S233" s="22" t="s">
        <v>62</v>
      </c>
      <c r="T233" s="19">
        <v>13</v>
      </c>
      <c r="U233" s="21">
        <v>11</v>
      </c>
      <c r="V233" s="21">
        <v>9</v>
      </c>
      <c r="W233" s="21">
        <v>12</v>
      </c>
      <c r="X233" s="21">
        <v>11</v>
      </c>
      <c r="Y233" s="19">
        <v>86</v>
      </c>
      <c r="Z233" s="19">
        <v>71</v>
      </c>
      <c r="AA233" s="19">
        <v>94</v>
      </c>
      <c r="AB233" s="19">
        <v>86</v>
      </c>
      <c r="AC233" s="19">
        <v>3</v>
      </c>
      <c r="AD233" s="19">
        <v>9</v>
      </c>
      <c r="AE233" s="19">
        <v>9</v>
      </c>
      <c r="AF233" s="19">
        <v>12</v>
      </c>
      <c r="AG233" s="21">
        <v>12</v>
      </c>
      <c r="AH233" s="19">
        <v>71</v>
      </c>
      <c r="AI233" s="19">
        <v>71</v>
      </c>
      <c r="AJ233" s="19">
        <v>94</v>
      </c>
      <c r="AK233" s="19">
        <v>94</v>
      </c>
      <c r="AL233" s="19">
        <v>2</v>
      </c>
      <c r="AM233" s="22" t="s">
        <v>62</v>
      </c>
      <c r="AN233" s="22" t="s">
        <v>62</v>
      </c>
      <c r="AO233" s="22" t="s">
        <v>62</v>
      </c>
      <c r="AP233" s="22" t="s">
        <v>62</v>
      </c>
      <c r="AQ233" s="22" t="s">
        <v>62</v>
      </c>
      <c r="AR233" s="22" t="s">
        <v>62</v>
      </c>
      <c r="AS233" s="22" t="s">
        <v>62</v>
      </c>
      <c r="AT233" s="22" t="s">
        <v>62</v>
      </c>
      <c r="AU233" s="22" t="s">
        <v>62</v>
      </c>
      <c r="AV233" s="22" t="s">
        <v>62</v>
      </c>
      <c r="AW233" s="22" t="s">
        <v>62</v>
      </c>
      <c r="AX233" s="22" t="s">
        <v>62</v>
      </c>
      <c r="AY233" s="22" t="s">
        <v>62</v>
      </c>
      <c r="AZ233" s="22" t="s">
        <v>62</v>
      </c>
      <c r="BA233" s="22" t="s">
        <v>62</v>
      </c>
      <c r="BB233" s="22" t="s">
        <v>62</v>
      </c>
      <c r="BC233" s="22" t="s">
        <v>62</v>
      </c>
      <c r="BD233" s="22" t="s">
        <v>62</v>
      </c>
      <c r="BE233" s="22" t="s">
        <v>62</v>
      </c>
      <c r="BF233" s="22" t="s">
        <v>62</v>
      </c>
      <c r="BG233" s="22" t="s">
        <v>62</v>
      </c>
      <c r="BH233" s="22" t="s">
        <v>62</v>
      </c>
      <c r="BI233" s="22" t="s">
        <v>62</v>
      </c>
      <c r="BJ233" s="22" t="s">
        <v>62</v>
      </c>
      <c r="BK233" s="22" t="s">
        <v>62</v>
      </c>
      <c r="BL233" s="22" t="s">
        <v>62</v>
      </c>
      <c r="BM233" s="22" t="s">
        <v>62</v>
      </c>
      <c r="BN233" s="22" t="s">
        <v>62</v>
      </c>
      <c r="BO233" s="22" t="s">
        <v>62</v>
      </c>
      <c r="BP233" s="22" t="s">
        <v>62</v>
      </c>
      <c r="BQ233" s="22" t="s">
        <v>62</v>
      </c>
      <c r="BR233" s="22" t="s">
        <v>62</v>
      </c>
      <c r="BS233" s="22" t="s">
        <v>62</v>
      </c>
      <c r="BT233" s="22" t="s">
        <v>62</v>
      </c>
      <c r="BU233" s="22" t="s">
        <v>62</v>
      </c>
      <c r="BV233" s="22" t="s">
        <v>62</v>
      </c>
      <c r="BW233" s="22" t="s">
        <v>62</v>
      </c>
      <c r="BX233" s="22" t="s">
        <v>62</v>
      </c>
      <c r="BY233" s="22" t="s">
        <v>62</v>
      </c>
      <c r="BZ233" s="22" t="s">
        <v>62</v>
      </c>
      <c r="CA233" s="22" t="s">
        <v>62</v>
      </c>
      <c r="CB233" s="22" t="s">
        <v>62</v>
      </c>
      <c r="CC233" s="22" t="s">
        <v>62</v>
      </c>
      <c r="CD233" s="22" t="s">
        <v>62</v>
      </c>
      <c r="CE233" s="22" t="s">
        <v>62</v>
      </c>
      <c r="CF233" s="22" t="s">
        <v>62</v>
      </c>
      <c r="CG233" s="20" t="s">
        <v>74</v>
      </c>
      <c r="CH233" s="20">
        <v>1.266E-3</v>
      </c>
      <c r="CI233" s="19">
        <v>5</v>
      </c>
      <c r="CJ233" s="78" t="s">
        <v>224</v>
      </c>
      <c r="CK233" s="78" t="s">
        <v>224</v>
      </c>
      <c r="CL233" s="78" t="s">
        <v>224</v>
      </c>
      <c r="CM233" s="78">
        <v>438.14822700000002</v>
      </c>
      <c r="CN233" s="78">
        <v>2</v>
      </c>
      <c r="CO233" s="78" t="s">
        <v>224</v>
      </c>
      <c r="CP233" s="78" t="s">
        <v>224</v>
      </c>
      <c r="CQ233" s="78" t="s">
        <v>224</v>
      </c>
      <c r="CR233" s="12" t="str">
        <f>IF(COUNTIF(Incl!A:A,Raw!J233),1, "")</f>
        <v/>
      </c>
    </row>
    <row r="234" spans="1:96" ht="13.5" thickTop="1" thickBot="1" x14ac:dyDescent="0.3">
      <c r="A234" s="13">
        <v>231</v>
      </c>
      <c r="B234" s="14">
        <v>1</v>
      </c>
      <c r="C234" s="15">
        <v>802.79944899999998</v>
      </c>
      <c r="D234" s="14">
        <v>234</v>
      </c>
      <c r="E234" s="14">
        <v>1</v>
      </c>
      <c r="F234" s="14">
        <v>263</v>
      </c>
      <c r="G234" s="16">
        <v>64</v>
      </c>
      <c r="H234" s="14">
        <v>64</v>
      </c>
      <c r="I234" s="14">
        <v>64</v>
      </c>
      <c r="J234" s="14">
        <v>64</v>
      </c>
      <c r="K234" s="15" t="s">
        <v>69</v>
      </c>
      <c r="L234" s="15" t="s">
        <v>119</v>
      </c>
      <c r="M234" s="15" t="s">
        <v>121</v>
      </c>
      <c r="N234" s="17" t="s">
        <v>62</v>
      </c>
      <c r="O234" s="16">
        <v>8</v>
      </c>
      <c r="P234" s="17">
        <v>12</v>
      </c>
      <c r="Q234" s="17" t="s">
        <v>62</v>
      </c>
      <c r="R234" s="17" t="s">
        <v>62</v>
      </c>
      <c r="S234" s="17" t="s">
        <v>62</v>
      </c>
      <c r="T234" s="14">
        <v>20</v>
      </c>
      <c r="U234" s="16">
        <v>19</v>
      </c>
      <c r="V234" s="16">
        <v>16</v>
      </c>
      <c r="W234" s="16">
        <v>8</v>
      </c>
      <c r="X234" s="16">
        <v>13</v>
      </c>
      <c r="Y234" s="14">
        <v>94</v>
      </c>
      <c r="Z234" s="14">
        <v>79</v>
      </c>
      <c r="AA234" s="14">
        <v>39</v>
      </c>
      <c r="AB234" s="14">
        <v>64</v>
      </c>
      <c r="AC234" s="14">
        <v>2</v>
      </c>
      <c r="AD234" s="14">
        <v>14</v>
      </c>
      <c r="AE234" s="14">
        <v>12</v>
      </c>
      <c r="AF234" s="14">
        <v>10</v>
      </c>
      <c r="AG234" s="16">
        <v>10</v>
      </c>
      <c r="AH234" s="14">
        <v>69</v>
      </c>
      <c r="AI234" s="14">
        <v>59</v>
      </c>
      <c r="AJ234" s="14">
        <v>49</v>
      </c>
      <c r="AK234" s="14">
        <v>49</v>
      </c>
      <c r="AL234" s="14">
        <v>0</v>
      </c>
      <c r="AM234" s="17" t="s">
        <v>62</v>
      </c>
      <c r="AN234" s="17" t="s">
        <v>62</v>
      </c>
      <c r="AO234" s="17" t="s">
        <v>62</v>
      </c>
      <c r="AP234" s="17" t="s">
        <v>62</v>
      </c>
      <c r="AQ234" s="17" t="s">
        <v>62</v>
      </c>
      <c r="AR234" s="17" t="s">
        <v>62</v>
      </c>
      <c r="AS234" s="17" t="s">
        <v>62</v>
      </c>
      <c r="AT234" s="17" t="s">
        <v>62</v>
      </c>
      <c r="AU234" s="17" t="s">
        <v>62</v>
      </c>
      <c r="AV234" s="17" t="s">
        <v>62</v>
      </c>
      <c r="AW234" s="17" t="s">
        <v>62</v>
      </c>
      <c r="AX234" s="17" t="s">
        <v>62</v>
      </c>
      <c r="AY234" s="17" t="s">
        <v>62</v>
      </c>
      <c r="AZ234" s="17" t="s">
        <v>62</v>
      </c>
      <c r="BA234" s="17" t="s">
        <v>62</v>
      </c>
      <c r="BB234" s="17" t="s">
        <v>62</v>
      </c>
      <c r="BC234" s="17" t="s">
        <v>62</v>
      </c>
      <c r="BD234" s="17" t="s">
        <v>62</v>
      </c>
      <c r="BE234" s="17" t="s">
        <v>62</v>
      </c>
      <c r="BF234" s="17" t="s">
        <v>62</v>
      </c>
      <c r="BG234" s="17" t="s">
        <v>62</v>
      </c>
      <c r="BH234" s="17" t="s">
        <v>62</v>
      </c>
      <c r="BI234" s="17" t="s">
        <v>62</v>
      </c>
      <c r="BJ234" s="17" t="s">
        <v>62</v>
      </c>
      <c r="BK234" s="17" t="s">
        <v>62</v>
      </c>
      <c r="BL234" s="17" t="s">
        <v>62</v>
      </c>
      <c r="BM234" s="17" t="s">
        <v>62</v>
      </c>
      <c r="BN234" s="17" t="s">
        <v>62</v>
      </c>
      <c r="BO234" s="17" t="s">
        <v>62</v>
      </c>
      <c r="BP234" s="17" t="s">
        <v>62</v>
      </c>
      <c r="BQ234" s="17" t="s">
        <v>62</v>
      </c>
      <c r="BR234" s="17" t="s">
        <v>62</v>
      </c>
      <c r="BS234" s="17" t="s">
        <v>62</v>
      </c>
      <c r="BT234" s="17" t="s">
        <v>62</v>
      </c>
      <c r="BU234" s="17" t="s">
        <v>62</v>
      </c>
      <c r="BV234" s="17" t="s">
        <v>62</v>
      </c>
      <c r="BW234" s="17" t="s">
        <v>62</v>
      </c>
      <c r="BX234" s="17" t="s">
        <v>62</v>
      </c>
      <c r="BY234" s="17" t="s">
        <v>62</v>
      </c>
      <c r="BZ234" s="17" t="s">
        <v>62</v>
      </c>
      <c r="CA234" s="17" t="s">
        <v>62</v>
      </c>
      <c r="CB234" s="17" t="s">
        <v>62</v>
      </c>
      <c r="CC234" s="17" t="s">
        <v>62</v>
      </c>
      <c r="CD234" s="17" t="s">
        <v>62</v>
      </c>
      <c r="CE234" s="17" t="s">
        <v>62</v>
      </c>
      <c r="CF234" s="17" t="s">
        <v>62</v>
      </c>
      <c r="CG234" s="15" t="s">
        <v>71</v>
      </c>
      <c r="CH234" s="15">
        <v>2.5010000000000002E-3</v>
      </c>
      <c r="CI234" s="14">
        <v>2</v>
      </c>
      <c r="CJ234" s="79" t="s">
        <v>224</v>
      </c>
      <c r="CK234" s="79" t="s">
        <v>224</v>
      </c>
      <c r="CL234" s="79" t="s">
        <v>224</v>
      </c>
      <c r="CM234" s="79">
        <v>802.79965600000003</v>
      </c>
      <c r="CN234" s="79">
        <v>2</v>
      </c>
      <c r="CO234" s="79" t="s">
        <v>224</v>
      </c>
      <c r="CP234" s="79" t="s">
        <v>224</v>
      </c>
      <c r="CQ234" s="79" t="s">
        <v>224</v>
      </c>
      <c r="CR234" s="12" t="str">
        <f>IF(COUNTIF(Incl!A:A,Raw!J234),1, "")</f>
        <v/>
      </c>
    </row>
    <row r="235" spans="1:96" ht="13.5" thickTop="1" thickBot="1" x14ac:dyDescent="0.3">
      <c r="A235" s="13">
        <v>232</v>
      </c>
      <c r="B235" s="14">
        <v>1</v>
      </c>
      <c r="C235" s="15">
        <v>417.345777</v>
      </c>
      <c r="D235" s="14">
        <v>235</v>
      </c>
      <c r="E235" s="14">
        <v>1</v>
      </c>
      <c r="F235" s="14">
        <v>264</v>
      </c>
      <c r="G235" s="16">
        <v>66</v>
      </c>
      <c r="H235" s="14">
        <v>66</v>
      </c>
      <c r="I235" s="14">
        <v>66</v>
      </c>
      <c r="J235" s="14">
        <v>66</v>
      </c>
      <c r="K235" s="15" t="s">
        <v>69</v>
      </c>
      <c r="L235" s="15" t="s">
        <v>121</v>
      </c>
      <c r="M235" s="15" t="s">
        <v>82</v>
      </c>
      <c r="N235" s="17" t="s">
        <v>62</v>
      </c>
      <c r="O235" s="16" t="s">
        <v>62</v>
      </c>
      <c r="P235" s="17">
        <v>16</v>
      </c>
      <c r="Q235" s="17" t="s">
        <v>62</v>
      </c>
      <c r="R235" s="17" t="s">
        <v>62</v>
      </c>
      <c r="S235" s="17" t="s">
        <v>62</v>
      </c>
      <c r="T235" s="14">
        <v>16</v>
      </c>
      <c r="U235" s="16">
        <v>11</v>
      </c>
      <c r="V235" s="16">
        <v>12</v>
      </c>
      <c r="W235" s="16">
        <v>13</v>
      </c>
      <c r="X235" s="16">
        <v>13</v>
      </c>
      <c r="Y235" s="14">
        <v>68</v>
      </c>
      <c r="Z235" s="14">
        <v>74</v>
      </c>
      <c r="AA235" s="14">
        <v>80</v>
      </c>
      <c r="AB235" s="14">
        <v>80</v>
      </c>
      <c r="AC235" s="14">
        <v>2</v>
      </c>
      <c r="AD235" s="14">
        <v>3</v>
      </c>
      <c r="AE235" s="14">
        <v>5</v>
      </c>
      <c r="AF235" s="14">
        <v>13</v>
      </c>
      <c r="AG235" s="16">
        <v>13</v>
      </c>
      <c r="AH235" s="14">
        <v>19</v>
      </c>
      <c r="AI235" s="14">
        <v>31</v>
      </c>
      <c r="AJ235" s="14">
        <v>80</v>
      </c>
      <c r="AK235" s="14">
        <v>80</v>
      </c>
      <c r="AL235" s="14">
        <v>2</v>
      </c>
      <c r="AM235" s="17" t="s">
        <v>62</v>
      </c>
      <c r="AN235" s="17" t="s">
        <v>62</v>
      </c>
      <c r="AO235" s="17" t="s">
        <v>62</v>
      </c>
      <c r="AP235" s="17" t="s">
        <v>62</v>
      </c>
      <c r="AQ235" s="17" t="s">
        <v>62</v>
      </c>
      <c r="AR235" s="17" t="s">
        <v>62</v>
      </c>
      <c r="AS235" s="17" t="s">
        <v>62</v>
      </c>
      <c r="AT235" s="17" t="s">
        <v>62</v>
      </c>
      <c r="AU235" s="17" t="s">
        <v>62</v>
      </c>
      <c r="AV235" s="17" t="s">
        <v>62</v>
      </c>
      <c r="AW235" s="17" t="s">
        <v>62</v>
      </c>
      <c r="AX235" s="17" t="s">
        <v>62</v>
      </c>
      <c r="AY235" s="17" t="s">
        <v>62</v>
      </c>
      <c r="AZ235" s="17" t="s">
        <v>62</v>
      </c>
      <c r="BA235" s="17" t="s">
        <v>62</v>
      </c>
      <c r="BB235" s="17" t="s">
        <v>62</v>
      </c>
      <c r="BC235" s="17" t="s">
        <v>62</v>
      </c>
      <c r="BD235" s="17" t="s">
        <v>62</v>
      </c>
      <c r="BE235" s="17" t="s">
        <v>62</v>
      </c>
      <c r="BF235" s="17" t="s">
        <v>62</v>
      </c>
      <c r="BG235" s="17" t="s">
        <v>62</v>
      </c>
      <c r="BH235" s="17" t="s">
        <v>62</v>
      </c>
      <c r="BI235" s="17" t="s">
        <v>62</v>
      </c>
      <c r="BJ235" s="17" t="s">
        <v>62</v>
      </c>
      <c r="BK235" s="17" t="s">
        <v>62</v>
      </c>
      <c r="BL235" s="17" t="s">
        <v>62</v>
      </c>
      <c r="BM235" s="17" t="s">
        <v>62</v>
      </c>
      <c r="BN235" s="17" t="s">
        <v>62</v>
      </c>
      <c r="BO235" s="17" t="s">
        <v>62</v>
      </c>
      <c r="BP235" s="17" t="s">
        <v>62</v>
      </c>
      <c r="BQ235" s="17" t="s">
        <v>62</v>
      </c>
      <c r="BR235" s="17" t="s">
        <v>62</v>
      </c>
      <c r="BS235" s="17" t="s">
        <v>62</v>
      </c>
      <c r="BT235" s="17" t="s">
        <v>62</v>
      </c>
      <c r="BU235" s="17" t="s">
        <v>62</v>
      </c>
      <c r="BV235" s="17" t="s">
        <v>62</v>
      </c>
      <c r="BW235" s="17" t="s">
        <v>62</v>
      </c>
      <c r="BX235" s="17" t="s">
        <v>62</v>
      </c>
      <c r="BY235" s="17" t="s">
        <v>62</v>
      </c>
      <c r="BZ235" s="17" t="s">
        <v>62</v>
      </c>
      <c r="CA235" s="17" t="s">
        <v>62</v>
      </c>
      <c r="CB235" s="17" t="s">
        <v>62</v>
      </c>
      <c r="CC235" s="17" t="s">
        <v>62</v>
      </c>
      <c r="CD235" s="17" t="s">
        <v>62</v>
      </c>
      <c r="CE235" s="17" t="s">
        <v>62</v>
      </c>
      <c r="CF235" s="17" t="s">
        <v>62</v>
      </c>
      <c r="CG235" s="15" t="s">
        <v>74</v>
      </c>
      <c r="CH235" s="15">
        <v>1.305E-3</v>
      </c>
      <c r="CI235" s="14">
        <v>4</v>
      </c>
      <c r="CJ235" s="79" t="s">
        <v>224</v>
      </c>
      <c r="CK235" s="79" t="s">
        <v>224</v>
      </c>
      <c r="CL235" s="79" t="s">
        <v>224</v>
      </c>
      <c r="CM235" s="79">
        <v>417.34572800000001</v>
      </c>
      <c r="CN235" s="79">
        <v>2</v>
      </c>
      <c r="CO235" s="79" t="s">
        <v>224</v>
      </c>
      <c r="CP235" s="79" t="s">
        <v>224</v>
      </c>
      <c r="CQ235" s="79" t="s">
        <v>224</v>
      </c>
      <c r="CR235" s="12" t="str">
        <f>IF(COUNTIF(Incl!A:A,Raw!J235),1, "")</f>
        <v/>
      </c>
    </row>
    <row r="236" spans="1:96" ht="13.5" thickTop="1" thickBot="1" x14ac:dyDescent="0.3">
      <c r="A236" s="18">
        <v>233</v>
      </c>
      <c r="B236" s="19">
        <v>1</v>
      </c>
      <c r="C236" s="20">
        <v>210.98662400000001</v>
      </c>
      <c r="D236" s="19">
        <v>236</v>
      </c>
      <c r="E236" s="19">
        <v>1</v>
      </c>
      <c r="F236" s="19">
        <v>265</v>
      </c>
      <c r="G236" s="21">
        <v>251</v>
      </c>
      <c r="H236" s="19">
        <v>251</v>
      </c>
      <c r="I236" s="19">
        <v>251</v>
      </c>
      <c r="J236" s="19">
        <v>251</v>
      </c>
      <c r="K236" s="20" t="s">
        <v>119</v>
      </c>
      <c r="L236" s="20" t="s">
        <v>82</v>
      </c>
      <c r="M236" s="20" t="s">
        <v>60</v>
      </c>
      <c r="N236" s="22" t="s">
        <v>62</v>
      </c>
      <c r="O236" s="21" t="s">
        <v>62</v>
      </c>
      <c r="P236" s="22" t="s">
        <v>62</v>
      </c>
      <c r="Q236" s="22" t="s">
        <v>62</v>
      </c>
      <c r="R236" s="22" t="s">
        <v>62</v>
      </c>
      <c r="S236" s="22" t="s">
        <v>62</v>
      </c>
      <c r="T236" s="19">
        <v>0</v>
      </c>
      <c r="U236" s="21" t="s">
        <v>62</v>
      </c>
      <c r="V236" s="21" t="s">
        <v>62</v>
      </c>
      <c r="W236" s="21" t="s">
        <v>62</v>
      </c>
      <c r="X236" s="21" t="s">
        <v>62</v>
      </c>
      <c r="Y236" s="19">
        <v>0</v>
      </c>
      <c r="Z236" s="19">
        <v>0</v>
      </c>
      <c r="AA236" s="19">
        <v>0</v>
      </c>
      <c r="AB236" s="19">
        <v>0</v>
      </c>
      <c r="AC236" s="19">
        <v>0</v>
      </c>
      <c r="AD236" s="19">
        <v>0</v>
      </c>
      <c r="AE236" s="19">
        <v>0</v>
      </c>
      <c r="AF236" s="19">
        <v>0</v>
      </c>
      <c r="AG236" s="21" t="s">
        <v>62</v>
      </c>
      <c r="AH236" s="19">
        <v>0</v>
      </c>
      <c r="AI236" s="19">
        <v>0</v>
      </c>
      <c r="AJ236" s="19">
        <v>0</v>
      </c>
      <c r="AK236" s="19">
        <v>0</v>
      </c>
      <c r="AL236" s="19">
        <v>0</v>
      </c>
      <c r="AM236" s="22">
        <v>0</v>
      </c>
      <c r="AN236" s="22">
        <v>0</v>
      </c>
      <c r="AO236" s="22">
        <v>0</v>
      </c>
      <c r="AP236" s="22">
        <v>0</v>
      </c>
      <c r="AQ236" s="22">
        <v>0</v>
      </c>
      <c r="AR236" s="22">
        <v>0</v>
      </c>
      <c r="AS236" s="22">
        <v>0</v>
      </c>
      <c r="AT236" s="22">
        <v>0</v>
      </c>
      <c r="AU236" s="22">
        <v>0</v>
      </c>
      <c r="AV236" s="22">
        <v>0</v>
      </c>
      <c r="AW236" s="22">
        <v>0</v>
      </c>
      <c r="AX236" s="22">
        <v>0</v>
      </c>
      <c r="AY236" s="22">
        <v>0</v>
      </c>
      <c r="AZ236" s="22">
        <v>0</v>
      </c>
      <c r="BA236" s="22">
        <v>0</v>
      </c>
      <c r="BB236" s="22">
        <v>0</v>
      </c>
      <c r="BC236" s="22">
        <v>0</v>
      </c>
      <c r="BD236" s="22">
        <v>0</v>
      </c>
      <c r="BE236" s="22">
        <v>0</v>
      </c>
      <c r="BF236" s="22">
        <v>0</v>
      </c>
      <c r="BG236" s="22">
        <v>0</v>
      </c>
      <c r="BH236" s="22">
        <v>0</v>
      </c>
      <c r="BI236" s="22" t="s">
        <v>77</v>
      </c>
      <c r="BJ236" s="22">
        <v>0</v>
      </c>
      <c r="BK236" s="22">
        <v>0</v>
      </c>
      <c r="BL236" s="22">
        <v>0</v>
      </c>
      <c r="BM236" s="22">
        <v>0</v>
      </c>
      <c r="BN236" s="22">
        <v>0</v>
      </c>
      <c r="BO236" s="22">
        <v>0</v>
      </c>
      <c r="BP236" s="22">
        <v>0</v>
      </c>
      <c r="BQ236" s="22">
        <v>0</v>
      </c>
      <c r="BR236" s="22">
        <v>0</v>
      </c>
      <c r="BS236" s="22">
        <v>0</v>
      </c>
      <c r="BT236" s="22">
        <v>0</v>
      </c>
      <c r="BU236" s="22">
        <v>0</v>
      </c>
      <c r="BV236" s="22">
        <v>0</v>
      </c>
      <c r="BW236" s="22">
        <v>0</v>
      </c>
      <c r="BX236" s="22">
        <v>0</v>
      </c>
      <c r="BY236" s="22">
        <v>0</v>
      </c>
      <c r="BZ236" s="22">
        <v>0</v>
      </c>
      <c r="CA236" s="22">
        <v>0</v>
      </c>
      <c r="CB236" s="22">
        <v>0</v>
      </c>
      <c r="CC236" s="22">
        <v>0</v>
      </c>
      <c r="CD236" s="22">
        <v>0</v>
      </c>
      <c r="CE236" s="22">
        <v>0</v>
      </c>
      <c r="CF236" s="22" t="s">
        <v>77</v>
      </c>
      <c r="CG236" s="20" t="s">
        <v>66</v>
      </c>
      <c r="CH236" s="20">
        <v>6.8199999999999999E-4</v>
      </c>
      <c r="CI236" s="19">
        <v>0</v>
      </c>
      <c r="CJ236" s="78" t="s">
        <v>224</v>
      </c>
      <c r="CK236" s="78" t="s">
        <v>224</v>
      </c>
      <c r="CL236" s="78" t="s">
        <v>224</v>
      </c>
      <c r="CM236" s="78">
        <v>210.98671999999999</v>
      </c>
      <c r="CN236" s="78">
        <v>1</v>
      </c>
      <c r="CO236" s="78" t="s">
        <v>224</v>
      </c>
      <c r="CP236" s="78" t="s">
        <v>224</v>
      </c>
      <c r="CQ236" s="78" t="s">
        <v>224</v>
      </c>
      <c r="CR236" s="12" t="str">
        <f>IF(COUNTIF(Incl!A:A,Raw!J236),1, "")</f>
        <v/>
      </c>
    </row>
    <row r="237" spans="1:96" ht="13.5" thickTop="1" thickBot="1" x14ac:dyDescent="0.3">
      <c r="A237" s="18">
        <v>234</v>
      </c>
      <c r="B237" s="19">
        <v>1</v>
      </c>
      <c r="C237" s="20">
        <v>668.51758600000005</v>
      </c>
      <c r="D237" s="19">
        <v>237</v>
      </c>
      <c r="E237" s="19">
        <v>1</v>
      </c>
      <c r="F237" s="19">
        <v>266</v>
      </c>
      <c r="G237" s="21">
        <v>134</v>
      </c>
      <c r="H237" s="19">
        <v>134</v>
      </c>
      <c r="I237" s="19">
        <v>134</v>
      </c>
      <c r="J237" s="19">
        <v>134</v>
      </c>
      <c r="K237" s="20" t="s">
        <v>60</v>
      </c>
      <c r="L237" s="20" t="s">
        <v>119</v>
      </c>
      <c r="M237" s="20" t="s">
        <v>121</v>
      </c>
      <c r="N237" s="22" t="s">
        <v>62</v>
      </c>
      <c r="O237" s="21" t="s">
        <v>62</v>
      </c>
      <c r="P237" s="22" t="s">
        <v>62</v>
      </c>
      <c r="Q237" s="22" t="s">
        <v>62</v>
      </c>
      <c r="R237" s="22" t="s">
        <v>62</v>
      </c>
      <c r="S237" s="22" t="s">
        <v>62</v>
      </c>
      <c r="T237" s="19">
        <v>0</v>
      </c>
      <c r="U237" s="21" t="s">
        <v>62</v>
      </c>
      <c r="V237" s="21" t="s">
        <v>62</v>
      </c>
      <c r="W237" s="21" t="s">
        <v>62</v>
      </c>
      <c r="X237" s="21" t="s">
        <v>62</v>
      </c>
      <c r="Y237" s="19">
        <v>0</v>
      </c>
      <c r="Z237" s="19">
        <v>0</v>
      </c>
      <c r="AA237" s="19">
        <v>0</v>
      </c>
      <c r="AB237" s="19">
        <v>0</v>
      </c>
      <c r="AC237" s="19">
        <v>0</v>
      </c>
      <c r="AD237" s="19">
        <v>0</v>
      </c>
      <c r="AE237" s="19">
        <v>0</v>
      </c>
      <c r="AF237" s="19">
        <v>0</v>
      </c>
      <c r="AG237" s="21" t="s">
        <v>62</v>
      </c>
      <c r="AH237" s="19">
        <v>0</v>
      </c>
      <c r="AI237" s="19">
        <v>0</v>
      </c>
      <c r="AJ237" s="19">
        <v>0</v>
      </c>
      <c r="AK237" s="19">
        <v>0</v>
      </c>
      <c r="AL237" s="19">
        <v>0</v>
      </c>
      <c r="AM237" s="22">
        <v>0</v>
      </c>
      <c r="AN237" s="22">
        <v>0</v>
      </c>
      <c r="AO237" s="22">
        <v>0</v>
      </c>
      <c r="AP237" s="22">
        <v>0</v>
      </c>
      <c r="AQ237" s="22">
        <v>0</v>
      </c>
      <c r="AR237" s="22">
        <v>0</v>
      </c>
      <c r="AS237" s="22">
        <v>0</v>
      </c>
      <c r="AT237" s="22">
        <v>0</v>
      </c>
      <c r="AU237" s="22">
        <v>0</v>
      </c>
      <c r="AV237" s="22">
        <v>0</v>
      </c>
      <c r="AW237" s="22">
        <v>0</v>
      </c>
      <c r="AX237" s="22">
        <v>0</v>
      </c>
      <c r="AY237" s="22">
        <v>0</v>
      </c>
      <c r="AZ237" s="22">
        <v>0</v>
      </c>
      <c r="BA237" s="22">
        <v>0</v>
      </c>
      <c r="BB237" s="22">
        <v>0</v>
      </c>
      <c r="BC237" s="22">
        <v>0</v>
      </c>
      <c r="BD237" s="22">
        <v>0</v>
      </c>
      <c r="BE237" s="22">
        <v>0</v>
      </c>
      <c r="BF237" s="22">
        <v>0</v>
      </c>
      <c r="BG237" s="22">
        <v>0</v>
      </c>
      <c r="BH237" s="22">
        <v>0</v>
      </c>
      <c r="BI237" s="22" t="s">
        <v>77</v>
      </c>
      <c r="BJ237" s="22">
        <v>0</v>
      </c>
      <c r="BK237" s="22">
        <v>0</v>
      </c>
      <c r="BL237" s="22">
        <v>0</v>
      </c>
      <c r="BM237" s="22">
        <v>0</v>
      </c>
      <c r="BN237" s="22">
        <v>0</v>
      </c>
      <c r="BO237" s="22">
        <v>0</v>
      </c>
      <c r="BP237" s="22">
        <v>0</v>
      </c>
      <c r="BQ237" s="22">
        <v>0</v>
      </c>
      <c r="BR237" s="22">
        <v>0</v>
      </c>
      <c r="BS237" s="22">
        <v>0</v>
      </c>
      <c r="BT237" s="22">
        <v>0</v>
      </c>
      <c r="BU237" s="22">
        <v>0</v>
      </c>
      <c r="BV237" s="22">
        <v>0</v>
      </c>
      <c r="BW237" s="22">
        <v>0</v>
      </c>
      <c r="BX237" s="22">
        <v>0</v>
      </c>
      <c r="BY237" s="22">
        <v>0</v>
      </c>
      <c r="BZ237" s="22">
        <v>0</v>
      </c>
      <c r="CA237" s="22">
        <v>0</v>
      </c>
      <c r="CB237" s="22">
        <v>0</v>
      </c>
      <c r="CC237" s="22">
        <v>0</v>
      </c>
      <c r="CD237" s="22">
        <v>0</v>
      </c>
      <c r="CE237" s="22">
        <v>0</v>
      </c>
      <c r="CF237" s="22" t="s">
        <v>77</v>
      </c>
      <c r="CG237" s="20" t="s">
        <v>71</v>
      </c>
      <c r="CH237" s="20">
        <v>2.0070000000000001E-3</v>
      </c>
      <c r="CI237" s="19">
        <v>0</v>
      </c>
      <c r="CJ237" s="78" t="s">
        <v>224</v>
      </c>
      <c r="CK237" s="78" t="s">
        <v>224</v>
      </c>
      <c r="CL237" s="78" t="s">
        <v>224</v>
      </c>
      <c r="CM237" s="78">
        <v>668.51759100000004</v>
      </c>
      <c r="CN237" s="78">
        <v>1</v>
      </c>
      <c r="CO237" s="78" t="s">
        <v>224</v>
      </c>
      <c r="CP237" s="78" t="s">
        <v>224</v>
      </c>
      <c r="CQ237" s="78" t="s">
        <v>224</v>
      </c>
      <c r="CR237" s="12" t="str">
        <f>IF(COUNTIF(Incl!A:A,Raw!J237),1, "")</f>
        <v/>
      </c>
    </row>
    <row r="238" spans="1:96" ht="13.5" thickTop="1" thickBot="1" x14ac:dyDescent="0.3">
      <c r="A238" s="13">
        <v>235</v>
      </c>
      <c r="B238" s="14">
        <v>1</v>
      </c>
      <c r="C238" s="15">
        <v>326.37863900000002</v>
      </c>
      <c r="D238" s="14">
        <v>238</v>
      </c>
      <c r="E238" s="14">
        <v>1</v>
      </c>
      <c r="F238" s="14">
        <v>267</v>
      </c>
      <c r="G238" s="16">
        <v>256</v>
      </c>
      <c r="H238" s="14">
        <v>256</v>
      </c>
      <c r="I238" s="14">
        <v>256</v>
      </c>
      <c r="J238" s="14">
        <v>256</v>
      </c>
      <c r="K238" s="15" t="s">
        <v>121</v>
      </c>
      <c r="L238" s="15" t="s">
        <v>60</v>
      </c>
      <c r="M238" s="15" t="s">
        <v>69</v>
      </c>
      <c r="N238" s="17">
        <v>15</v>
      </c>
      <c r="O238" s="16" t="s">
        <v>62</v>
      </c>
      <c r="P238" s="17" t="s">
        <v>62</v>
      </c>
      <c r="Q238" s="17" t="s">
        <v>62</v>
      </c>
      <c r="R238" s="17" t="s">
        <v>62</v>
      </c>
      <c r="S238" s="17" t="s">
        <v>62</v>
      </c>
      <c r="T238" s="14">
        <v>15</v>
      </c>
      <c r="U238" s="16" t="s">
        <v>62</v>
      </c>
      <c r="V238" s="16" t="s">
        <v>62</v>
      </c>
      <c r="W238" s="16" t="s">
        <v>62</v>
      </c>
      <c r="X238" s="16" t="s">
        <v>62</v>
      </c>
      <c r="Y238" s="14">
        <v>0</v>
      </c>
      <c r="Z238" s="14">
        <v>0</v>
      </c>
      <c r="AA238" s="14">
        <v>0</v>
      </c>
      <c r="AB238" s="14">
        <v>0</v>
      </c>
      <c r="AC238" s="14">
        <v>0</v>
      </c>
      <c r="AD238" s="14">
        <v>0</v>
      </c>
      <c r="AE238" s="14">
        <v>0</v>
      </c>
      <c r="AF238" s="14">
        <v>0</v>
      </c>
      <c r="AG238" s="16" t="s">
        <v>62</v>
      </c>
      <c r="AH238" s="14">
        <v>0</v>
      </c>
      <c r="AI238" s="14">
        <v>0</v>
      </c>
      <c r="AJ238" s="14">
        <v>0</v>
      </c>
      <c r="AK238" s="14">
        <v>0</v>
      </c>
      <c r="AL238" s="14">
        <v>0</v>
      </c>
      <c r="AM238" s="17">
        <v>0</v>
      </c>
      <c r="AN238" s="17">
        <v>0</v>
      </c>
      <c r="AO238" s="17">
        <v>0</v>
      </c>
      <c r="AP238" s="17">
        <v>0</v>
      </c>
      <c r="AQ238" s="17">
        <v>0</v>
      </c>
      <c r="AR238" s="17">
        <v>0</v>
      </c>
      <c r="AS238" s="17">
        <v>0</v>
      </c>
      <c r="AT238" s="17">
        <v>0</v>
      </c>
      <c r="AU238" s="17">
        <v>0</v>
      </c>
      <c r="AV238" s="17">
        <v>0</v>
      </c>
      <c r="AW238" s="17">
        <v>0</v>
      </c>
      <c r="AX238" s="17">
        <v>0</v>
      </c>
      <c r="AY238" s="17">
        <v>0</v>
      </c>
      <c r="AZ238" s="17">
        <v>0</v>
      </c>
      <c r="BA238" s="17">
        <v>0</v>
      </c>
      <c r="BB238" s="17">
        <v>0</v>
      </c>
      <c r="BC238" s="17">
        <v>0</v>
      </c>
      <c r="BD238" s="17">
        <v>0</v>
      </c>
      <c r="BE238" s="17">
        <v>0</v>
      </c>
      <c r="BF238" s="17">
        <v>0</v>
      </c>
      <c r="BG238" s="17">
        <v>0</v>
      </c>
      <c r="BH238" s="17">
        <v>0</v>
      </c>
      <c r="BI238" s="17" t="s">
        <v>77</v>
      </c>
      <c r="BJ238" s="17">
        <v>0</v>
      </c>
      <c r="BK238" s="17">
        <v>2</v>
      </c>
      <c r="BL238" s="17">
        <v>1</v>
      </c>
      <c r="BM238" s="17">
        <v>0</v>
      </c>
      <c r="BN238" s="17">
        <v>0</v>
      </c>
      <c r="BO238" s="17">
        <v>0</v>
      </c>
      <c r="BP238" s="17">
        <v>0</v>
      </c>
      <c r="BQ238" s="17">
        <v>0</v>
      </c>
      <c r="BR238" s="17">
        <v>0</v>
      </c>
      <c r="BS238" s="17">
        <v>0</v>
      </c>
      <c r="BT238" s="17">
        <v>1</v>
      </c>
      <c r="BU238" s="17">
        <v>1</v>
      </c>
      <c r="BV238" s="17">
        <v>0</v>
      </c>
      <c r="BW238" s="17">
        <v>0</v>
      </c>
      <c r="BX238" s="17">
        <v>0</v>
      </c>
      <c r="BY238" s="17">
        <v>0</v>
      </c>
      <c r="BZ238" s="17">
        <v>0</v>
      </c>
      <c r="CA238" s="17">
        <v>0</v>
      </c>
      <c r="CB238" s="17">
        <v>0</v>
      </c>
      <c r="CC238" s="17">
        <v>0</v>
      </c>
      <c r="CD238" s="17">
        <v>2</v>
      </c>
      <c r="CE238" s="17">
        <v>0.1</v>
      </c>
      <c r="CF238" s="17" t="s">
        <v>77</v>
      </c>
      <c r="CG238" s="15" t="s">
        <v>64</v>
      </c>
      <c r="CH238" s="15">
        <v>1.0219999999999999E-3</v>
      </c>
      <c r="CI238" s="14">
        <v>0</v>
      </c>
      <c r="CJ238" s="79" t="s">
        <v>224</v>
      </c>
      <c r="CK238" s="79" t="s">
        <v>224</v>
      </c>
      <c r="CL238" s="79" t="s">
        <v>224</v>
      </c>
      <c r="CM238" s="79">
        <v>326.37901799999997</v>
      </c>
      <c r="CN238" s="79">
        <v>1</v>
      </c>
      <c r="CO238" s="79" t="s">
        <v>224</v>
      </c>
      <c r="CP238" s="79" t="s">
        <v>224</v>
      </c>
      <c r="CQ238" s="79" t="s">
        <v>224</v>
      </c>
      <c r="CR238" s="12" t="str">
        <f>IF(COUNTIF(Incl!A:A,Raw!J238),1, "")</f>
        <v/>
      </c>
    </row>
    <row r="239" spans="1:96" ht="13.5" thickTop="1" thickBot="1" x14ac:dyDescent="0.3">
      <c r="A239" s="13">
        <v>236</v>
      </c>
      <c r="B239" s="14">
        <v>1</v>
      </c>
      <c r="C239" s="15">
        <v>657.28813000000002</v>
      </c>
      <c r="D239" s="14">
        <v>239</v>
      </c>
      <c r="E239" s="14">
        <v>2</v>
      </c>
      <c r="F239" s="14">
        <v>268</v>
      </c>
      <c r="G239" s="16">
        <v>135</v>
      </c>
      <c r="H239" s="14">
        <v>135</v>
      </c>
      <c r="I239" s="14">
        <v>135</v>
      </c>
      <c r="J239" s="14">
        <v>135</v>
      </c>
      <c r="K239" s="15" t="s">
        <v>60</v>
      </c>
      <c r="L239" s="15" t="s">
        <v>121</v>
      </c>
      <c r="M239" s="15" t="s">
        <v>119</v>
      </c>
      <c r="N239" s="17" t="s">
        <v>62</v>
      </c>
      <c r="O239" s="16" t="s">
        <v>62</v>
      </c>
      <c r="P239" s="17" t="s">
        <v>62</v>
      </c>
      <c r="Q239" s="17" t="s">
        <v>62</v>
      </c>
      <c r="R239" s="16" t="s">
        <v>62</v>
      </c>
      <c r="S239" s="17" t="s">
        <v>62</v>
      </c>
      <c r="T239" s="14">
        <v>0</v>
      </c>
      <c r="U239" s="16" t="s">
        <v>62</v>
      </c>
      <c r="V239" s="16" t="s">
        <v>62</v>
      </c>
      <c r="W239" s="16" t="s">
        <v>62</v>
      </c>
      <c r="X239" s="16" t="s">
        <v>62</v>
      </c>
      <c r="Y239" s="14">
        <v>0</v>
      </c>
      <c r="Z239" s="14">
        <v>0</v>
      </c>
      <c r="AA239" s="14">
        <v>0</v>
      </c>
      <c r="AB239" s="14">
        <v>0</v>
      </c>
      <c r="AC239" s="14">
        <v>0</v>
      </c>
      <c r="AD239" s="14">
        <v>0</v>
      </c>
      <c r="AE239" s="14">
        <v>0</v>
      </c>
      <c r="AF239" s="14">
        <v>0</v>
      </c>
      <c r="AG239" s="16" t="s">
        <v>62</v>
      </c>
      <c r="AH239" s="14">
        <v>0</v>
      </c>
      <c r="AI239" s="14">
        <v>0</v>
      </c>
      <c r="AJ239" s="14">
        <v>0</v>
      </c>
      <c r="AK239" s="14">
        <v>0</v>
      </c>
      <c r="AL239" s="14">
        <v>0</v>
      </c>
      <c r="AM239" s="17">
        <v>0</v>
      </c>
      <c r="AN239" s="17">
        <v>0</v>
      </c>
      <c r="AO239" s="17">
        <v>0</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t="s">
        <v>77</v>
      </c>
      <c r="BJ239" s="17">
        <v>0</v>
      </c>
      <c r="BK239" s="17">
        <v>0</v>
      </c>
      <c r="BL239" s="17">
        <v>0</v>
      </c>
      <c r="BM239" s="17">
        <v>0</v>
      </c>
      <c r="BN239" s="17">
        <v>0</v>
      </c>
      <c r="BO239" s="17">
        <v>0</v>
      </c>
      <c r="BP239" s="17">
        <v>0</v>
      </c>
      <c r="BQ239" s="17">
        <v>0</v>
      </c>
      <c r="BR239" s="17">
        <v>0</v>
      </c>
      <c r="BS239" s="17">
        <v>0</v>
      </c>
      <c r="BT239" s="17">
        <v>0</v>
      </c>
      <c r="BU239" s="17">
        <v>0</v>
      </c>
      <c r="BV239" s="17">
        <v>0</v>
      </c>
      <c r="BW239" s="17">
        <v>0</v>
      </c>
      <c r="BX239" s="17">
        <v>0</v>
      </c>
      <c r="BY239" s="17">
        <v>0</v>
      </c>
      <c r="BZ239" s="17">
        <v>0</v>
      </c>
      <c r="CA239" s="17">
        <v>0</v>
      </c>
      <c r="CB239" s="17">
        <v>0</v>
      </c>
      <c r="CC239" s="17">
        <v>0</v>
      </c>
      <c r="CD239" s="17">
        <v>0</v>
      </c>
      <c r="CE239" s="17">
        <v>0</v>
      </c>
      <c r="CF239" s="17" t="s">
        <v>77</v>
      </c>
      <c r="CG239" s="15" t="s">
        <v>74</v>
      </c>
      <c r="CH239" s="15">
        <v>1.9680000000000001E-3</v>
      </c>
      <c r="CI239" s="14">
        <v>0</v>
      </c>
      <c r="CJ239" s="79" t="s">
        <v>224</v>
      </c>
      <c r="CK239" s="79" t="s">
        <v>224</v>
      </c>
      <c r="CL239" s="79" t="s">
        <v>224</v>
      </c>
      <c r="CM239" s="79">
        <v>657.28808800000002</v>
      </c>
      <c r="CN239" s="79">
        <v>1</v>
      </c>
      <c r="CO239" s="79" t="s">
        <v>224</v>
      </c>
      <c r="CP239" s="79" t="s">
        <v>224</v>
      </c>
      <c r="CQ239" s="79" t="s">
        <v>224</v>
      </c>
      <c r="CR239" s="12" t="str">
        <f>IF(COUNTIF(Incl!A:A,Raw!J239),1, "")</f>
        <v/>
      </c>
    </row>
    <row r="240" spans="1:96" ht="13.5" thickTop="1" thickBot="1" x14ac:dyDescent="0.3">
      <c r="A240" s="18">
        <v>237</v>
      </c>
      <c r="B240" s="19">
        <v>1</v>
      </c>
      <c r="C240" s="20">
        <v>609.74777500000005</v>
      </c>
      <c r="D240" s="19">
        <v>240</v>
      </c>
      <c r="E240" s="19">
        <v>2</v>
      </c>
      <c r="F240" s="19">
        <v>269</v>
      </c>
      <c r="G240" s="21">
        <v>151</v>
      </c>
      <c r="H240" s="19">
        <v>151</v>
      </c>
      <c r="I240" s="19">
        <v>151</v>
      </c>
      <c r="J240" s="19">
        <v>151</v>
      </c>
      <c r="K240" s="20" t="s">
        <v>122</v>
      </c>
      <c r="L240" s="20" t="s">
        <v>123</v>
      </c>
      <c r="M240" s="20" t="s">
        <v>121</v>
      </c>
      <c r="N240" s="22" t="s">
        <v>62</v>
      </c>
      <c r="O240" s="21">
        <v>9</v>
      </c>
      <c r="P240" s="22" t="s">
        <v>62</v>
      </c>
      <c r="Q240" s="22" t="s">
        <v>62</v>
      </c>
      <c r="R240" s="22" t="s">
        <v>62</v>
      </c>
      <c r="S240" s="22" t="s">
        <v>62</v>
      </c>
      <c r="T240" s="19">
        <v>9</v>
      </c>
      <c r="U240" s="21">
        <v>7</v>
      </c>
      <c r="V240" s="21">
        <v>6</v>
      </c>
      <c r="W240" s="21">
        <v>5</v>
      </c>
      <c r="X240" s="21" t="s">
        <v>62</v>
      </c>
      <c r="Y240" s="19">
        <v>75</v>
      </c>
      <c r="Z240" s="19">
        <v>65</v>
      </c>
      <c r="AA240" s="19">
        <v>54</v>
      </c>
      <c r="AB240" s="19">
        <v>0</v>
      </c>
      <c r="AC240" s="19">
        <v>1</v>
      </c>
      <c r="AD240" s="19">
        <v>5</v>
      </c>
      <c r="AE240" s="19">
        <v>5</v>
      </c>
      <c r="AF240" s="19">
        <v>9</v>
      </c>
      <c r="AG240" s="21" t="s">
        <v>62</v>
      </c>
      <c r="AH240" s="19">
        <v>54</v>
      </c>
      <c r="AI240" s="19">
        <v>54</v>
      </c>
      <c r="AJ240" s="19">
        <v>97</v>
      </c>
      <c r="AK240" s="19">
        <v>0</v>
      </c>
      <c r="AL240" s="19">
        <v>1</v>
      </c>
      <c r="AM240" s="22">
        <v>7</v>
      </c>
      <c r="AN240" s="22">
        <v>7</v>
      </c>
      <c r="AO240" s="22">
        <v>7</v>
      </c>
      <c r="AP240" s="22">
        <v>6</v>
      </c>
      <c r="AQ240" s="22">
        <v>6</v>
      </c>
      <c r="AR240" s="22">
        <v>5</v>
      </c>
      <c r="AS240" s="22">
        <v>5</v>
      </c>
      <c r="AT240" s="22">
        <v>5</v>
      </c>
      <c r="AU240" s="22">
        <v>5</v>
      </c>
      <c r="AV240" s="22">
        <v>6</v>
      </c>
      <c r="AW240" s="22">
        <v>1</v>
      </c>
      <c r="AX240" s="22">
        <v>0</v>
      </c>
      <c r="AY240" s="22">
        <v>1</v>
      </c>
      <c r="AZ240" s="22">
        <v>0</v>
      </c>
      <c r="BA240" s="22">
        <v>1</v>
      </c>
      <c r="BB240" s="22">
        <v>0</v>
      </c>
      <c r="BC240" s="22">
        <v>0</v>
      </c>
      <c r="BD240" s="22">
        <v>0</v>
      </c>
      <c r="BE240" s="22">
        <v>0</v>
      </c>
      <c r="BF240" s="22">
        <v>5</v>
      </c>
      <c r="BG240" s="22">
        <v>8</v>
      </c>
      <c r="BH240" s="22">
        <v>0.9</v>
      </c>
      <c r="BI240" s="22" t="s">
        <v>77</v>
      </c>
      <c r="BJ240" s="22">
        <v>5</v>
      </c>
      <c r="BK240" s="22">
        <v>5</v>
      </c>
      <c r="BL240" s="22">
        <v>4</v>
      </c>
      <c r="BM240" s="22">
        <v>5</v>
      </c>
      <c r="BN240" s="22">
        <v>5</v>
      </c>
      <c r="BO240" s="22">
        <v>5</v>
      </c>
      <c r="BP240" s="22">
        <v>5</v>
      </c>
      <c r="BQ240" s="22">
        <v>8</v>
      </c>
      <c r="BR240" s="22">
        <v>9</v>
      </c>
      <c r="BS240" s="22">
        <v>9</v>
      </c>
      <c r="BT240" s="22">
        <v>0</v>
      </c>
      <c r="BU240" s="22">
        <v>6</v>
      </c>
      <c r="BV240" s="22">
        <v>5</v>
      </c>
      <c r="BW240" s="22">
        <v>2</v>
      </c>
      <c r="BX240" s="22">
        <v>1</v>
      </c>
      <c r="BY240" s="22">
        <v>1</v>
      </c>
      <c r="BZ240" s="22">
        <v>2</v>
      </c>
      <c r="CA240" s="22">
        <v>0</v>
      </c>
      <c r="CB240" s="22">
        <v>0</v>
      </c>
      <c r="CC240" s="22">
        <v>0</v>
      </c>
      <c r="CD240" s="22">
        <v>17</v>
      </c>
      <c r="CE240" s="22">
        <v>1.8</v>
      </c>
      <c r="CF240" s="22" t="s">
        <v>68</v>
      </c>
      <c r="CG240" s="20" t="s">
        <v>71</v>
      </c>
      <c r="CH240" s="20">
        <v>1.493E-3</v>
      </c>
      <c r="CI240" s="19">
        <v>2</v>
      </c>
      <c r="CJ240" s="78" t="s">
        <v>224</v>
      </c>
      <c r="CK240" s="78" t="s">
        <v>224</v>
      </c>
      <c r="CL240" s="78" t="s">
        <v>224</v>
      </c>
      <c r="CM240" s="78">
        <v>609.74794999999995</v>
      </c>
      <c r="CN240" s="78">
        <v>1</v>
      </c>
      <c r="CO240" s="78" t="s">
        <v>224</v>
      </c>
      <c r="CP240" s="78" t="s">
        <v>224</v>
      </c>
      <c r="CQ240" s="78" t="s">
        <v>224</v>
      </c>
      <c r="CR240" s="12" t="str">
        <f>IF(COUNTIF(Incl!A:A,Raw!J240),1, "")</f>
        <v/>
      </c>
    </row>
    <row r="241" spans="1:96" ht="13.5" thickTop="1" thickBot="1" x14ac:dyDescent="0.3">
      <c r="A241" s="18">
        <v>238</v>
      </c>
      <c r="B241" s="19">
        <v>1</v>
      </c>
      <c r="C241" s="20">
        <v>199.40560099999999</v>
      </c>
      <c r="D241" s="19">
        <v>241</v>
      </c>
      <c r="E241" s="19">
        <v>1</v>
      </c>
      <c r="F241" s="19">
        <v>270</v>
      </c>
      <c r="G241" s="21">
        <v>258</v>
      </c>
      <c r="H241" s="19">
        <v>258</v>
      </c>
      <c r="I241" s="19">
        <v>258</v>
      </c>
      <c r="J241" s="19">
        <v>258</v>
      </c>
      <c r="K241" s="20" t="s">
        <v>121</v>
      </c>
      <c r="L241" s="20" t="s">
        <v>122</v>
      </c>
      <c r="M241" s="20" t="s">
        <v>60</v>
      </c>
      <c r="N241" s="22">
        <v>9</v>
      </c>
      <c r="O241" s="21" t="s">
        <v>62</v>
      </c>
      <c r="P241" s="22" t="s">
        <v>62</v>
      </c>
      <c r="Q241" s="22" t="s">
        <v>62</v>
      </c>
      <c r="R241" s="22" t="s">
        <v>62</v>
      </c>
      <c r="S241" s="22" t="s">
        <v>62</v>
      </c>
      <c r="T241" s="19">
        <v>9</v>
      </c>
      <c r="U241" s="21">
        <v>2</v>
      </c>
      <c r="V241" s="21" t="s">
        <v>62</v>
      </c>
      <c r="W241" s="21" t="s">
        <v>62</v>
      </c>
      <c r="X241" s="22" t="s">
        <v>62</v>
      </c>
      <c r="Y241" s="19">
        <v>22</v>
      </c>
      <c r="Z241" s="19">
        <v>0</v>
      </c>
      <c r="AA241" s="19">
        <v>0</v>
      </c>
      <c r="AB241" s="19">
        <v>0</v>
      </c>
      <c r="AC241" s="19">
        <v>0</v>
      </c>
      <c r="AD241" s="19">
        <v>4</v>
      </c>
      <c r="AE241" s="19">
        <v>0</v>
      </c>
      <c r="AF241" s="19">
        <v>0</v>
      </c>
      <c r="AG241" s="22" t="s">
        <v>62</v>
      </c>
      <c r="AH241" s="19">
        <v>45</v>
      </c>
      <c r="AI241" s="19">
        <v>0</v>
      </c>
      <c r="AJ241" s="19">
        <v>0</v>
      </c>
      <c r="AK241" s="19">
        <v>0</v>
      </c>
      <c r="AL241" s="19">
        <v>0</v>
      </c>
      <c r="AM241" s="21">
        <v>2</v>
      </c>
      <c r="AN241" s="21">
        <v>1</v>
      </c>
      <c r="AO241" s="21">
        <v>1</v>
      </c>
      <c r="AP241" s="21">
        <v>0</v>
      </c>
      <c r="AQ241" s="21">
        <v>0</v>
      </c>
      <c r="AR241" s="21">
        <v>0</v>
      </c>
      <c r="AS241" s="21">
        <v>0</v>
      </c>
      <c r="AT241" s="21">
        <v>0</v>
      </c>
      <c r="AU241" s="21">
        <v>0</v>
      </c>
      <c r="AV241" s="21">
        <v>0</v>
      </c>
      <c r="AW241" s="21">
        <v>1</v>
      </c>
      <c r="AX241" s="21">
        <v>0</v>
      </c>
      <c r="AY241" s="21">
        <v>1</v>
      </c>
      <c r="AZ241" s="21">
        <v>0</v>
      </c>
      <c r="BA241" s="21">
        <v>0</v>
      </c>
      <c r="BB241" s="21">
        <v>0</v>
      </c>
      <c r="BC241" s="21">
        <v>0</v>
      </c>
      <c r="BD241" s="21">
        <v>0</v>
      </c>
      <c r="BE241" s="21">
        <v>0</v>
      </c>
      <c r="BF241" s="21">
        <v>0</v>
      </c>
      <c r="BG241" s="21">
        <v>2</v>
      </c>
      <c r="BH241" s="21">
        <v>0.2</v>
      </c>
      <c r="BI241" s="20" t="s">
        <v>77</v>
      </c>
      <c r="BJ241" s="21">
        <v>4</v>
      </c>
      <c r="BK241" s="21">
        <v>2</v>
      </c>
      <c r="BL241" s="21">
        <v>2</v>
      </c>
      <c r="BM241" s="21">
        <v>0</v>
      </c>
      <c r="BN241" s="21">
        <v>0</v>
      </c>
      <c r="BO241" s="21">
        <v>0</v>
      </c>
      <c r="BP241" s="21">
        <v>0</v>
      </c>
      <c r="BQ241" s="21">
        <v>0</v>
      </c>
      <c r="BR241" s="21">
        <v>0</v>
      </c>
      <c r="BS241" s="21">
        <v>0</v>
      </c>
      <c r="BT241" s="21">
        <v>3</v>
      </c>
      <c r="BU241" s="21">
        <v>1</v>
      </c>
      <c r="BV241" s="21">
        <v>1</v>
      </c>
      <c r="BW241" s="21">
        <v>0</v>
      </c>
      <c r="BX241" s="21">
        <v>0</v>
      </c>
      <c r="BY241" s="21">
        <v>0</v>
      </c>
      <c r="BZ241" s="21">
        <v>0</v>
      </c>
      <c r="CA241" s="21">
        <v>0</v>
      </c>
      <c r="CB241" s="21">
        <v>0</v>
      </c>
      <c r="CC241" s="21">
        <v>0</v>
      </c>
      <c r="CD241" s="21">
        <v>5</v>
      </c>
      <c r="CE241" s="21">
        <v>0.6</v>
      </c>
      <c r="CF241" s="20" t="s">
        <v>77</v>
      </c>
      <c r="CG241" s="20" t="s">
        <v>64</v>
      </c>
      <c r="CH241" s="20">
        <v>6.2299999999999996E-4</v>
      </c>
      <c r="CI241" s="19">
        <v>0</v>
      </c>
      <c r="CJ241" s="78" t="s">
        <v>224</v>
      </c>
      <c r="CK241" s="78" t="s">
        <v>224</v>
      </c>
      <c r="CL241" s="78" t="s">
        <v>224</v>
      </c>
      <c r="CM241" s="78">
        <v>199.40550500000001</v>
      </c>
      <c r="CN241" s="78">
        <v>1</v>
      </c>
      <c r="CO241" s="78" t="s">
        <v>224</v>
      </c>
      <c r="CP241" s="78" t="s">
        <v>224</v>
      </c>
      <c r="CQ241" s="78" t="s">
        <v>224</v>
      </c>
      <c r="CR241" s="12" t="str">
        <f>IF(COUNTIF(Incl!A:A,Raw!J241),1, "")</f>
        <v/>
      </c>
    </row>
    <row r="242" spans="1:96" ht="13.5" thickTop="1" thickBot="1" x14ac:dyDescent="0.3">
      <c r="A242" s="13">
        <v>239</v>
      </c>
      <c r="B242" s="14">
        <v>1</v>
      </c>
      <c r="C242" s="15">
        <v>410.05191000000002</v>
      </c>
      <c r="D242" s="14">
        <v>242</v>
      </c>
      <c r="E242" s="14">
        <v>1</v>
      </c>
      <c r="F242" s="14">
        <v>271</v>
      </c>
      <c r="G242" s="16">
        <v>257</v>
      </c>
      <c r="H242" s="14">
        <v>257</v>
      </c>
      <c r="I242" s="14">
        <v>257</v>
      </c>
      <c r="J242" s="14">
        <v>257</v>
      </c>
      <c r="K242" s="15" t="s">
        <v>121</v>
      </c>
      <c r="L242" s="15" t="s">
        <v>69</v>
      </c>
      <c r="M242" s="15" t="s">
        <v>60</v>
      </c>
      <c r="N242" s="17" t="s">
        <v>62</v>
      </c>
      <c r="O242" s="16" t="s">
        <v>62</v>
      </c>
      <c r="P242" s="17">
        <v>6</v>
      </c>
      <c r="Q242" s="17" t="s">
        <v>62</v>
      </c>
      <c r="R242" s="17" t="s">
        <v>62</v>
      </c>
      <c r="S242" s="17" t="s">
        <v>62</v>
      </c>
      <c r="T242" s="14">
        <v>6</v>
      </c>
      <c r="U242" s="17">
        <v>2</v>
      </c>
      <c r="V242" s="16">
        <v>3</v>
      </c>
      <c r="W242" s="17">
        <v>3</v>
      </c>
      <c r="X242" s="17" t="s">
        <v>62</v>
      </c>
      <c r="Y242" s="14">
        <v>36</v>
      </c>
      <c r="Z242" s="14">
        <v>54</v>
      </c>
      <c r="AA242" s="14">
        <v>54</v>
      </c>
      <c r="AB242" s="14">
        <v>0</v>
      </c>
      <c r="AC242" s="14">
        <v>0</v>
      </c>
      <c r="AD242" s="14">
        <v>3</v>
      </c>
      <c r="AE242" s="14">
        <v>4</v>
      </c>
      <c r="AF242" s="14">
        <v>4</v>
      </c>
      <c r="AG242" s="17" t="s">
        <v>62</v>
      </c>
      <c r="AH242" s="14">
        <v>54</v>
      </c>
      <c r="AI242" s="14">
        <v>71</v>
      </c>
      <c r="AJ242" s="14">
        <v>71</v>
      </c>
      <c r="AK242" s="14">
        <v>0</v>
      </c>
      <c r="AL242" s="14">
        <v>0</v>
      </c>
      <c r="AM242" s="16">
        <v>2</v>
      </c>
      <c r="AN242" s="16">
        <v>2</v>
      </c>
      <c r="AO242" s="16">
        <v>2</v>
      </c>
      <c r="AP242" s="16">
        <v>3</v>
      </c>
      <c r="AQ242" s="16">
        <v>3</v>
      </c>
      <c r="AR242" s="16">
        <v>3</v>
      </c>
      <c r="AS242" s="16">
        <v>3</v>
      </c>
      <c r="AT242" s="16">
        <v>3</v>
      </c>
      <c r="AU242" s="16">
        <v>3</v>
      </c>
      <c r="AV242" s="16">
        <v>3</v>
      </c>
      <c r="AW242" s="16">
        <v>0</v>
      </c>
      <c r="AX242" s="16">
        <v>0</v>
      </c>
      <c r="AY242" s="16">
        <v>0</v>
      </c>
      <c r="AZ242" s="16">
        <v>0</v>
      </c>
      <c r="BA242" s="16">
        <v>0</v>
      </c>
      <c r="BB242" s="16">
        <v>0</v>
      </c>
      <c r="BC242" s="16">
        <v>1</v>
      </c>
      <c r="BD242" s="16">
        <v>0</v>
      </c>
      <c r="BE242" s="16">
        <v>0</v>
      </c>
      <c r="BF242" s="16">
        <v>2</v>
      </c>
      <c r="BG242" s="16">
        <v>3</v>
      </c>
      <c r="BH242" s="16">
        <v>0.5</v>
      </c>
      <c r="BI242" s="15" t="s">
        <v>77</v>
      </c>
      <c r="BJ242" s="16">
        <v>3</v>
      </c>
      <c r="BK242" s="16">
        <v>4</v>
      </c>
      <c r="BL242" s="16">
        <v>4</v>
      </c>
      <c r="BM242" s="16">
        <v>4</v>
      </c>
      <c r="BN242" s="16">
        <v>4</v>
      </c>
      <c r="BO242" s="16">
        <v>4</v>
      </c>
      <c r="BP242" s="16">
        <v>4</v>
      </c>
      <c r="BQ242" s="16">
        <v>4</v>
      </c>
      <c r="BR242" s="16">
        <v>4</v>
      </c>
      <c r="BS242" s="16">
        <v>3</v>
      </c>
      <c r="BT242" s="16">
        <v>0</v>
      </c>
      <c r="BU242" s="16">
        <v>0</v>
      </c>
      <c r="BV242" s="16">
        <v>0</v>
      </c>
      <c r="BW242" s="16">
        <v>0</v>
      </c>
      <c r="BX242" s="16">
        <v>0</v>
      </c>
      <c r="BY242" s="16">
        <v>0</v>
      </c>
      <c r="BZ242" s="16">
        <v>0</v>
      </c>
      <c r="CA242" s="16">
        <v>0</v>
      </c>
      <c r="CB242" s="16" t="s">
        <v>62</v>
      </c>
      <c r="CC242" s="16">
        <v>2</v>
      </c>
      <c r="CD242" s="16">
        <v>2</v>
      </c>
      <c r="CE242" s="16">
        <v>0.4</v>
      </c>
      <c r="CF242" s="15" t="s">
        <v>77</v>
      </c>
      <c r="CG242" s="15" t="s">
        <v>66</v>
      </c>
      <c r="CH242" s="15">
        <v>1.294E-3</v>
      </c>
      <c r="CI242" s="14">
        <v>0</v>
      </c>
      <c r="CJ242" s="79" t="s">
        <v>224</v>
      </c>
      <c r="CK242" s="79" t="s">
        <v>224</v>
      </c>
      <c r="CL242" s="79" t="s">
        <v>224</v>
      </c>
      <c r="CM242" s="79">
        <v>410.051962</v>
      </c>
      <c r="CN242" s="79">
        <v>1</v>
      </c>
      <c r="CO242" s="79" t="s">
        <v>224</v>
      </c>
      <c r="CP242" s="79" t="s">
        <v>224</v>
      </c>
      <c r="CQ242" s="79" t="s">
        <v>224</v>
      </c>
      <c r="CR242" s="12" t="str">
        <f>IF(COUNTIF(Incl!A:A,Raw!J242),1, "")</f>
        <v/>
      </c>
    </row>
    <row r="243" spans="1:96" ht="13.5" thickTop="1" thickBot="1" x14ac:dyDescent="0.3">
      <c r="A243" s="13">
        <v>240</v>
      </c>
      <c r="B243" s="14">
        <v>1</v>
      </c>
      <c r="C243" s="15">
        <v>224.108149</v>
      </c>
      <c r="D243" s="14">
        <v>243</v>
      </c>
      <c r="E243" s="14">
        <v>1</v>
      </c>
      <c r="F243" s="14">
        <v>272</v>
      </c>
      <c r="G243" s="16">
        <v>259</v>
      </c>
      <c r="H243" s="14">
        <v>259</v>
      </c>
      <c r="I243" s="14">
        <v>259</v>
      </c>
      <c r="J243" s="14">
        <v>259</v>
      </c>
      <c r="K243" s="15" t="s">
        <v>121</v>
      </c>
      <c r="L243" s="15" t="s">
        <v>60</v>
      </c>
      <c r="M243" s="15" t="s">
        <v>122</v>
      </c>
      <c r="N243" s="17" t="s">
        <v>62</v>
      </c>
      <c r="O243" s="17" t="s">
        <v>62</v>
      </c>
      <c r="P243" s="16">
        <v>4</v>
      </c>
      <c r="Q243" s="17" t="s">
        <v>62</v>
      </c>
      <c r="R243" s="17" t="s">
        <v>62</v>
      </c>
      <c r="S243" s="17" t="s">
        <v>62</v>
      </c>
      <c r="T243" s="14">
        <v>4</v>
      </c>
      <c r="U243" s="16" t="s">
        <v>62</v>
      </c>
      <c r="V243" s="16" t="s">
        <v>62</v>
      </c>
      <c r="W243" s="16" t="s">
        <v>62</v>
      </c>
      <c r="X243" s="16" t="s">
        <v>62</v>
      </c>
      <c r="Y243" s="14">
        <v>0</v>
      </c>
      <c r="Z243" s="14">
        <v>0</v>
      </c>
      <c r="AA243" s="14">
        <v>0</v>
      </c>
      <c r="AB243" s="14">
        <v>0</v>
      </c>
      <c r="AC243" s="14">
        <v>0</v>
      </c>
      <c r="AD243" s="14">
        <v>4</v>
      </c>
      <c r="AE243" s="14">
        <v>4</v>
      </c>
      <c r="AF243" s="14">
        <v>4</v>
      </c>
      <c r="AG243" s="16" t="s">
        <v>62</v>
      </c>
      <c r="AH243" s="14">
        <v>91</v>
      </c>
      <c r="AI243" s="14">
        <v>91</v>
      </c>
      <c r="AJ243" s="14">
        <v>91</v>
      </c>
      <c r="AK243" s="14">
        <v>0</v>
      </c>
      <c r="AL243" s="14">
        <v>3</v>
      </c>
      <c r="AM243" s="17">
        <v>0</v>
      </c>
      <c r="AN243" s="17">
        <v>0</v>
      </c>
      <c r="AO243" s="17">
        <v>0</v>
      </c>
      <c r="AP243" s="17">
        <v>0</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t="s">
        <v>77</v>
      </c>
      <c r="BJ243" s="17">
        <v>4</v>
      </c>
      <c r="BK243" s="17">
        <v>4</v>
      </c>
      <c r="BL243" s="17">
        <v>4</v>
      </c>
      <c r="BM243" s="17">
        <v>4</v>
      </c>
      <c r="BN243" s="17">
        <v>4</v>
      </c>
      <c r="BO243" s="17">
        <v>4</v>
      </c>
      <c r="BP243" s="17">
        <v>4</v>
      </c>
      <c r="BQ243" s="17">
        <v>4</v>
      </c>
      <c r="BR243" s="17">
        <v>4</v>
      </c>
      <c r="BS243" s="17">
        <v>4</v>
      </c>
      <c r="BT243" s="17">
        <v>1</v>
      </c>
      <c r="BU243" s="17">
        <v>0</v>
      </c>
      <c r="BV243" s="17">
        <v>0</v>
      </c>
      <c r="BW243" s="17">
        <v>0</v>
      </c>
      <c r="BX243" s="17">
        <v>0</v>
      </c>
      <c r="BY243" s="17">
        <v>0</v>
      </c>
      <c r="BZ243" s="17">
        <v>0</v>
      </c>
      <c r="CA243" s="17">
        <v>0</v>
      </c>
      <c r="CB243" s="17">
        <v>1</v>
      </c>
      <c r="CC243" s="17">
        <v>3</v>
      </c>
      <c r="CD243" s="17">
        <v>5</v>
      </c>
      <c r="CE243" s="17">
        <v>1.1000000000000001</v>
      </c>
      <c r="CF243" s="17" t="s">
        <v>68</v>
      </c>
      <c r="CG243" s="15" t="s">
        <v>66</v>
      </c>
      <c r="CH243" s="15">
        <v>6.9300000000000004E-4</v>
      </c>
      <c r="CI243" s="14">
        <v>3</v>
      </c>
      <c r="CJ243" s="79" t="s">
        <v>224</v>
      </c>
      <c r="CK243" s="79" t="s">
        <v>224</v>
      </c>
      <c r="CL243" s="79" t="s">
        <v>224</v>
      </c>
      <c r="CM243" s="79">
        <v>224.10820699999999</v>
      </c>
      <c r="CN243" s="79">
        <v>1</v>
      </c>
      <c r="CO243" s="79" t="s">
        <v>224</v>
      </c>
      <c r="CP243" s="79" t="s">
        <v>224</v>
      </c>
      <c r="CQ243" s="79" t="s">
        <v>224</v>
      </c>
      <c r="CR243" s="12" t="str">
        <f>IF(COUNTIF(Incl!A:A,Raw!J243),1, "")</f>
        <v/>
      </c>
    </row>
    <row r="244" spans="1:96" ht="13.5" thickTop="1" thickBot="1" x14ac:dyDescent="0.3">
      <c r="A244" s="18">
        <v>241</v>
      </c>
      <c r="B244" s="19">
        <v>1</v>
      </c>
      <c r="C244" s="20">
        <v>671.84737500000006</v>
      </c>
      <c r="D244" s="19">
        <v>244</v>
      </c>
      <c r="E244" s="19">
        <v>1</v>
      </c>
      <c r="F244" s="19">
        <v>273</v>
      </c>
      <c r="G244" s="21">
        <v>145</v>
      </c>
      <c r="H244" s="19">
        <v>145</v>
      </c>
      <c r="I244" s="19">
        <v>145</v>
      </c>
      <c r="J244" s="19">
        <v>145</v>
      </c>
      <c r="K244" s="20" t="s">
        <v>113</v>
      </c>
      <c r="L244" s="20" t="s">
        <v>60</v>
      </c>
      <c r="M244" s="20" t="s">
        <v>118</v>
      </c>
      <c r="N244" s="22" t="s">
        <v>62</v>
      </c>
      <c r="O244" s="22">
        <v>14</v>
      </c>
      <c r="P244" s="21" t="s">
        <v>62</v>
      </c>
      <c r="Q244" s="22" t="s">
        <v>62</v>
      </c>
      <c r="R244" s="22" t="s">
        <v>62</v>
      </c>
      <c r="S244" s="22" t="s">
        <v>62</v>
      </c>
      <c r="T244" s="19">
        <v>14</v>
      </c>
      <c r="U244" s="21">
        <v>6</v>
      </c>
      <c r="V244" s="21">
        <v>2</v>
      </c>
      <c r="W244" s="21">
        <v>1</v>
      </c>
      <c r="X244" s="21" t="s">
        <v>62</v>
      </c>
      <c r="Y244" s="19">
        <v>44</v>
      </c>
      <c r="Z244" s="19">
        <v>15</v>
      </c>
      <c r="AA244" s="19">
        <v>7</v>
      </c>
      <c r="AB244" s="19">
        <v>0</v>
      </c>
      <c r="AC244" s="19">
        <v>0</v>
      </c>
      <c r="AD244" s="19">
        <v>0</v>
      </c>
      <c r="AE244" s="19">
        <v>2</v>
      </c>
      <c r="AF244" s="19">
        <v>1</v>
      </c>
      <c r="AG244" s="21" t="s">
        <v>62</v>
      </c>
      <c r="AH244" s="19">
        <v>0</v>
      </c>
      <c r="AI244" s="19">
        <v>15</v>
      </c>
      <c r="AJ244" s="19">
        <v>7</v>
      </c>
      <c r="AK244" s="19">
        <v>0</v>
      </c>
      <c r="AL244" s="19">
        <v>0</v>
      </c>
      <c r="AM244" s="22">
        <v>6</v>
      </c>
      <c r="AN244" s="22">
        <v>8</v>
      </c>
      <c r="AO244" s="22">
        <v>4</v>
      </c>
      <c r="AP244" s="22">
        <v>2</v>
      </c>
      <c r="AQ244" s="22">
        <v>2</v>
      </c>
      <c r="AR244" s="22">
        <v>2</v>
      </c>
      <c r="AS244" s="22">
        <v>2</v>
      </c>
      <c r="AT244" s="22">
        <v>2</v>
      </c>
      <c r="AU244" s="22">
        <v>1</v>
      </c>
      <c r="AV244" s="22">
        <v>1</v>
      </c>
      <c r="AW244" s="22">
        <v>8</v>
      </c>
      <c r="AX244" s="22">
        <v>1</v>
      </c>
      <c r="AY244" s="22">
        <v>1</v>
      </c>
      <c r="AZ244" s="22">
        <v>0</v>
      </c>
      <c r="BA244" s="22">
        <v>0</v>
      </c>
      <c r="BB244" s="22">
        <v>0</v>
      </c>
      <c r="BC244" s="22">
        <v>1</v>
      </c>
      <c r="BD244" s="22">
        <v>0</v>
      </c>
      <c r="BE244" s="22">
        <v>0</v>
      </c>
      <c r="BF244" s="22">
        <v>1</v>
      </c>
      <c r="BG244" s="22">
        <v>12</v>
      </c>
      <c r="BH244" s="22">
        <v>0.9</v>
      </c>
      <c r="BI244" s="22" t="s">
        <v>77</v>
      </c>
      <c r="BJ244" s="22">
        <v>0</v>
      </c>
      <c r="BK244" s="22">
        <v>0</v>
      </c>
      <c r="BL244" s="22">
        <v>0</v>
      </c>
      <c r="BM244" s="22">
        <v>2</v>
      </c>
      <c r="BN244" s="22">
        <v>2</v>
      </c>
      <c r="BO244" s="22">
        <v>2</v>
      </c>
      <c r="BP244" s="22">
        <v>5</v>
      </c>
      <c r="BQ244" s="22">
        <v>1</v>
      </c>
      <c r="BR244" s="22">
        <v>1</v>
      </c>
      <c r="BS244" s="22">
        <v>0</v>
      </c>
      <c r="BT244" s="22">
        <v>3</v>
      </c>
      <c r="BU244" s="22">
        <v>0</v>
      </c>
      <c r="BV244" s="22">
        <v>0</v>
      </c>
      <c r="BW244" s="22">
        <v>1</v>
      </c>
      <c r="BX244" s="22">
        <v>0</v>
      </c>
      <c r="BY244" s="22">
        <v>1</v>
      </c>
      <c r="BZ244" s="22">
        <v>0</v>
      </c>
      <c r="CA244" s="22">
        <v>0</v>
      </c>
      <c r="CB244" s="22">
        <v>0</v>
      </c>
      <c r="CC244" s="22">
        <v>0</v>
      </c>
      <c r="CD244" s="22">
        <v>5</v>
      </c>
      <c r="CE244" s="22">
        <v>0.4</v>
      </c>
      <c r="CF244" s="22" t="s">
        <v>77</v>
      </c>
      <c r="CG244" s="20" t="s">
        <v>74</v>
      </c>
      <c r="CH244" s="20">
        <v>1.529E-3</v>
      </c>
      <c r="CI244" s="19">
        <v>0</v>
      </c>
      <c r="CJ244" s="78" t="s">
        <v>224</v>
      </c>
      <c r="CK244" s="78" t="s">
        <v>224</v>
      </c>
      <c r="CL244" s="78" t="s">
        <v>224</v>
      </c>
      <c r="CM244" s="78">
        <v>671.84744000000001</v>
      </c>
      <c r="CN244" s="78">
        <v>1</v>
      </c>
      <c r="CO244" s="78">
        <v>1</v>
      </c>
      <c r="CP244" s="78" t="s">
        <v>224</v>
      </c>
      <c r="CQ244" s="78" t="s">
        <v>224</v>
      </c>
      <c r="CR244" s="12" t="str">
        <f>IF(COUNTIF(Incl!A:A,Raw!J244),1, "")</f>
        <v/>
      </c>
    </row>
    <row r="245" spans="1:96" ht="13.5" thickTop="1" thickBot="1" x14ac:dyDescent="0.3">
      <c r="A245" s="13">
        <v>242</v>
      </c>
      <c r="B245" s="14">
        <v>1</v>
      </c>
      <c r="C245" s="15">
        <v>542.73570299999994</v>
      </c>
      <c r="D245" s="14">
        <v>245</v>
      </c>
      <c r="E245" s="14">
        <v>2</v>
      </c>
      <c r="F245" s="14">
        <v>274</v>
      </c>
      <c r="G245" s="16">
        <v>144</v>
      </c>
      <c r="H245" s="14">
        <v>144</v>
      </c>
      <c r="I245" s="14">
        <v>144</v>
      </c>
      <c r="J245" s="14">
        <v>144</v>
      </c>
      <c r="K245" s="15" t="s">
        <v>113</v>
      </c>
      <c r="L245" s="15" t="s">
        <v>118</v>
      </c>
      <c r="M245" s="15" t="s">
        <v>60</v>
      </c>
      <c r="N245" s="17" t="s">
        <v>62</v>
      </c>
      <c r="O245" s="16">
        <v>11</v>
      </c>
      <c r="P245" s="17" t="s">
        <v>62</v>
      </c>
      <c r="Q245" s="17" t="s">
        <v>62</v>
      </c>
      <c r="R245" s="17" t="s">
        <v>62</v>
      </c>
      <c r="S245" s="17" t="s">
        <v>62</v>
      </c>
      <c r="T245" s="14">
        <v>11</v>
      </c>
      <c r="U245" s="16">
        <v>3</v>
      </c>
      <c r="V245" s="16">
        <v>4</v>
      </c>
      <c r="W245" s="16">
        <v>3</v>
      </c>
      <c r="X245" s="16" t="s">
        <v>62</v>
      </c>
      <c r="Y245" s="14">
        <v>28</v>
      </c>
      <c r="Z245" s="14">
        <v>37</v>
      </c>
      <c r="AA245" s="14">
        <v>28</v>
      </c>
      <c r="AB245" s="14">
        <v>0</v>
      </c>
      <c r="AC245" s="14">
        <v>0</v>
      </c>
      <c r="AD245" s="14">
        <v>0</v>
      </c>
      <c r="AE245" s="14">
        <v>5</v>
      </c>
      <c r="AF245" s="14">
        <v>5</v>
      </c>
      <c r="AG245" s="16" t="s">
        <v>62</v>
      </c>
      <c r="AH245" s="14">
        <v>0</v>
      </c>
      <c r="AI245" s="14">
        <v>47</v>
      </c>
      <c r="AJ245" s="14">
        <v>47</v>
      </c>
      <c r="AK245" s="14">
        <v>0</v>
      </c>
      <c r="AL245" s="14">
        <v>0</v>
      </c>
      <c r="AM245" s="17">
        <v>3</v>
      </c>
      <c r="AN245" s="17">
        <v>3</v>
      </c>
      <c r="AO245" s="17">
        <v>4</v>
      </c>
      <c r="AP245" s="17">
        <v>5</v>
      </c>
      <c r="AQ245" s="17">
        <v>4</v>
      </c>
      <c r="AR245" s="17">
        <v>4</v>
      </c>
      <c r="AS245" s="17">
        <v>1</v>
      </c>
      <c r="AT245" s="17">
        <v>1</v>
      </c>
      <c r="AU245" s="17">
        <v>3</v>
      </c>
      <c r="AV245" s="17">
        <v>5</v>
      </c>
      <c r="AW245" s="17">
        <v>12</v>
      </c>
      <c r="AX245" s="17">
        <v>2</v>
      </c>
      <c r="AY245" s="17">
        <v>2</v>
      </c>
      <c r="AZ245" s="17">
        <v>1</v>
      </c>
      <c r="BA245" s="17">
        <v>0</v>
      </c>
      <c r="BB245" s="17">
        <v>0</v>
      </c>
      <c r="BC245" s="17">
        <v>1</v>
      </c>
      <c r="BD245" s="17">
        <v>0</v>
      </c>
      <c r="BE245" s="17">
        <v>0</v>
      </c>
      <c r="BF245" s="17">
        <v>0</v>
      </c>
      <c r="BG245" s="17">
        <v>18</v>
      </c>
      <c r="BH245" s="17">
        <v>1.7</v>
      </c>
      <c r="BI245" s="17" t="s">
        <v>68</v>
      </c>
      <c r="BJ245" s="17">
        <v>0</v>
      </c>
      <c r="BK245" s="17">
        <v>0</v>
      </c>
      <c r="BL245" s="17">
        <v>0</v>
      </c>
      <c r="BM245" s="17">
        <v>2</v>
      </c>
      <c r="BN245" s="17">
        <v>5</v>
      </c>
      <c r="BO245" s="17">
        <v>5</v>
      </c>
      <c r="BP245" s="17">
        <v>5</v>
      </c>
      <c r="BQ245" s="17">
        <v>5</v>
      </c>
      <c r="BR245" s="17">
        <v>5</v>
      </c>
      <c r="BS245" s="17">
        <v>5</v>
      </c>
      <c r="BT245" s="17">
        <v>4</v>
      </c>
      <c r="BU245" s="17">
        <v>4</v>
      </c>
      <c r="BV245" s="17">
        <v>2</v>
      </c>
      <c r="BW245" s="17">
        <v>2</v>
      </c>
      <c r="BX245" s="17">
        <v>0</v>
      </c>
      <c r="BY245" s="17">
        <v>1</v>
      </c>
      <c r="BZ245" s="17">
        <v>0</v>
      </c>
      <c r="CA245" s="17">
        <v>0</v>
      </c>
      <c r="CB245" s="17">
        <v>0</v>
      </c>
      <c r="CC245" s="17">
        <v>0</v>
      </c>
      <c r="CD245" s="17">
        <v>13</v>
      </c>
      <c r="CE245" s="17">
        <v>1.2</v>
      </c>
      <c r="CF245" s="17" t="s">
        <v>68</v>
      </c>
      <c r="CG245" s="15" t="s">
        <v>71</v>
      </c>
      <c r="CH245" s="15">
        <v>1.322E-3</v>
      </c>
      <c r="CI245" s="14">
        <v>0</v>
      </c>
      <c r="CJ245" s="79" t="s">
        <v>224</v>
      </c>
      <c r="CK245" s="79" t="s">
        <v>224</v>
      </c>
      <c r="CL245" s="79" t="s">
        <v>224</v>
      </c>
      <c r="CM245" s="79">
        <v>542.73557900000003</v>
      </c>
      <c r="CN245" s="79">
        <v>1</v>
      </c>
      <c r="CO245" s="79">
        <v>1</v>
      </c>
      <c r="CP245" s="79" t="s">
        <v>224</v>
      </c>
      <c r="CQ245" s="79" t="s">
        <v>224</v>
      </c>
      <c r="CR245" s="12" t="str">
        <f>IF(COUNTIF(Incl!A:A,Raw!J245),1, "")</f>
        <v/>
      </c>
    </row>
    <row r="246" spans="1:96" ht="13.5" thickTop="1" thickBot="1" x14ac:dyDescent="0.3">
      <c r="A246" s="18">
        <v>243</v>
      </c>
      <c r="B246" s="19">
        <v>1</v>
      </c>
      <c r="C246" s="20">
        <v>46.661833000000001</v>
      </c>
      <c r="D246" s="19">
        <v>246</v>
      </c>
      <c r="E246" s="19">
        <v>1</v>
      </c>
      <c r="F246" s="19">
        <v>275</v>
      </c>
      <c r="G246" s="21">
        <v>240</v>
      </c>
      <c r="H246" s="19">
        <v>240</v>
      </c>
      <c r="I246" s="19">
        <v>240</v>
      </c>
      <c r="J246" s="19">
        <v>240</v>
      </c>
      <c r="K246" s="20" t="s">
        <v>118</v>
      </c>
      <c r="L246" s="20" t="s">
        <v>113</v>
      </c>
      <c r="M246" s="20" t="s">
        <v>60</v>
      </c>
      <c r="N246" s="22" t="s">
        <v>62</v>
      </c>
      <c r="O246" s="21">
        <v>3</v>
      </c>
      <c r="P246" s="22" t="s">
        <v>62</v>
      </c>
      <c r="Q246" s="22" t="s">
        <v>62</v>
      </c>
      <c r="R246" s="22" t="s">
        <v>62</v>
      </c>
      <c r="S246" s="22" t="s">
        <v>62</v>
      </c>
      <c r="T246" s="19">
        <v>3</v>
      </c>
      <c r="U246" s="21">
        <v>2</v>
      </c>
      <c r="V246" s="21">
        <v>2</v>
      </c>
      <c r="W246" s="21">
        <v>3</v>
      </c>
      <c r="X246" s="21" t="s">
        <v>62</v>
      </c>
      <c r="Y246" s="19">
        <v>63</v>
      </c>
      <c r="Z246" s="19">
        <v>63</v>
      </c>
      <c r="AA246" s="19">
        <v>94</v>
      </c>
      <c r="AB246" s="19">
        <v>0</v>
      </c>
      <c r="AC246" s="19">
        <v>1</v>
      </c>
      <c r="AD246" s="19">
        <v>3</v>
      </c>
      <c r="AE246" s="19">
        <v>3</v>
      </c>
      <c r="AF246" s="19">
        <v>3</v>
      </c>
      <c r="AG246" s="21" t="s">
        <v>62</v>
      </c>
      <c r="AH246" s="19">
        <v>94</v>
      </c>
      <c r="AI246" s="19">
        <v>94</v>
      </c>
      <c r="AJ246" s="19">
        <v>94</v>
      </c>
      <c r="AK246" s="19">
        <v>0</v>
      </c>
      <c r="AL246" s="19">
        <v>3</v>
      </c>
      <c r="AM246" s="22">
        <v>2</v>
      </c>
      <c r="AN246" s="22">
        <v>2</v>
      </c>
      <c r="AO246" s="22">
        <v>2</v>
      </c>
      <c r="AP246" s="22">
        <v>2</v>
      </c>
      <c r="AQ246" s="22">
        <v>2</v>
      </c>
      <c r="AR246" s="22">
        <v>2</v>
      </c>
      <c r="AS246" s="22">
        <v>2</v>
      </c>
      <c r="AT246" s="22">
        <v>2</v>
      </c>
      <c r="AU246" s="22">
        <v>3</v>
      </c>
      <c r="AV246" s="22">
        <v>3</v>
      </c>
      <c r="AW246" s="22">
        <v>0</v>
      </c>
      <c r="AX246" s="22">
        <v>1</v>
      </c>
      <c r="AY246" s="22">
        <v>0</v>
      </c>
      <c r="AZ246" s="22">
        <v>0</v>
      </c>
      <c r="BA246" s="22">
        <v>2</v>
      </c>
      <c r="BB246" s="22">
        <v>0</v>
      </c>
      <c r="BC246" s="22">
        <v>0</v>
      </c>
      <c r="BD246" s="22">
        <v>0</v>
      </c>
      <c r="BE246" s="22">
        <v>0</v>
      </c>
      <c r="BF246" s="22">
        <v>1</v>
      </c>
      <c r="BG246" s="22">
        <v>4</v>
      </c>
      <c r="BH246" s="22">
        <v>1.3</v>
      </c>
      <c r="BI246" s="22" t="s">
        <v>68</v>
      </c>
      <c r="BJ246" s="22">
        <v>3</v>
      </c>
      <c r="BK246" s="22">
        <v>3</v>
      </c>
      <c r="BL246" s="22">
        <v>3</v>
      </c>
      <c r="BM246" s="22">
        <v>3</v>
      </c>
      <c r="BN246" s="22">
        <v>3</v>
      </c>
      <c r="BO246" s="22">
        <v>3</v>
      </c>
      <c r="BP246" s="22">
        <v>3</v>
      </c>
      <c r="BQ246" s="22">
        <v>3</v>
      </c>
      <c r="BR246" s="22">
        <v>3</v>
      </c>
      <c r="BS246" s="22">
        <v>3</v>
      </c>
      <c r="BT246" s="22">
        <v>0</v>
      </c>
      <c r="BU246" s="22">
        <v>0</v>
      </c>
      <c r="BV246" s="22">
        <v>0</v>
      </c>
      <c r="BW246" s="22">
        <v>0</v>
      </c>
      <c r="BX246" s="22">
        <v>0</v>
      </c>
      <c r="BY246" s="22">
        <v>0</v>
      </c>
      <c r="BZ246" s="22">
        <v>0</v>
      </c>
      <c r="CA246" s="22">
        <v>0</v>
      </c>
      <c r="CB246" s="22">
        <v>0</v>
      </c>
      <c r="CC246" s="22">
        <v>3</v>
      </c>
      <c r="CD246" s="22">
        <v>3</v>
      </c>
      <c r="CE246" s="22">
        <v>0.9</v>
      </c>
      <c r="CF246" s="22" t="s">
        <v>77</v>
      </c>
      <c r="CG246" s="20" t="s">
        <v>64</v>
      </c>
      <c r="CH246" s="20">
        <v>1.5200000000000001E-4</v>
      </c>
      <c r="CI246" s="19">
        <v>4</v>
      </c>
      <c r="CJ246" s="78" t="s">
        <v>224</v>
      </c>
      <c r="CK246" s="78" t="s">
        <v>224</v>
      </c>
      <c r="CL246" s="78" t="s">
        <v>224</v>
      </c>
      <c r="CM246" s="78">
        <v>46.661822000000001</v>
      </c>
      <c r="CN246" s="78">
        <v>1</v>
      </c>
      <c r="CO246" s="78">
        <v>1</v>
      </c>
      <c r="CP246" s="78" t="s">
        <v>224</v>
      </c>
      <c r="CQ246" s="78" t="s">
        <v>224</v>
      </c>
      <c r="CR246" s="12" t="str">
        <f>IF(COUNTIF(Incl!A:A,Raw!J246),1, "")</f>
        <v/>
      </c>
    </row>
    <row r="247" spans="1:96" ht="13.5" thickTop="1" thickBot="1" x14ac:dyDescent="0.3">
      <c r="A247" s="13">
        <v>244</v>
      </c>
      <c r="B247" s="14">
        <v>1</v>
      </c>
      <c r="C247" s="15">
        <v>59.425201999999999</v>
      </c>
      <c r="D247" s="14">
        <v>247</v>
      </c>
      <c r="E247" s="14">
        <v>1</v>
      </c>
      <c r="F247" s="14">
        <v>276</v>
      </c>
      <c r="G247" s="16">
        <v>241</v>
      </c>
      <c r="H247" s="14">
        <v>241</v>
      </c>
      <c r="I247" s="14">
        <v>241</v>
      </c>
      <c r="J247" s="14">
        <v>241</v>
      </c>
      <c r="K247" s="15" t="s">
        <v>118</v>
      </c>
      <c r="L247" s="15" t="s">
        <v>60</v>
      </c>
      <c r="M247" s="15" t="s">
        <v>113</v>
      </c>
      <c r="N247" s="17" t="s">
        <v>62</v>
      </c>
      <c r="O247" s="16">
        <v>2</v>
      </c>
      <c r="P247" s="17" t="s">
        <v>62</v>
      </c>
      <c r="Q247" s="17" t="s">
        <v>62</v>
      </c>
      <c r="R247" s="17" t="s">
        <v>62</v>
      </c>
      <c r="S247" s="17" t="s">
        <v>62</v>
      </c>
      <c r="T247" s="14">
        <v>2</v>
      </c>
      <c r="U247" s="17" t="s">
        <v>62</v>
      </c>
      <c r="V247" s="17">
        <v>1</v>
      </c>
      <c r="W247" s="16" t="s">
        <v>62</v>
      </c>
      <c r="X247" s="17" t="s">
        <v>62</v>
      </c>
      <c r="Y247" s="14">
        <v>0</v>
      </c>
      <c r="Z247" s="14">
        <v>50</v>
      </c>
      <c r="AA247" s="14">
        <v>0</v>
      </c>
      <c r="AB247" s="14">
        <v>0</v>
      </c>
      <c r="AC247" s="14">
        <v>0</v>
      </c>
      <c r="AD247" s="14">
        <v>0</v>
      </c>
      <c r="AE247" s="14">
        <v>0</v>
      </c>
      <c r="AF247" s="14">
        <v>0</v>
      </c>
      <c r="AG247" s="16" t="s">
        <v>62</v>
      </c>
      <c r="AH247" s="14">
        <v>0</v>
      </c>
      <c r="AI247" s="14">
        <v>0</v>
      </c>
      <c r="AJ247" s="14">
        <v>0</v>
      </c>
      <c r="AK247" s="14">
        <v>0</v>
      </c>
      <c r="AL247" s="14">
        <v>0</v>
      </c>
      <c r="AM247" s="17">
        <v>0</v>
      </c>
      <c r="AN247" s="17">
        <v>0</v>
      </c>
      <c r="AO247" s="17">
        <v>0</v>
      </c>
      <c r="AP247" s="17">
        <v>1</v>
      </c>
      <c r="AQ247" s="17">
        <v>1</v>
      </c>
      <c r="AR247" s="17">
        <v>1</v>
      </c>
      <c r="AS247" s="17">
        <v>0</v>
      </c>
      <c r="AT247" s="17">
        <v>0</v>
      </c>
      <c r="AU247" s="17">
        <v>0</v>
      </c>
      <c r="AV247" s="17">
        <v>0</v>
      </c>
      <c r="AW247" s="17">
        <v>1</v>
      </c>
      <c r="AX247" s="17">
        <v>1</v>
      </c>
      <c r="AY247" s="17">
        <v>0</v>
      </c>
      <c r="AZ247" s="17">
        <v>0</v>
      </c>
      <c r="BA247" s="17">
        <v>0</v>
      </c>
      <c r="BB247" s="17">
        <v>0</v>
      </c>
      <c r="BC247" s="17">
        <v>0</v>
      </c>
      <c r="BD247" s="17">
        <v>0</v>
      </c>
      <c r="BE247" s="17">
        <v>0</v>
      </c>
      <c r="BF247" s="17">
        <v>0</v>
      </c>
      <c r="BG247" s="17">
        <v>2</v>
      </c>
      <c r="BH247" s="17">
        <v>1</v>
      </c>
      <c r="BI247" s="17" t="s">
        <v>77</v>
      </c>
      <c r="BJ247" s="17">
        <v>0</v>
      </c>
      <c r="BK247" s="17">
        <v>0</v>
      </c>
      <c r="BL247" s="17">
        <v>0</v>
      </c>
      <c r="BM247" s="17">
        <v>0</v>
      </c>
      <c r="BN247" s="17">
        <v>0</v>
      </c>
      <c r="BO247" s="17">
        <v>0</v>
      </c>
      <c r="BP247" s="17">
        <v>0</v>
      </c>
      <c r="BQ247" s="17">
        <v>0</v>
      </c>
      <c r="BR247" s="17">
        <v>0</v>
      </c>
      <c r="BS247" s="17">
        <v>0</v>
      </c>
      <c r="BT247" s="17">
        <v>0</v>
      </c>
      <c r="BU247" s="17">
        <v>0</v>
      </c>
      <c r="BV247" s="17">
        <v>0</v>
      </c>
      <c r="BW247" s="17">
        <v>0</v>
      </c>
      <c r="BX247" s="17">
        <v>0</v>
      </c>
      <c r="BY247" s="17">
        <v>0</v>
      </c>
      <c r="BZ247" s="17">
        <v>0</v>
      </c>
      <c r="CA247" s="17">
        <v>0</v>
      </c>
      <c r="CB247" s="17">
        <v>0</v>
      </c>
      <c r="CC247" s="17">
        <v>0</v>
      </c>
      <c r="CD247" s="17">
        <v>0</v>
      </c>
      <c r="CE247" s="17">
        <v>0</v>
      </c>
      <c r="CF247" s="17" t="s">
        <v>77</v>
      </c>
      <c r="CG247" s="15" t="s">
        <v>66</v>
      </c>
      <c r="CH247" s="15">
        <v>1.8900000000000001E-4</v>
      </c>
      <c r="CI247" s="14">
        <v>0</v>
      </c>
      <c r="CJ247" s="79" t="s">
        <v>224</v>
      </c>
      <c r="CK247" s="79" t="s">
        <v>224</v>
      </c>
      <c r="CL247" s="79" t="s">
        <v>224</v>
      </c>
      <c r="CM247" s="79">
        <v>59.425175000000003</v>
      </c>
      <c r="CN247" s="79">
        <v>1</v>
      </c>
      <c r="CO247" s="79">
        <v>1</v>
      </c>
      <c r="CP247" s="79" t="s">
        <v>224</v>
      </c>
      <c r="CQ247" s="79" t="s">
        <v>224</v>
      </c>
      <c r="CR247" s="12" t="str">
        <f>IF(COUNTIF(Incl!A:A,Raw!J247),1, "")</f>
        <v/>
      </c>
    </row>
    <row r="248" spans="1:96" ht="13.5" thickTop="1" thickBot="1" x14ac:dyDescent="0.3">
      <c r="A248" s="13">
        <v>245</v>
      </c>
      <c r="B248" s="14">
        <v>1</v>
      </c>
      <c r="C248" s="15">
        <v>112.458178</v>
      </c>
      <c r="D248" s="14">
        <v>248</v>
      </c>
      <c r="E248" s="14">
        <v>3</v>
      </c>
      <c r="F248" s="14">
        <v>277</v>
      </c>
      <c r="G248" s="16">
        <v>146</v>
      </c>
      <c r="H248" s="14">
        <v>146</v>
      </c>
      <c r="I248" s="14">
        <v>146</v>
      </c>
      <c r="J248" s="14">
        <v>146</v>
      </c>
      <c r="K248" s="15" t="s">
        <v>113</v>
      </c>
      <c r="L248" s="15" t="s">
        <v>118</v>
      </c>
      <c r="M248" s="15" t="s">
        <v>107</v>
      </c>
      <c r="N248" s="17" t="s">
        <v>62</v>
      </c>
      <c r="O248" s="16">
        <v>2</v>
      </c>
      <c r="P248" s="16" t="s">
        <v>62</v>
      </c>
      <c r="Q248" s="17" t="s">
        <v>62</v>
      </c>
      <c r="R248" s="17" t="s">
        <v>62</v>
      </c>
      <c r="S248" s="17" t="s">
        <v>62</v>
      </c>
      <c r="T248" s="14">
        <v>2</v>
      </c>
      <c r="U248" s="16">
        <v>2</v>
      </c>
      <c r="V248" s="16">
        <v>1</v>
      </c>
      <c r="W248" s="17" t="s">
        <v>62</v>
      </c>
      <c r="X248" s="17" t="s">
        <v>62</v>
      </c>
      <c r="Y248" s="14">
        <v>125</v>
      </c>
      <c r="Z248" s="14">
        <v>63</v>
      </c>
      <c r="AA248" s="14">
        <v>0</v>
      </c>
      <c r="AB248" s="14">
        <v>0</v>
      </c>
      <c r="AC248" s="14">
        <v>1</v>
      </c>
      <c r="AD248" s="14">
        <v>0</v>
      </c>
      <c r="AE248" s="14">
        <v>0</v>
      </c>
      <c r="AF248" s="14">
        <v>0</v>
      </c>
      <c r="AG248" s="16" t="s">
        <v>62</v>
      </c>
      <c r="AH248" s="14">
        <v>0</v>
      </c>
      <c r="AI248" s="14">
        <v>0</v>
      </c>
      <c r="AJ248" s="14">
        <v>0</v>
      </c>
      <c r="AK248" s="14">
        <v>0</v>
      </c>
      <c r="AL248" s="14">
        <v>0</v>
      </c>
      <c r="AM248" s="17">
        <v>2</v>
      </c>
      <c r="AN248" s="17">
        <v>1</v>
      </c>
      <c r="AO248" s="17">
        <v>1</v>
      </c>
      <c r="AP248" s="17">
        <v>2</v>
      </c>
      <c r="AQ248" s="17">
        <v>1</v>
      </c>
      <c r="AR248" s="17">
        <v>0</v>
      </c>
      <c r="AS248" s="17">
        <v>0</v>
      </c>
      <c r="AT248" s="17">
        <v>0</v>
      </c>
      <c r="AU248" s="17">
        <v>0</v>
      </c>
      <c r="AV248" s="17">
        <v>1</v>
      </c>
      <c r="AW248" s="17">
        <v>6</v>
      </c>
      <c r="AX248" s="17">
        <v>1</v>
      </c>
      <c r="AY248" s="17">
        <v>0</v>
      </c>
      <c r="AZ248" s="17">
        <v>0</v>
      </c>
      <c r="BA248" s="17">
        <v>0</v>
      </c>
      <c r="BB248" s="17">
        <v>0</v>
      </c>
      <c r="BC248" s="17">
        <v>0</v>
      </c>
      <c r="BD248" s="17">
        <v>0</v>
      </c>
      <c r="BE248" s="17">
        <v>0</v>
      </c>
      <c r="BF248" s="17">
        <v>0</v>
      </c>
      <c r="BG248" s="17">
        <v>7</v>
      </c>
      <c r="BH248" s="17">
        <v>4.4000000000000004</v>
      </c>
      <c r="BI248" s="17" t="s">
        <v>67</v>
      </c>
      <c r="BJ248" s="17">
        <v>0</v>
      </c>
      <c r="BK248" s="17">
        <v>0</v>
      </c>
      <c r="BL248" s="17">
        <v>0</v>
      </c>
      <c r="BM248" s="17">
        <v>0</v>
      </c>
      <c r="BN248" s="17">
        <v>0</v>
      </c>
      <c r="BO248" s="17">
        <v>0</v>
      </c>
      <c r="BP248" s="17">
        <v>0</v>
      </c>
      <c r="BQ248" s="17">
        <v>0</v>
      </c>
      <c r="BR248" s="17">
        <v>0</v>
      </c>
      <c r="BS248" s="17">
        <v>0</v>
      </c>
      <c r="BT248" s="17">
        <v>0</v>
      </c>
      <c r="BU248" s="17">
        <v>0</v>
      </c>
      <c r="BV248" s="17">
        <v>0</v>
      </c>
      <c r="BW248" s="17">
        <v>0</v>
      </c>
      <c r="BX248" s="17">
        <v>0</v>
      </c>
      <c r="BY248" s="17">
        <v>0</v>
      </c>
      <c r="BZ248" s="17">
        <v>0</v>
      </c>
      <c r="CA248" s="17">
        <v>0</v>
      </c>
      <c r="CB248" s="17">
        <v>0</v>
      </c>
      <c r="CC248" s="17">
        <v>0</v>
      </c>
      <c r="CD248" s="17">
        <v>0</v>
      </c>
      <c r="CE248" s="17">
        <v>0</v>
      </c>
      <c r="CF248" s="17" t="s">
        <v>77</v>
      </c>
      <c r="CG248" s="15" t="s">
        <v>71</v>
      </c>
      <c r="CH248" s="15">
        <v>4.8700000000000002E-4</v>
      </c>
      <c r="CI248" s="14">
        <v>1</v>
      </c>
      <c r="CJ248" s="79" t="s">
        <v>224</v>
      </c>
      <c r="CK248" s="79" t="s">
        <v>224</v>
      </c>
      <c r="CL248" s="79" t="s">
        <v>224</v>
      </c>
      <c r="CM248" s="79">
        <v>112.45815</v>
      </c>
      <c r="CN248" s="79">
        <v>1</v>
      </c>
      <c r="CO248" s="79">
        <v>2</v>
      </c>
      <c r="CP248" s="79" t="s">
        <v>224</v>
      </c>
      <c r="CQ248" s="79" t="s">
        <v>224</v>
      </c>
      <c r="CR248" s="12" t="str">
        <f>IF(COUNTIF(Incl!A:A,Raw!J248),1, "")</f>
        <v/>
      </c>
    </row>
    <row r="249" spans="1:96" ht="13.5" thickTop="1" thickBot="1" x14ac:dyDescent="0.3">
      <c r="A249" s="18">
        <v>246</v>
      </c>
      <c r="B249" s="19">
        <v>1</v>
      </c>
      <c r="C249" s="20">
        <v>112.78554699999999</v>
      </c>
      <c r="D249" s="19">
        <v>249</v>
      </c>
      <c r="E249" s="19">
        <v>2</v>
      </c>
      <c r="F249" s="19">
        <v>278</v>
      </c>
      <c r="G249" s="21">
        <v>147</v>
      </c>
      <c r="H249" s="19">
        <v>147</v>
      </c>
      <c r="I249" s="19">
        <v>147</v>
      </c>
      <c r="J249" s="19">
        <v>147</v>
      </c>
      <c r="K249" s="20" t="s">
        <v>113</v>
      </c>
      <c r="L249" s="20" t="s">
        <v>107</v>
      </c>
      <c r="M249" s="20" t="s">
        <v>118</v>
      </c>
      <c r="N249" s="22" t="s">
        <v>62</v>
      </c>
      <c r="O249" s="22">
        <v>3</v>
      </c>
      <c r="P249" s="22" t="s">
        <v>62</v>
      </c>
      <c r="Q249" s="22" t="s">
        <v>62</v>
      </c>
      <c r="R249" s="22" t="s">
        <v>62</v>
      </c>
      <c r="S249" s="22" t="s">
        <v>62</v>
      </c>
      <c r="T249" s="19">
        <v>3</v>
      </c>
      <c r="U249" s="22">
        <v>1</v>
      </c>
      <c r="V249" s="22">
        <v>1</v>
      </c>
      <c r="W249" s="22" t="s">
        <v>62</v>
      </c>
      <c r="X249" s="22" t="s">
        <v>62</v>
      </c>
      <c r="Y249" s="19">
        <v>33</v>
      </c>
      <c r="Z249" s="19">
        <v>33</v>
      </c>
      <c r="AA249" s="19">
        <v>0</v>
      </c>
      <c r="AB249" s="19">
        <v>0</v>
      </c>
      <c r="AC249" s="19">
        <v>0</v>
      </c>
      <c r="AD249" s="19">
        <v>0</v>
      </c>
      <c r="AE249" s="19">
        <v>0</v>
      </c>
      <c r="AF249" s="19">
        <v>0</v>
      </c>
      <c r="AG249" s="22" t="s">
        <v>62</v>
      </c>
      <c r="AH249" s="19">
        <v>0</v>
      </c>
      <c r="AI249" s="19">
        <v>0</v>
      </c>
      <c r="AJ249" s="19">
        <v>0</v>
      </c>
      <c r="AK249" s="19">
        <v>0</v>
      </c>
      <c r="AL249" s="19">
        <v>0</v>
      </c>
      <c r="AM249" s="21">
        <v>1</v>
      </c>
      <c r="AN249" s="21">
        <v>1</v>
      </c>
      <c r="AO249" s="21">
        <v>1</v>
      </c>
      <c r="AP249" s="21">
        <v>1</v>
      </c>
      <c r="AQ249" s="21">
        <v>1</v>
      </c>
      <c r="AR249" s="21">
        <v>1</v>
      </c>
      <c r="AS249" s="21">
        <v>0</v>
      </c>
      <c r="AT249" s="21">
        <v>0</v>
      </c>
      <c r="AU249" s="21">
        <v>0</v>
      </c>
      <c r="AV249" s="21">
        <v>0</v>
      </c>
      <c r="AW249" s="21">
        <v>2</v>
      </c>
      <c r="AX249" s="21">
        <v>0</v>
      </c>
      <c r="AY249" s="21">
        <v>0</v>
      </c>
      <c r="AZ249" s="21">
        <v>1</v>
      </c>
      <c r="BA249" s="21">
        <v>0</v>
      </c>
      <c r="BB249" s="21">
        <v>0</v>
      </c>
      <c r="BC249" s="21">
        <v>0</v>
      </c>
      <c r="BD249" s="21">
        <v>0</v>
      </c>
      <c r="BE249" s="21">
        <v>0</v>
      </c>
      <c r="BF249" s="21">
        <v>0</v>
      </c>
      <c r="BG249" s="21">
        <v>3</v>
      </c>
      <c r="BH249" s="21">
        <v>1</v>
      </c>
      <c r="BI249" s="20" t="s">
        <v>77</v>
      </c>
      <c r="BJ249" s="21">
        <v>0</v>
      </c>
      <c r="BK249" s="21">
        <v>0</v>
      </c>
      <c r="BL249" s="21">
        <v>0</v>
      </c>
      <c r="BM249" s="21">
        <v>0</v>
      </c>
      <c r="BN249" s="21">
        <v>0</v>
      </c>
      <c r="BO249" s="21">
        <v>0</v>
      </c>
      <c r="BP249" s="21">
        <v>0</v>
      </c>
      <c r="BQ249" s="21">
        <v>0</v>
      </c>
      <c r="BR249" s="21">
        <v>0</v>
      </c>
      <c r="BS249" s="21">
        <v>0</v>
      </c>
      <c r="BT249" s="21">
        <v>0</v>
      </c>
      <c r="BU249" s="21">
        <v>0</v>
      </c>
      <c r="BV249" s="21">
        <v>0</v>
      </c>
      <c r="BW249" s="21">
        <v>0</v>
      </c>
      <c r="BX249" s="21">
        <v>0</v>
      </c>
      <c r="BY249" s="21">
        <v>0</v>
      </c>
      <c r="BZ249" s="21">
        <v>0</v>
      </c>
      <c r="CA249" s="21">
        <v>0</v>
      </c>
      <c r="CB249" s="21">
        <v>0</v>
      </c>
      <c r="CC249" s="21">
        <v>0</v>
      </c>
      <c r="CD249" s="21">
        <v>0</v>
      </c>
      <c r="CE249" s="21">
        <v>0</v>
      </c>
      <c r="CF249" s="20" t="s">
        <v>77</v>
      </c>
      <c r="CG249" s="20" t="s">
        <v>74</v>
      </c>
      <c r="CH249" s="20">
        <v>4.8799999999999999E-4</v>
      </c>
      <c r="CI249" s="19">
        <v>0</v>
      </c>
      <c r="CJ249" s="78" t="s">
        <v>224</v>
      </c>
      <c r="CK249" s="78" t="s">
        <v>224</v>
      </c>
      <c r="CL249" s="78" t="s">
        <v>224</v>
      </c>
      <c r="CM249" s="78">
        <v>112.78570999999999</v>
      </c>
      <c r="CN249" s="78">
        <v>1</v>
      </c>
      <c r="CO249" s="78">
        <v>2</v>
      </c>
      <c r="CP249" s="78" t="s">
        <v>224</v>
      </c>
      <c r="CQ249" s="78" t="s">
        <v>224</v>
      </c>
      <c r="CR249" s="12" t="str">
        <f>IF(COUNTIF(Incl!A:A,Raw!J249),1, "")</f>
        <v/>
      </c>
    </row>
    <row r="250" spans="1:96" ht="13.5" thickTop="1" thickBot="1" x14ac:dyDescent="0.3">
      <c r="A250" s="13">
        <v>247</v>
      </c>
      <c r="B250" s="14">
        <v>1</v>
      </c>
      <c r="C250" s="15">
        <v>1109.4041910000001</v>
      </c>
      <c r="D250" s="14">
        <v>250</v>
      </c>
      <c r="E250" s="14">
        <v>1</v>
      </c>
      <c r="F250" s="14">
        <v>279</v>
      </c>
      <c r="G250" s="16">
        <v>150</v>
      </c>
      <c r="H250" s="14">
        <v>150</v>
      </c>
      <c r="I250" s="14">
        <v>150</v>
      </c>
      <c r="J250" s="14">
        <v>150</v>
      </c>
      <c r="K250" s="15" t="s">
        <v>122</v>
      </c>
      <c r="L250" s="15" t="s">
        <v>121</v>
      </c>
      <c r="M250" s="15" t="s">
        <v>113</v>
      </c>
      <c r="N250" s="17" t="s">
        <v>62</v>
      </c>
      <c r="O250" s="17">
        <v>20</v>
      </c>
      <c r="P250" s="17" t="s">
        <v>62</v>
      </c>
      <c r="Q250" s="17" t="s">
        <v>62</v>
      </c>
      <c r="R250" s="17" t="s">
        <v>62</v>
      </c>
      <c r="S250" s="17" t="s">
        <v>62</v>
      </c>
      <c r="T250" s="14">
        <v>20</v>
      </c>
      <c r="U250" s="17">
        <v>5</v>
      </c>
      <c r="V250" s="17">
        <v>12</v>
      </c>
      <c r="W250" s="17">
        <v>10</v>
      </c>
      <c r="X250" s="17" t="s">
        <v>62</v>
      </c>
      <c r="Y250" s="14">
        <v>25</v>
      </c>
      <c r="Z250" s="14">
        <v>60</v>
      </c>
      <c r="AA250" s="14">
        <v>50</v>
      </c>
      <c r="AB250" s="14">
        <v>0</v>
      </c>
      <c r="AC250" s="14">
        <v>0</v>
      </c>
      <c r="AD250" s="14">
        <v>3</v>
      </c>
      <c r="AE250" s="14">
        <v>13</v>
      </c>
      <c r="AF250" s="14">
        <v>12</v>
      </c>
      <c r="AG250" s="17" t="s">
        <v>62</v>
      </c>
      <c r="AH250" s="14">
        <v>15</v>
      </c>
      <c r="AI250" s="14">
        <v>65</v>
      </c>
      <c r="AJ250" s="14">
        <v>60</v>
      </c>
      <c r="AK250" s="14">
        <v>0</v>
      </c>
      <c r="AL250" s="14">
        <v>0</v>
      </c>
      <c r="AM250" s="16">
        <v>5</v>
      </c>
      <c r="AN250" s="16">
        <v>14</v>
      </c>
      <c r="AO250" s="16">
        <v>10</v>
      </c>
      <c r="AP250" s="16">
        <v>11</v>
      </c>
      <c r="AQ250" s="16">
        <v>12</v>
      </c>
      <c r="AR250" s="16">
        <v>11</v>
      </c>
      <c r="AS250" s="16">
        <v>13</v>
      </c>
      <c r="AT250" s="16">
        <v>9</v>
      </c>
      <c r="AU250" s="16">
        <v>10</v>
      </c>
      <c r="AV250" s="16">
        <v>10</v>
      </c>
      <c r="AW250" s="16">
        <v>18</v>
      </c>
      <c r="AX250" s="16">
        <v>6</v>
      </c>
      <c r="AY250" s="16">
        <v>3</v>
      </c>
      <c r="AZ250" s="16">
        <v>6</v>
      </c>
      <c r="BA250" s="16">
        <v>3</v>
      </c>
      <c r="BB250" s="16">
        <v>3</v>
      </c>
      <c r="BC250" s="16">
        <v>0</v>
      </c>
      <c r="BD250" s="16">
        <v>0</v>
      </c>
      <c r="BE250" s="16">
        <v>1</v>
      </c>
      <c r="BF250" s="16">
        <v>0</v>
      </c>
      <c r="BG250" s="16">
        <v>40</v>
      </c>
      <c r="BH250" s="16">
        <v>2</v>
      </c>
      <c r="BI250" s="15" t="s">
        <v>68</v>
      </c>
      <c r="BJ250" s="16">
        <v>3</v>
      </c>
      <c r="BK250" s="16">
        <v>5</v>
      </c>
      <c r="BL250" s="16">
        <v>13</v>
      </c>
      <c r="BM250" s="16">
        <v>13</v>
      </c>
      <c r="BN250" s="16">
        <v>13</v>
      </c>
      <c r="BO250" s="16">
        <v>12</v>
      </c>
      <c r="BP250" s="16">
        <v>11</v>
      </c>
      <c r="BQ250" s="16">
        <v>11</v>
      </c>
      <c r="BR250" s="16">
        <v>12</v>
      </c>
      <c r="BS250" s="16">
        <v>13</v>
      </c>
      <c r="BT250" s="16">
        <v>2</v>
      </c>
      <c r="BU250" s="16">
        <v>10</v>
      </c>
      <c r="BV250" s="16">
        <v>4</v>
      </c>
      <c r="BW250" s="16">
        <v>2</v>
      </c>
      <c r="BX250" s="16">
        <v>3</v>
      </c>
      <c r="BY250" s="16">
        <v>3</v>
      </c>
      <c r="BZ250" s="16">
        <v>1</v>
      </c>
      <c r="CA250" s="16">
        <v>3</v>
      </c>
      <c r="CB250" s="16">
        <v>0</v>
      </c>
      <c r="CC250" s="16">
        <v>0</v>
      </c>
      <c r="CD250" s="16">
        <v>28</v>
      </c>
      <c r="CE250" s="16">
        <v>1.4</v>
      </c>
      <c r="CF250" s="15" t="s">
        <v>68</v>
      </c>
      <c r="CG250" s="15" t="s">
        <v>74</v>
      </c>
      <c r="CH250" s="15">
        <v>3.0479999999999999E-3</v>
      </c>
      <c r="CI250" s="14">
        <v>0</v>
      </c>
      <c r="CJ250" s="79" t="s">
        <v>224</v>
      </c>
      <c r="CK250" s="79" t="s">
        <v>224</v>
      </c>
      <c r="CL250" s="79" t="s">
        <v>224</v>
      </c>
      <c r="CM250" s="79">
        <v>1109.404358</v>
      </c>
      <c r="CN250" s="79">
        <v>1</v>
      </c>
      <c r="CO250" s="79">
        <v>2</v>
      </c>
      <c r="CP250" s="79" t="s">
        <v>224</v>
      </c>
      <c r="CQ250" s="79" t="s">
        <v>224</v>
      </c>
      <c r="CR250" s="12" t="str">
        <f>IF(COUNTIF(Incl!A:A,Raw!J250),1, "")</f>
        <v/>
      </c>
    </row>
    <row r="251" spans="1:96" ht="13.5" thickTop="1" thickBot="1" x14ac:dyDescent="0.3">
      <c r="A251" s="13">
        <v>248</v>
      </c>
      <c r="B251" s="14">
        <v>1</v>
      </c>
      <c r="C251" s="15">
        <v>387.154989</v>
      </c>
      <c r="D251" s="14">
        <v>251</v>
      </c>
      <c r="E251" s="14">
        <v>1</v>
      </c>
      <c r="F251" s="14">
        <v>280</v>
      </c>
      <c r="G251" s="16">
        <v>149</v>
      </c>
      <c r="H251" s="14">
        <v>149</v>
      </c>
      <c r="I251" s="14">
        <v>149</v>
      </c>
      <c r="J251" s="14">
        <v>149</v>
      </c>
      <c r="K251" s="15" t="s">
        <v>122</v>
      </c>
      <c r="L251" s="15" t="s">
        <v>113</v>
      </c>
      <c r="M251" s="15" t="s">
        <v>123</v>
      </c>
      <c r="N251" s="17" t="s">
        <v>62</v>
      </c>
      <c r="O251" s="17">
        <v>6</v>
      </c>
      <c r="P251" s="17" t="s">
        <v>62</v>
      </c>
      <c r="Q251" s="17" t="s">
        <v>62</v>
      </c>
      <c r="R251" s="17" t="s">
        <v>62</v>
      </c>
      <c r="S251" s="17" t="s">
        <v>62</v>
      </c>
      <c r="T251" s="14">
        <v>6</v>
      </c>
      <c r="U251" s="17" t="s">
        <v>62</v>
      </c>
      <c r="V251" s="17">
        <v>2</v>
      </c>
      <c r="W251" s="17">
        <v>3</v>
      </c>
      <c r="X251" s="17" t="s">
        <v>62</v>
      </c>
      <c r="Y251" s="14">
        <v>0</v>
      </c>
      <c r="Z251" s="14">
        <v>33</v>
      </c>
      <c r="AA251" s="14">
        <v>50</v>
      </c>
      <c r="AB251" s="14">
        <v>0</v>
      </c>
      <c r="AC251" s="14">
        <v>0</v>
      </c>
      <c r="AD251" s="14">
        <v>2</v>
      </c>
      <c r="AE251" s="14">
        <v>5</v>
      </c>
      <c r="AF251" s="14">
        <v>4</v>
      </c>
      <c r="AG251" s="17" t="s">
        <v>62</v>
      </c>
      <c r="AH251" s="14">
        <v>33</v>
      </c>
      <c r="AI251" s="14">
        <v>83</v>
      </c>
      <c r="AJ251" s="14">
        <v>67</v>
      </c>
      <c r="AK251" s="14">
        <v>0</v>
      </c>
      <c r="AL251" s="14">
        <v>1</v>
      </c>
      <c r="AM251" s="16">
        <v>0</v>
      </c>
      <c r="AN251" s="16">
        <v>0</v>
      </c>
      <c r="AO251" s="16">
        <v>0</v>
      </c>
      <c r="AP251" s="16">
        <v>1</v>
      </c>
      <c r="AQ251" s="16">
        <v>2</v>
      </c>
      <c r="AR251" s="16">
        <v>3</v>
      </c>
      <c r="AS251" s="16">
        <v>2</v>
      </c>
      <c r="AT251" s="16">
        <v>2</v>
      </c>
      <c r="AU251" s="16">
        <v>3</v>
      </c>
      <c r="AV251" s="16">
        <v>4</v>
      </c>
      <c r="AW251" s="16">
        <v>1</v>
      </c>
      <c r="AX251" s="16">
        <v>1</v>
      </c>
      <c r="AY251" s="16">
        <v>1</v>
      </c>
      <c r="AZ251" s="16">
        <v>0</v>
      </c>
      <c r="BA251" s="16">
        <v>1</v>
      </c>
      <c r="BB251" s="16">
        <v>1</v>
      </c>
      <c r="BC251" s="16">
        <v>0</v>
      </c>
      <c r="BD251" s="16">
        <v>0</v>
      </c>
      <c r="BE251" s="16">
        <v>0</v>
      </c>
      <c r="BF251" s="16">
        <v>0</v>
      </c>
      <c r="BG251" s="16">
        <v>5</v>
      </c>
      <c r="BH251" s="16">
        <v>0.8</v>
      </c>
      <c r="BI251" s="15" t="s">
        <v>77</v>
      </c>
      <c r="BJ251" s="16">
        <v>2</v>
      </c>
      <c r="BK251" s="16">
        <v>2</v>
      </c>
      <c r="BL251" s="16">
        <v>3</v>
      </c>
      <c r="BM251" s="16">
        <v>3</v>
      </c>
      <c r="BN251" s="16">
        <v>5</v>
      </c>
      <c r="BO251" s="16">
        <v>5</v>
      </c>
      <c r="BP251" s="16">
        <v>5</v>
      </c>
      <c r="BQ251" s="16">
        <v>5</v>
      </c>
      <c r="BR251" s="16">
        <v>4</v>
      </c>
      <c r="BS251" s="16">
        <v>4</v>
      </c>
      <c r="BT251" s="16">
        <v>0</v>
      </c>
      <c r="BU251" s="16">
        <v>4</v>
      </c>
      <c r="BV251" s="16">
        <v>0</v>
      </c>
      <c r="BW251" s="16">
        <v>4</v>
      </c>
      <c r="BX251" s="16">
        <v>0</v>
      </c>
      <c r="BY251" s="16">
        <v>1</v>
      </c>
      <c r="BZ251" s="16">
        <v>0</v>
      </c>
      <c r="CA251" s="16">
        <v>1</v>
      </c>
      <c r="CB251" s="16">
        <v>0</v>
      </c>
      <c r="CC251" s="16">
        <v>0</v>
      </c>
      <c r="CD251" s="16">
        <v>10</v>
      </c>
      <c r="CE251" s="16">
        <v>1.7</v>
      </c>
      <c r="CF251" s="15" t="s">
        <v>68</v>
      </c>
      <c r="CG251" s="15" t="s">
        <v>71</v>
      </c>
      <c r="CH251" s="15">
        <v>8.12E-4</v>
      </c>
      <c r="CI251" s="14">
        <v>1</v>
      </c>
      <c r="CJ251" s="79" t="s">
        <v>224</v>
      </c>
      <c r="CK251" s="79" t="s">
        <v>224</v>
      </c>
      <c r="CL251" s="79" t="s">
        <v>224</v>
      </c>
      <c r="CM251" s="79">
        <v>387.15495299999998</v>
      </c>
      <c r="CN251" s="79">
        <v>1</v>
      </c>
      <c r="CO251" s="79">
        <v>2</v>
      </c>
      <c r="CP251" s="79" t="s">
        <v>224</v>
      </c>
      <c r="CQ251" s="79" t="s">
        <v>224</v>
      </c>
      <c r="CR251" s="12" t="str">
        <f>IF(COUNTIF(Incl!A:A,Raw!J251),1, "")</f>
        <v/>
      </c>
    </row>
    <row r="252" spans="1:96" ht="13.5" thickTop="1" thickBot="1" x14ac:dyDescent="0.3">
      <c r="A252" s="18">
        <v>249</v>
      </c>
      <c r="B252" s="19">
        <v>1</v>
      </c>
      <c r="C252" s="20">
        <v>1018.917807</v>
      </c>
      <c r="D252" s="19">
        <v>252</v>
      </c>
      <c r="E252" s="19">
        <v>1</v>
      </c>
      <c r="F252" s="19">
        <v>281</v>
      </c>
      <c r="G252" s="21">
        <v>252</v>
      </c>
      <c r="H252" s="19">
        <v>252</v>
      </c>
      <c r="I252" s="19">
        <v>252</v>
      </c>
      <c r="J252" s="19">
        <v>252</v>
      </c>
      <c r="K252" s="20" t="s">
        <v>119</v>
      </c>
      <c r="L252" s="20" t="s">
        <v>124</v>
      </c>
      <c r="M252" s="20" t="s">
        <v>60</v>
      </c>
      <c r="N252" s="22" t="s">
        <v>62</v>
      </c>
      <c r="O252" s="22" t="s">
        <v>62</v>
      </c>
      <c r="P252" s="22" t="s">
        <v>62</v>
      </c>
      <c r="Q252" s="22" t="s">
        <v>62</v>
      </c>
      <c r="R252" s="22" t="s">
        <v>62</v>
      </c>
      <c r="S252" s="22" t="s">
        <v>62</v>
      </c>
      <c r="T252" s="19">
        <v>0</v>
      </c>
      <c r="U252" s="22" t="s">
        <v>62</v>
      </c>
      <c r="V252" s="22" t="s">
        <v>62</v>
      </c>
      <c r="W252" s="22" t="s">
        <v>62</v>
      </c>
      <c r="X252" s="22" t="s">
        <v>62</v>
      </c>
      <c r="Y252" s="19">
        <v>0</v>
      </c>
      <c r="Z252" s="19">
        <v>0</v>
      </c>
      <c r="AA252" s="19">
        <v>0</v>
      </c>
      <c r="AB252" s="19">
        <v>0</v>
      </c>
      <c r="AC252" s="19">
        <v>0</v>
      </c>
      <c r="AD252" s="19">
        <v>0</v>
      </c>
      <c r="AE252" s="19">
        <v>0</v>
      </c>
      <c r="AF252" s="19">
        <v>0</v>
      </c>
      <c r="AG252" s="22" t="s">
        <v>62</v>
      </c>
      <c r="AH252" s="19">
        <v>0</v>
      </c>
      <c r="AI252" s="19">
        <v>0</v>
      </c>
      <c r="AJ252" s="19">
        <v>0</v>
      </c>
      <c r="AK252" s="19">
        <v>0</v>
      </c>
      <c r="AL252" s="19">
        <v>0</v>
      </c>
      <c r="AM252" s="21">
        <v>0</v>
      </c>
      <c r="AN252" s="21">
        <v>0</v>
      </c>
      <c r="AO252" s="21">
        <v>0</v>
      </c>
      <c r="AP252" s="21">
        <v>0</v>
      </c>
      <c r="AQ252" s="21">
        <v>0</v>
      </c>
      <c r="AR252" s="21">
        <v>0</v>
      </c>
      <c r="AS252" s="21">
        <v>0</v>
      </c>
      <c r="AT252" s="21">
        <v>0</v>
      </c>
      <c r="AU252" s="21">
        <v>0</v>
      </c>
      <c r="AV252" s="21">
        <v>0</v>
      </c>
      <c r="AW252" s="21">
        <v>0</v>
      </c>
      <c r="AX252" s="21">
        <v>0</v>
      </c>
      <c r="AY252" s="21">
        <v>0</v>
      </c>
      <c r="AZ252" s="21">
        <v>0</v>
      </c>
      <c r="BA252" s="21">
        <v>0</v>
      </c>
      <c r="BB252" s="21">
        <v>0</v>
      </c>
      <c r="BC252" s="21">
        <v>0</v>
      </c>
      <c r="BD252" s="21">
        <v>0</v>
      </c>
      <c r="BE252" s="21">
        <v>0</v>
      </c>
      <c r="BF252" s="21">
        <v>0</v>
      </c>
      <c r="BG252" s="21">
        <v>0</v>
      </c>
      <c r="BH252" s="21">
        <v>0</v>
      </c>
      <c r="BI252" s="20" t="s">
        <v>77</v>
      </c>
      <c r="BJ252" s="21">
        <v>0</v>
      </c>
      <c r="BK252" s="21">
        <v>0</v>
      </c>
      <c r="BL252" s="21">
        <v>0</v>
      </c>
      <c r="BM252" s="21">
        <v>0</v>
      </c>
      <c r="BN252" s="21">
        <v>0</v>
      </c>
      <c r="BO252" s="21">
        <v>0</v>
      </c>
      <c r="BP252" s="21">
        <v>0</v>
      </c>
      <c r="BQ252" s="21">
        <v>0</v>
      </c>
      <c r="BR252" s="21">
        <v>0</v>
      </c>
      <c r="BS252" s="21">
        <v>0</v>
      </c>
      <c r="BT252" s="21">
        <v>0</v>
      </c>
      <c r="BU252" s="21">
        <v>0</v>
      </c>
      <c r="BV252" s="21">
        <v>0</v>
      </c>
      <c r="BW252" s="21">
        <v>0</v>
      </c>
      <c r="BX252" s="21">
        <v>0</v>
      </c>
      <c r="BY252" s="21">
        <v>0</v>
      </c>
      <c r="BZ252" s="21">
        <v>0</v>
      </c>
      <c r="CA252" s="21">
        <v>0</v>
      </c>
      <c r="CB252" s="21">
        <v>0</v>
      </c>
      <c r="CC252" s="21">
        <v>0</v>
      </c>
      <c r="CD252" s="21">
        <v>0</v>
      </c>
      <c r="CE252" s="21">
        <v>0</v>
      </c>
      <c r="CF252" s="20" t="s">
        <v>77</v>
      </c>
      <c r="CG252" s="20" t="s">
        <v>64</v>
      </c>
      <c r="CH252" s="20">
        <v>3.2789999999999998E-3</v>
      </c>
      <c r="CI252" s="19">
        <v>0</v>
      </c>
      <c r="CJ252" s="78" t="s">
        <v>224</v>
      </c>
      <c r="CK252" s="78" t="s">
        <v>224</v>
      </c>
      <c r="CL252" s="78" t="s">
        <v>224</v>
      </c>
      <c r="CM252" s="78">
        <v>1018.917729</v>
      </c>
      <c r="CN252" s="78">
        <v>1</v>
      </c>
      <c r="CO252" s="78" t="s">
        <v>224</v>
      </c>
      <c r="CP252" s="78" t="s">
        <v>224</v>
      </c>
      <c r="CQ252" s="78" t="s">
        <v>224</v>
      </c>
      <c r="CR252" s="12" t="str">
        <f>IF(COUNTIF(Incl!A:A,Raw!J252),1, "")</f>
        <v/>
      </c>
    </row>
    <row r="253" spans="1:96" ht="13.5" thickTop="1" thickBot="1" x14ac:dyDescent="0.3">
      <c r="A253" s="18">
        <v>250</v>
      </c>
      <c r="B253" s="19">
        <v>1</v>
      </c>
      <c r="C253" s="20">
        <v>1042.2024309999999</v>
      </c>
      <c r="D253" s="19">
        <v>253</v>
      </c>
      <c r="E253" s="19">
        <v>2</v>
      </c>
      <c r="F253" s="19">
        <v>282</v>
      </c>
      <c r="G253" s="21">
        <v>253</v>
      </c>
      <c r="H253" s="19">
        <v>253</v>
      </c>
      <c r="I253" s="19">
        <v>253</v>
      </c>
      <c r="J253" s="19">
        <v>253</v>
      </c>
      <c r="K253" s="20" t="s">
        <v>119</v>
      </c>
      <c r="L253" s="20" t="s">
        <v>60</v>
      </c>
      <c r="M253" s="20" t="s">
        <v>124</v>
      </c>
      <c r="N253" s="22" t="s">
        <v>62</v>
      </c>
      <c r="O253" s="22" t="s">
        <v>62</v>
      </c>
      <c r="P253" s="22" t="s">
        <v>62</v>
      </c>
      <c r="Q253" s="22" t="s">
        <v>62</v>
      </c>
      <c r="R253" s="22" t="s">
        <v>62</v>
      </c>
      <c r="S253" s="22" t="s">
        <v>62</v>
      </c>
      <c r="T253" s="19">
        <v>0</v>
      </c>
      <c r="U253" s="22" t="s">
        <v>62</v>
      </c>
      <c r="V253" s="22" t="s">
        <v>62</v>
      </c>
      <c r="W253" s="22" t="s">
        <v>62</v>
      </c>
      <c r="X253" s="22" t="s">
        <v>62</v>
      </c>
      <c r="Y253" s="19">
        <v>0</v>
      </c>
      <c r="Z253" s="19">
        <v>0</v>
      </c>
      <c r="AA253" s="19">
        <v>0</v>
      </c>
      <c r="AB253" s="19">
        <v>0</v>
      </c>
      <c r="AC253" s="19">
        <v>0</v>
      </c>
      <c r="AD253" s="19">
        <v>0</v>
      </c>
      <c r="AE253" s="19">
        <v>0</v>
      </c>
      <c r="AF253" s="19">
        <v>0</v>
      </c>
      <c r="AG253" s="22" t="s">
        <v>62</v>
      </c>
      <c r="AH253" s="19">
        <v>0</v>
      </c>
      <c r="AI253" s="19">
        <v>0</v>
      </c>
      <c r="AJ253" s="19">
        <v>0</v>
      </c>
      <c r="AK253" s="19">
        <v>0</v>
      </c>
      <c r="AL253" s="19">
        <v>0</v>
      </c>
      <c r="AM253" s="21">
        <v>0</v>
      </c>
      <c r="AN253" s="21">
        <v>0</v>
      </c>
      <c r="AO253" s="21">
        <v>0</v>
      </c>
      <c r="AP253" s="21">
        <v>0</v>
      </c>
      <c r="AQ253" s="21">
        <v>0</v>
      </c>
      <c r="AR253" s="21">
        <v>0</v>
      </c>
      <c r="AS253" s="21">
        <v>0</v>
      </c>
      <c r="AT253" s="21">
        <v>0</v>
      </c>
      <c r="AU253" s="21">
        <v>0</v>
      </c>
      <c r="AV253" s="21">
        <v>0</v>
      </c>
      <c r="AW253" s="21">
        <v>0</v>
      </c>
      <c r="AX253" s="21">
        <v>0</v>
      </c>
      <c r="AY253" s="21">
        <v>0</v>
      </c>
      <c r="AZ253" s="21">
        <v>0</v>
      </c>
      <c r="BA253" s="21">
        <v>0</v>
      </c>
      <c r="BB253" s="21">
        <v>0</v>
      </c>
      <c r="BC253" s="21">
        <v>0</v>
      </c>
      <c r="BD253" s="21">
        <v>0</v>
      </c>
      <c r="BE253" s="21">
        <v>0</v>
      </c>
      <c r="BF253" s="21">
        <v>0</v>
      </c>
      <c r="BG253" s="21">
        <v>0</v>
      </c>
      <c r="BH253" s="21">
        <v>0</v>
      </c>
      <c r="BI253" s="20" t="s">
        <v>77</v>
      </c>
      <c r="BJ253" s="21">
        <v>0</v>
      </c>
      <c r="BK253" s="21">
        <v>0</v>
      </c>
      <c r="BL253" s="21">
        <v>0</v>
      </c>
      <c r="BM253" s="21">
        <v>0</v>
      </c>
      <c r="BN253" s="21">
        <v>0</v>
      </c>
      <c r="BO253" s="21">
        <v>0</v>
      </c>
      <c r="BP253" s="21">
        <v>0</v>
      </c>
      <c r="BQ253" s="21">
        <v>0</v>
      </c>
      <c r="BR253" s="21">
        <v>0</v>
      </c>
      <c r="BS253" s="21">
        <v>0</v>
      </c>
      <c r="BT253" s="21">
        <v>0</v>
      </c>
      <c r="BU253" s="21">
        <v>0</v>
      </c>
      <c r="BV253" s="21">
        <v>0</v>
      </c>
      <c r="BW253" s="21">
        <v>0</v>
      </c>
      <c r="BX253" s="21">
        <v>0</v>
      </c>
      <c r="BY253" s="21">
        <v>0</v>
      </c>
      <c r="BZ253" s="21">
        <v>0</v>
      </c>
      <c r="CA253" s="21">
        <v>0</v>
      </c>
      <c r="CB253" s="21">
        <v>0</v>
      </c>
      <c r="CC253" s="21">
        <v>0</v>
      </c>
      <c r="CD253" s="21">
        <v>0</v>
      </c>
      <c r="CE253" s="21">
        <v>0</v>
      </c>
      <c r="CF253" s="20" t="s">
        <v>77</v>
      </c>
      <c r="CG253" s="20" t="s">
        <v>66</v>
      </c>
      <c r="CH253" s="20">
        <v>3.3600000000000001E-3</v>
      </c>
      <c r="CI253" s="19">
        <v>0</v>
      </c>
      <c r="CJ253" s="78" t="s">
        <v>224</v>
      </c>
      <c r="CK253" s="78" t="s">
        <v>224</v>
      </c>
      <c r="CL253" s="78" t="s">
        <v>224</v>
      </c>
      <c r="CM253" s="78">
        <v>1042.202581</v>
      </c>
      <c r="CN253" s="78">
        <v>1</v>
      </c>
      <c r="CO253" s="78" t="s">
        <v>224</v>
      </c>
      <c r="CP253" s="78" t="s">
        <v>224</v>
      </c>
      <c r="CQ253" s="78" t="s">
        <v>224</v>
      </c>
      <c r="CR253" s="12" t="str">
        <f>IF(COUNTIF(Incl!A:A,Raw!J253),1, "")</f>
        <v/>
      </c>
    </row>
    <row r="254" spans="1:96" ht="13.5" thickTop="1" thickBot="1" x14ac:dyDescent="0.3">
      <c r="A254" s="13">
        <v>251</v>
      </c>
      <c r="B254" s="14">
        <v>1</v>
      </c>
      <c r="C254" s="15">
        <v>327.59294599999998</v>
      </c>
      <c r="D254" s="14">
        <v>254</v>
      </c>
      <c r="E254" s="14">
        <v>1</v>
      </c>
      <c r="F254" s="14">
        <v>283</v>
      </c>
      <c r="G254" s="16">
        <v>254</v>
      </c>
      <c r="H254" s="14">
        <v>254</v>
      </c>
      <c r="I254" s="14">
        <v>254</v>
      </c>
      <c r="J254" s="14">
        <v>254</v>
      </c>
      <c r="K254" s="15" t="s">
        <v>119</v>
      </c>
      <c r="L254" s="15" t="s">
        <v>125</v>
      </c>
      <c r="M254" s="15" t="s">
        <v>124</v>
      </c>
      <c r="N254" s="17" t="s">
        <v>62</v>
      </c>
      <c r="O254" s="17" t="s">
        <v>62</v>
      </c>
      <c r="P254" s="17" t="s">
        <v>62</v>
      </c>
      <c r="Q254" s="17" t="s">
        <v>62</v>
      </c>
      <c r="R254" s="17" t="s">
        <v>62</v>
      </c>
      <c r="S254" s="17" t="s">
        <v>62</v>
      </c>
      <c r="T254" s="14">
        <v>0</v>
      </c>
      <c r="U254" s="17" t="s">
        <v>62</v>
      </c>
      <c r="V254" s="17" t="s">
        <v>62</v>
      </c>
      <c r="W254" s="17" t="s">
        <v>62</v>
      </c>
      <c r="X254" s="17" t="s">
        <v>62</v>
      </c>
      <c r="Y254" s="14">
        <v>0</v>
      </c>
      <c r="Z254" s="14">
        <v>0</v>
      </c>
      <c r="AA254" s="14">
        <v>0</v>
      </c>
      <c r="AB254" s="14">
        <v>0</v>
      </c>
      <c r="AC254" s="14">
        <v>0</v>
      </c>
      <c r="AD254" s="14">
        <v>0</v>
      </c>
      <c r="AE254" s="14">
        <v>0</v>
      </c>
      <c r="AF254" s="14">
        <v>0</v>
      </c>
      <c r="AG254" s="17" t="s">
        <v>62</v>
      </c>
      <c r="AH254" s="14">
        <v>0</v>
      </c>
      <c r="AI254" s="14">
        <v>0</v>
      </c>
      <c r="AJ254" s="14">
        <v>0</v>
      </c>
      <c r="AK254" s="14">
        <v>0</v>
      </c>
      <c r="AL254" s="14">
        <v>0</v>
      </c>
      <c r="AM254" s="16">
        <v>0</v>
      </c>
      <c r="AN254" s="16">
        <v>0</v>
      </c>
      <c r="AO254" s="16">
        <v>0</v>
      </c>
      <c r="AP254" s="16">
        <v>0</v>
      </c>
      <c r="AQ254" s="16">
        <v>0</v>
      </c>
      <c r="AR254" s="16">
        <v>0</v>
      </c>
      <c r="AS254" s="16">
        <v>0</v>
      </c>
      <c r="AT254" s="16">
        <v>0</v>
      </c>
      <c r="AU254" s="16">
        <v>0</v>
      </c>
      <c r="AV254" s="16">
        <v>0</v>
      </c>
      <c r="AW254" s="16">
        <v>0</v>
      </c>
      <c r="AX254" s="16">
        <v>0</v>
      </c>
      <c r="AY254" s="16">
        <v>0</v>
      </c>
      <c r="AZ254" s="16">
        <v>0</v>
      </c>
      <c r="BA254" s="16">
        <v>0</v>
      </c>
      <c r="BB254" s="16">
        <v>0</v>
      </c>
      <c r="BC254" s="16">
        <v>0</v>
      </c>
      <c r="BD254" s="16">
        <v>0</v>
      </c>
      <c r="BE254" s="16">
        <v>0</v>
      </c>
      <c r="BF254" s="16">
        <v>0</v>
      </c>
      <c r="BG254" s="16">
        <v>0</v>
      </c>
      <c r="BH254" s="16">
        <v>0</v>
      </c>
      <c r="BI254" s="15" t="s">
        <v>77</v>
      </c>
      <c r="BJ254" s="16">
        <v>0</v>
      </c>
      <c r="BK254" s="16">
        <v>0</v>
      </c>
      <c r="BL254" s="16">
        <v>0</v>
      </c>
      <c r="BM254" s="16">
        <v>0</v>
      </c>
      <c r="BN254" s="16">
        <v>0</v>
      </c>
      <c r="BO254" s="16">
        <v>0</v>
      </c>
      <c r="BP254" s="16">
        <v>0</v>
      </c>
      <c r="BQ254" s="16">
        <v>0</v>
      </c>
      <c r="BR254" s="16">
        <v>0</v>
      </c>
      <c r="BS254" s="16">
        <v>0</v>
      </c>
      <c r="BT254" s="16">
        <v>0</v>
      </c>
      <c r="BU254" s="16">
        <v>0</v>
      </c>
      <c r="BV254" s="16">
        <v>0</v>
      </c>
      <c r="BW254" s="16">
        <v>0</v>
      </c>
      <c r="BX254" s="16">
        <v>0</v>
      </c>
      <c r="BY254" s="16">
        <v>0</v>
      </c>
      <c r="BZ254" s="16">
        <v>0</v>
      </c>
      <c r="CA254" s="16">
        <v>0</v>
      </c>
      <c r="CB254" s="16">
        <v>0</v>
      </c>
      <c r="CC254" s="16">
        <v>0</v>
      </c>
      <c r="CD254" s="16">
        <v>0</v>
      </c>
      <c r="CE254" s="16">
        <v>0</v>
      </c>
      <c r="CF254" s="15" t="s">
        <v>77</v>
      </c>
      <c r="CG254" s="15" t="s">
        <v>64</v>
      </c>
      <c r="CH254" s="15">
        <v>1.0510000000000001E-3</v>
      </c>
      <c r="CI254" s="14">
        <v>0</v>
      </c>
      <c r="CJ254" s="79" t="s">
        <v>224</v>
      </c>
      <c r="CK254" s="79" t="s">
        <v>224</v>
      </c>
      <c r="CL254" s="79" t="s">
        <v>224</v>
      </c>
      <c r="CM254" s="79">
        <v>327.59299199999998</v>
      </c>
      <c r="CN254" s="79">
        <v>1</v>
      </c>
      <c r="CO254" s="79" t="s">
        <v>224</v>
      </c>
      <c r="CP254" s="79" t="s">
        <v>224</v>
      </c>
      <c r="CQ254" s="79" t="s">
        <v>224</v>
      </c>
      <c r="CR254" s="12" t="str">
        <f>IF(COUNTIF(Incl!A:A,Raw!J254),1, "")</f>
        <v/>
      </c>
    </row>
    <row r="255" spans="1:96" ht="13.5" thickTop="1" thickBot="1" x14ac:dyDescent="0.3">
      <c r="A255" s="18">
        <v>252</v>
      </c>
      <c r="B255" s="19">
        <v>1</v>
      </c>
      <c r="C255" s="20">
        <v>278.65772500000003</v>
      </c>
      <c r="D255" s="19">
        <v>255</v>
      </c>
      <c r="E255" s="19">
        <v>1</v>
      </c>
      <c r="F255" s="19">
        <v>284</v>
      </c>
      <c r="G255" s="21">
        <v>255</v>
      </c>
      <c r="H255" s="19">
        <v>255</v>
      </c>
      <c r="I255" s="19">
        <v>255</v>
      </c>
      <c r="J255" s="19">
        <v>255</v>
      </c>
      <c r="K255" s="20" t="s">
        <v>119</v>
      </c>
      <c r="L255" s="20" t="s">
        <v>124</v>
      </c>
      <c r="M255" s="20" t="s">
        <v>125</v>
      </c>
      <c r="N255" s="22" t="s">
        <v>62</v>
      </c>
      <c r="O255" s="22" t="s">
        <v>62</v>
      </c>
      <c r="P255" s="22" t="s">
        <v>62</v>
      </c>
      <c r="Q255" s="22" t="s">
        <v>62</v>
      </c>
      <c r="R255" s="22" t="s">
        <v>62</v>
      </c>
      <c r="S255" s="22" t="s">
        <v>62</v>
      </c>
      <c r="T255" s="19">
        <v>0</v>
      </c>
      <c r="U255" s="22" t="s">
        <v>62</v>
      </c>
      <c r="V255" s="22" t="s">
        <v>62</v>
      </c>
      <c r="W255" s="22" t="s">
        <v>62</v>
      </c>
      <c r="X255" s="22" t="s">
        <v>62</v>
      </c>
      <c r="Y255" s="19">
        <v>0</v>
      </c>
      <c r="Z255" s="19">
        <v>0</v>
      </c>
      <c r="AA255" s="19">
        <v>0</v>
      </c>
      <c r="AB255" s="19">
        <v>0</v>
      </c>
      <c r="AC255" s="19">
        <v>0</v>
      </c>
      <c r="AD255" s="19">
        <v>0</v>
      </c>
      <c r="AE255" s="19">
        <v>0</v>
      </c>
      <c r="AF255" s="19">
        <v>0</v>
      </c>
      <c r="AG255" s="22" t="s">
        <v>62</v>
      </c>
      <c r="AH255" s="19">
        <v>0</v>
      </c>
      <c r="AI255" s="19">
        <v>0</v>
      </c>
      <c r="AJ255" s="19">
        <v>0</v>
      </c>
      <c r="AK255" s="19">
        <v>0</v>
      </c>
      <c r="AL255" s="19">
        <v>0</v>
      </c>
      <c r="AM255" s="21">
        <v>0</v>
      </c>
      <c r="AN255" s="21">
        <v>0</v>
      </c>
      <c r="AO255" s="21">
        <v>0</v>
      </c>
      <c r="AP255" s="21">
        <v>0</v>
      </c>
      <c r="AQ255" s="21">
        <v>0</v>
      </c>
      <c r="AR255" s="21">
        <v>0</v>
      </c>
      <c r="AS255" s="21">
        <v>0</v>
      </c>
      <c r="AT255" s="21">
        <v>0</v>
      </c>
      <c r="AU255" s="21">
        <v>0</v>
      </c>
      <c r="AV255" s="21">
        <v>0</v>
      </c>
      <c r="AW255" s="21">
        <v>0</v>
      </c>
      <c r="AX255" s="21">
        <v>0</v>
      </c>
      <c r="AY255" s="21">
        <v>0</v>
      </c>
      <c r="AZ255" s="21">
        <v>0</v>
      </c>
      <c r="BA255" s="21">
        <v>0</v>
      </c>
      <c r="BB255" s="21">
        <v>0</v>
      </c>
      <c r="BC255" s="21">
        <v>0</v>
      </c>
      <c r="BD255" s="21">
        <v>0</v>
      </c>
      <c r="BE255" s="21">
        <v>0</v>
      </c>
      <c r="BF255" s="21">
        <v>0</v>
      </c>
      <c r="BG255" s="21">
        <v>0</v>
      </c>
      <c r="BH255" s="21">
        <v>0</v>
      </c>
      <c r="BI255" s="20" t="s">
        <v>77</v>
      </c>
      <c r="BJ255" s="21">
        <v>0</v>
      </c>
      <c r="BK255" s="21">
        <v>0</v>
      </c>
      <c r="BL255" s="21">
        <v>0</v>
      </c>
      <c r="BM255" s="21">
        <v>0</v>
      </c>
      <c r="BN255" s="21">
        <v>0</v>
      </c>
      <c r="BO255" s="21">
        <v>0</v>
      </c>
      <c r="BP255" s="21">
        <v>0</v>
      </c>
      <c r="BQ255" s="21">
        <v>0</v>
      </c>
      <c r="BR255" s="21">
        <v>0</v>
      </c>
      <c r="BS255" s="21">
        <v>0</v>
      </c>
      <c r="BT255" s="21">
        <v>0</v>
      </c>
      <c r="BU255" s="21">
        <v>0</v>
      </c>
      <c r="BV255" s="21">
        <v>0</v>
      </c>
      <c r="BW255" s="21">
        <v>0</v>
      </c>
      <c r="BX255" s="21">
        <v>0</v>
      </c>
      <c r="BY255" s="21">
        <v>0</v>
      </c>
      <c r="BZ255" s="21">
        <v>0</v>
      </c>
      <c r="CA255" s="21">
        <v>0</v>
      </c>
      <c r="CB255" s="21">
        <v>0</v>
      </c>
      <c r="CC255" s="21">
        <v>0</v>
      </c>
      <c r="CD255" s="21">
        <v>0</v>
      </c>
      <c r="CE255" s="21">
        <v>0</v>
      </c>
      <c r="CF255" s="20" t="s">
        <v>77</v>
      </c>
      <c r="CG255" s="20" t="s">
        <v>66</v>
      </c>
      <c r="CH255" s="20">
        <v>9.0200000000000002E-4</v>
      </c>
      <c r="CI255" s="19">
        <v>0</v>
      </c>
      <c r="CJ255" s="78" t="s">
        <v>224</v>
      </c>
      <c r="CK255" s="78" t="s">
        <v>224</v>
      </c>
      <c r="CL255" s="78" t="s">
        <v>224</v>
      </c>
      <c r="CM255" s="78">
        <v>278.65769</v>
      </c>
      <c r="CN255" s="78">
        <v>1</v>
      </c>
      <c r="CO255" s="78" t="s">
        <v>224</v>
      </c>
      <c r="CP255" s="78" t="s">
        <v>224</v>
      </c>
      <c r="CQ255" s="78" t="s">
        <v>224</v>
      </c>
      <c r="CR255" s="12" t="str">
        <f>IF(COUNTIF(Incl!A:A,Raw!J255),1, "")</f>
        <v/>
      </c>
    </row>
    <row r="256" spans="1:96" ht="13.5" thickTop="1" thickBot="1" x14ac:dyDescent="0.3">
      <c r="A256" s="13">
        <v>253</v>
      </c>
      <c r="B256" s="14">
        <v>1</v>
      </c>
      <c r="C256" s="15">
        <v>346.98305800000003</v>
      </c>
      <c r="D256" s="14">
        <v>256</v>
      </c>
      <c r="E256" s="14">
        <v>1</v>
      </c>
      <c r="F256" s="14">
        <v>285</v>
      </c>
      <c r="G256" s="16">
        <v>152</v>
      </c>
      <c r="H256" s="14">
        <v>152</v>
      </c>
      <c r="I256" s="14">
        <v>152</v>
      </c>
      <c r="J256" s="14">
        <v>152</v>
      </c>
      <c r="K256" s="15" t="s">
        <v>124</v>
      </c>
      <c r="L256" s="15" t="s">
        <v>119</v>
      </c>
      <c r="M256" s="15" t="s">
        <v>126</v>
      </c>
      <c r="N256" s="17" t="s">
        <v>62</v>
      </c>
      <c r="O256" s="17" t="s">
        <v>62</v>
      </c>
      <c r="P256" s="17" t="s">
        <v>62</v>
      </c>
      <c r="Q256" s="17" t="s">
        <v>62</v>
      </c>
      <c r="R256" s="17" t="s">
        <v>62</v>
      </c>
      <c r="S256" s="17" t="s">
        <v>62</v>
      </c>
      <c r="T256" s="14">
        <v>0</v>
      </c>
      <c r="U256" s="17" t="s">
        <v>62</v>
      </c>
      <c r="V256" s="17" t="s">
        <v>62</v>
      </c>
      <c r="W256" s="17" t="s">
        <v>62</v>
      </c>
      <c r="X256" s="17" t="s">
        <v>62</v>
      </c>
      <c r="Y256" s="14">
        <v>0</v>
      </c>
      <c r="Z256" s="14">
        <v>0</v>
      </c>
      <c r="AA256" s="14">
        <v>0</v>
      </c>
      <c r="AB256" s="14">
        <v>0</v>
      </c>
      <c r="AC256" s="14">
        <v>0</v>
      </c>
      <c r="AD256" s="14">
        <v>0</v>
      </c>
      <c r="AE256" s="14">
        <v>0</v>
      </c>
      <c r="AF256" s="14">
        <v>0</v>
      </c>
      <c r="AG256" s="17" t="s">
        <v>62</v>
      </c>
      <c r="AH256" s="14">
        <v>0</v>
      </c>
      <c r="AI256" s="14">
        <v>0</v>
      </c>
      <c r="AJ256" s="14">
        <v>0</v>
      </c>
      <c r="AK256" s="14">
        <v>0</v>
      </c>
      <c r="AL256" s="14">
        <v>0</v>
      </c>
      <c r="AM256" s="16">
        <v>0</v>
      </c>
      <c r="AN256" s="16">
        <v>0</v>
      </c>
      <c r="AO256" s="16">
        <v>0</v>
      </c>
      <c r="AP256" s="16">
        <v>0</v>
      </c>
      <c r="AQ256" s="16">
        <v>0</v>
      </c>
      <c r="AR256" s="16">
        <v>0</v>
      </c>
      <c r="AS256" s="16">
        <v>0</v>
      </c>
      <c r="AT256" s="16">
        <v>0</v>
      </c>
      <c r="AU256" s="16">
        <v>0</v>
      </c>
      <c r="AV256" s="16">
        <v>0</v>
      </c>
      <c r="AW256" s="16">
        <v>0</v>
      </c>
      <c r="AX256" s="16">
        <v>0</v>
      </c>
      <c r="AY256" s="16">
        <v>0</v>
      </c>
      <c r="AZ256" s="16">
        <v>0</v>
      </c>
      <c r="BA256" s="16">
        <v>0</v>
      </c>
      <c r="BB256" s="16">
        <v>0</v>
      </c>
      <c r="BC256" s="16">
        <v>0</v>
      </c>
      <c r="BD256" s="16">
        <v>0</v>
      </c>
      <c r="BE256" s="16">
        <v>0</v>
      </c>
      <c r="BF256" s="16">
        <v>0</v>
      </c>
      <c r="BG256" s="16">
        <v>0</v>
      </c>
      <c r="BH256" s="16">
        <v>0</v>
      </c>
      <c r="BI256" s="15" t="s">
        <v>77</v>
      </c>
      <c r="BJ256" s="16">
        <v>0</v>
      </c>
      <c r="BK256" s="16">
        <v>0</v>
      </c>
      <c r="BL256" s="16">
        <v>0</v>
      </c>
      <c r="BM256" s="16">
        <v>0</v>
      </c>
      <c r="BN256" s="16">
        <v>0</v>
      </c>
      <c r="BO256" s="16">
        <v>0</v>
      </c>
      <c r="BP256" s="16">
        <v>0</v>
      </c>
      <c r="BQ256" s="16">
        <v>0</v>
      </c>
      <c r="BR256" s="16">
        <v>0</v>
      </c>
      <c r="BS256" s="16">
        <v>0</v>
      </c>
      <c r="BT256" s="16">
        <v>0</v>
      </c>
      <c r="BU256" s="16">
        <v>0</v>
      </c>
      <c r="BV256" s="16">
        <v>0</v>
      </c>
      <c r="BW256" s="16">
        <v>0</v>
      </c>
      <c r="BX256" s="16">
        <v>0</v>
      </c>
      <c r="BY256" s="16">
        <v>0</v>
      </c>
      <c r="BZ256" s="16">
        <v>0</v>
      </c>
      <c r="CA256" s="16">
        <v>0</v>
      </c>
      <c r="CB256" s="16">
        <v>0</v>
      </c>
      <c r="CC256" s="16">
        <v>0</v>
      </c>
      <c r="CD256" s="16">
        <v>0</v>
      </c>
      <c r="CE256" s="16">
        <v>0</v>
      </c>
      <c r="CF256" s="15" t="s">
        <v>77</v>
      </c>
      <c r="CG256" s="15" t="s">
        <v>71</v>
      </c>
      <c r="CH256" s="15">
        <v>1.0679999999999999E-3</v>
      </c>
      <c r="CI256" s="14">
        <v>0</v>
      </c>
      <c r="CJ256" s="79" t="s">
        <v>224</v>
      </c>
      <c r="CK256" s="79" t="s">
        <v>224</v>
      </c>
      <c r="CL256" s="79" t="s">
        <v>224</v>
      </c>
      <c r="CM256" s="79">
        <v>346.983114</v>
      </c>
      <c r="CN256" s="79">
        <v>1</v>
      </c>
      <c r="CO256" s="79" t="s">
        <v>224</v>
      </c>
      <c r="CP256" s="79" t="s">
        <v>224</v>
      </c>
      <c r="CQ256" s="79" t="s">
        <v>224</v>
      </c>
      <c r="CR256" s="12" t="str">
        <f>IF(COUNTIF(Incl!A:A,Raw!J256),1, "")</f>
        <v/>
      </c>
    </row>
    <row r="257" spans="1:96" ht="13.5" thickTop="1" thickBot="1" x14ac:dyDescent="0.3">
      <c r="A257" s="18">
        <v>254</v>
      </c>
      <c r="B257" s="19">
        <v>1</v>
      </c>
      <c r="C257" s="20">
        <v>188.02490599999999</v>
      </c>
      <c r="D257" s="19">
        <v>257</v>
      </c>
      <c r="E257" s="19">
        <v>1</v>
      </c>
      <c r="F257" s="19">
        <v>286</v>
      </c>
      <c r="G257" s="21">
        <v>207</v>
      </c>
      <c r="H257" s="19">
        <v>207</v>
      </c>
      <c r="I257" s="19">
        <v>207</v>
      </c>
      <c r="J257" s="19">
        <v>207</v>
      </c>
      <c r="K257" s="20" t="s">
        <v>109</v>
      </c>
      <c r="L257" s="20" t="s">
        <v>69</v>
      </c>
      <c r="M257" s="20" t="s">
        <v>82</v>
      </c>
      <c r="N257" s="21" t="s">
        <v>62</v>
      </c>
      <c r="O257" s="22">
        <v>6</v>
      </c>
      <c r="P257" s="22" t="s">
        <v>62</v>
      </c>
      <c r="Q257" s="22" t="s">
        <v>62</v>
      </c>
      <c r="R257" s="22" t="s">
        <v>62</v>
      </c>
      <c r="S257" s="22" t="s">
        <v>62</v>
      </c>
      <c r="T257" s="19">
        <v>6</v>
      </c>
      <c r="U257" s="22">
        <v>5</v>
      </c>
      <c r="V257" s="22">
        <v>2</v>
      </c>
      <c r="W257" s="22">
        <v>4</v>
      </c>
      <c r="X257" s="22" t="s">
        <v>62</v>
      </c>
      <c r="Y257" s="19">
        <v>87</v>
      </c>
      <c r="Z257" s="19">
        <v>35</v>
      </c>
      <c r="AA257" s="19">
        <v>70</v>
      </c>
      <c r="AB257" s="19">
        <v>0</v>
      </c>
      <c r="AC257" s="19">
        <v>1</v>
      </c>
      <c r="AD257" s="19">
        <v>2</v>
      </c>
      <c r="AE257" s="19">
        <v>5</v>
      </c>
      <c r="AF257" s="19">
        <v>4</v>
      </c>
      <c r="AG257" s="22" t="s">
        <v>62</v>
      </c>
      <c r="AH257" s="19">
        <v>35</v>
      </c>
      <c r="AI257" s="19">
        <v>87</v>
      </c>
      <c r="AJ257" s="19">
        <v>70</v>
      </c>
      <c r="AK257" s="19">
        <v>0</v>
      </c>
      <c r="AL257" s="19">
        <v>1</v>
      </c>
      <c r="AM257" s="21">
        <v>5</v>
      </c>
      <c r="AN257" s="21">
        <v>5</v>
      </c>
      <c r="AO257" s="21">
        <v>5</v>
      </c>
      <c r="AP257" s="21">
        <v>5</v>
      </c>
      <c r="AQ257" s="21">
        <v>2</v>
      </c>
      <c r="AR257" s="21">
        <v>2</v>
      </c>
      <c r="AS257" s="21">
        <v>2</v>
      </c>
      <c r="AT257" s="21">
        <v>3</v>
      </c>
      <c r="AU257" s="21">
        <v>4</v>
      </c>
      <c r="AV257" s="21">
        <v>3</v>
      </c>
      <c r="AW257" s="21">
        <v>11</v>
      </c>
      <c r="AX257" s="21">
        <v>4</v>
      </c>
      <c r="AY257" s="21">
        <v>4</v>
      </c>
      <c r="AZ257" s="21">
        <v>0</v>
      </c>
      <c r="BA257" s="21">
        <v>1</v>
      </c>
      <c r="BB257" s="21">
        <v>0</v>
      </c>
      <c r="BC257" s="21">
        <v>0</v>
      </c>
      <c r="BD257" s="21">
        <v>0</v>
      </c>
      <c r="BE257" s="21">
        <v>0</v>
      </c>
      <c r="BF257" s="21">
        <v>0</v>
      </c>
      <c r="BG257" s="21">
        <v>20</v>
      </c>
      <c r="BH257" s="21">
        <v>3.5</v>
      </c>
      <c r="BI257" s="20" t="s">
        <v>65</v>
      </c>
      <c r="BJ257" s="21">
        <v>2</v>
      </c>
      <c r="BK257" s="21">
        <v>3</v>
      </c>
      <c r="BL257" s="21">
        <v>5</v>
      </c>
      <c r="BM257" s="21">
        <v>4</v>
      </c>
      <c r="BN257" s="21">
        <v>5</v>
      </c>
      <c r="BO257" s="21">
        <v>5</v>
      </c>
      <c r="BP257" s="21">
        <v>5</v>
      </c>
      <c r="BQ257" s="21">
        <v>5</v>
      </c>
      <c r="BR257" s="21">
        <v>4</v>
      </c>
      <c r="BS257" s="21">
        <v>3</v>
      </c>
      <c r="BT257" s="21">
        <v>18</v>
      </c>
      <c r="BU257" s="21">
        <v>2</v>
      </c>
      <c r="BV257" s="21">
        <v>1</v>
      </c>
      <c r="BW257" s="21">
        <v>4</v>
      </c>
      <c r="BX257" s="21">
        <v>0</v>
      </c>
      <c r="BY257" s="21">
        <v>0</v>
      </c>
      <c r="BZ257" s="21">
        <v>0</v>
      </c>
      <c r="CA257" s="21">
        <v>0</v>
      </c>
      <c r="CB257" s="21">
        <v>0</v>
      </c>
      <c r="CC257" s="21">
        <v>0</v>
      </c>
      <c r="CD257" s="21">
        <v>25</v>
      </c>
      <c r="CE257" s="21">
        <v>4.3</v>
      </c>
      <c r="CF257" s="20" t="s">
        <v>67</v>
      </c>
      <c r="CG257" s="20" t="s">
        <v>66</v>
      </c>
      <c r="CH257" s="20">
        <v>5.8699999999999996E-4</v>
      </c>
      <c r="CI257" s="19">
        <v>2</v>
      </c>
      <c r="CJ257" s="78">
        <v>1</v>
      </c>
      <c r="CK257" s="78">
        <v>1</v>
      </c>
      <c r="CL257" s="78">
        <v>1</v>
      </c>
      <c r="CM257" s="78">
        <v>188.02510000000001</v>
      </c>
      <c r="CN257" s="78">
        <v>1</v>
      </c>
      <c r="CO257" s="78">
        <v>1</v>
      </c>
      <c r="CP257" s="78" t="s">
        <v>224</v>
      </c>
      <c r="CQ257" s="78" t="s">
        <v>224</v>
      </c>
      <c r="CR257" s="12">
        <f>IF(COUNTIF(Incl!A:A,Raw!J257),1, "")</f>
        <v>1</v>
      </c>
    </row>
    <row r="258" spans="1:96" ht="13.5" thickTop="1" thickBot="1" x14ac:dyDescent="0.3">
      <c r="A258" s="18">
        <v>255</v>
      </c>
      <c r="B258" s="19">
        <v>1</v>
      </c>
      <c r="C258" s="20">
        <v>344.96669900000001</v>
      </c>
      <c r="D258" s="19">
        <v>258</v>
      </c>
      <c r="E258" s="19">
        <v>1</v>
      </c>
      <c r="F258" s="19">
        <v>287</v>
      </c>
      <c r="G258" s="21">
        <v>153</v>
      </c>
      <c r="H258" s="19">
        <v>153</v>
      </c>
      <c r="I258" s="19">
        <v>153</v>
      </c>
      <c r="J258" s="19">
        <v>153</v>
      </c>
      <c r="K258" s="20" t="s">
        <v>124</v>
      </c>
      <c r="L258" s="20" t="s">
        <v>126</v>
      </c>
      <c r="M258" s="20" t="s">
        <v>119</v>
      </c>
      <c r="N258" s="22" t="s">
        <v>62</v>
      </c>
      <c r="O258" s="22" t="s">
        <v>62</v>
      </c>
      <c r="P258" s="21" t="s">
        <v>62</v>
      </c>
      <c r="Q258" s="22" t="s">
        <v>62</v>
      </c>
      <c r="R258" s="22" t="s">
        <v>62</v>
      </c>
      <c r="S258" s="22" t="s">
        <v>62</v>
      </c>
      <c r="T258" s="19">
        <v>0</v>
      </c>
      <c r="U258" s="21" t="s">
        <v>62</v>
      </c>
      <c r="V258" s="21" t="s">
        <v>62</v>
      </c>
      <c r="W258" s="21" t="s">
        <v>62</v>
      </c>
      <c r="X258" s="22" t="s">
        <v>62</v>
      </c>
      <c r="Y258" s="19">
        <v>0</v>
      </c>
      <c r="Z258" s="19">
        <v>0</v>
      </c>
      <c r="AA258" s="19">
        <v>0</v>
      </c>
      <c r="AB258" s="19">
        <v>0</v>
      </c>
      <c r="AC258" s="19">
        <v>0</v>
      </c>
      <c r="AD258" s="19">
        <v>0</v>
      </c>
      <c r="AE258" s="19">
        <v>0</v>
      </c>
      <c r="AF258" s="19">
        <v>0</v>
      </c>
      <c r="AG258" s="22" t="s">
        <v>62</v>
      </c>
      <c r="AH258" s="19">
        <v>0</v>
      </c>
      <c r="AI258" s="19">
        <v>0</v>
      </c>
      <c r="AJ258" s="19">
        <v>0</v>
      </c>
      <c r="AK258" s="19">
        <v>0</v>
      </c>
      <c r="AL258" s="19">
        <v>0</v>
      </c>
      <c r="AM258" s="21">
        <v>0</v>
      </c>
      <c r="AN258" s="21">
        <v>0</v>
      </c>
      <c r="AO258" s="21">
        <v>0</v>
      </c>
      <c r="AP258" s="21">
        <v>0</v>
      </c>
      <c r="AQ258" s="21">
        <v>0</v>
      </c>
      <c r="AR258" s="21">
        <v>0</v>
      </c>
      <c r="AS258" s="21">
        <v>0</v>
      </c>
      <c r="AT258" s="21">
        <v>0</v>
      </c>
      <c r="AU258" s="21">
        <v>0</v>
      </c>
      <c r="AV258" s="21">
        <v>0</v>
      </c>
      <c r="AW258" s="21">
        <v>0</v>
      </c>
      <c r="AX258" s="21">
        <v>0</v>
      </c>
      <c r="AY258" s="21">
        <v>0</v>
      </c>
      <c r="AZ258" s="21">
        <v>0</v>
      </c>
      <c r="BA258" s="21">
        <v>0</v>
      </c>
      <c r="BB258" s="21">
        <v>0</v>
      </c>
      <c r="BC258" s="21">
        <v>0</v>
      </c>
      <c r="BD258" s="21">
        <v>0</v>
      </c>
      <c r="BE258" s="21">
        <v>0</v>
      </c>
      <c r="BF258" s="21">
        <v>0</v>
      </c>
      <c r="BG258" s="21">
        <v>0</v>
      </c>
      <c r="BH258" s="21">
        <v>0</v>
      </c>
      <c r="BI258" s="20" t="s">
        <v>77</v>
      </c>
      <c r="BJ258" s="21">
        <v>0</v>
      </c>
      <c r="BK258" s="21">
        <v>0</v>
      </c>
      <c r="BL258" s="21">
        <v>0</v>
      </c>
      <c r="BM258" s="21">
        <v>0</v>
      </c>
      <c r="BN258" s="21">
        <v>0</v>
      </c>
      <c r="BO258" s="21">
        <v>0</v>
      </c>
      <c r="BP258" s="21">
        <v>0</v>
      </c>
      <c r="BQ258" s="21">
        <v>0</v>
      </c>
      <c r="BR258" s="21">
        <v>0</v>
      </c>
      <c r="BS258" s="21">
        <v>0</v>
      </c>
      <c r="BT258" s="21">
        <v>0</v>
      </c>
      <c r="BU258" s="21">
        <v>0</v>
      </c>
      <c r="BV258" s="21">
        <v>0</v>
      </c>
      <c r="BW258" s="21">
        <v>0</v>
      </c>
      <c r="BX258" s="21">
        <v>0</v>
      </c>
      <c r="BY258" s="21">
        <v>0</v>
      </c>
      <c r="BZ258" s="21">
        <v>0</v>
      </c>
      <c r="CA258" s="21">
        <v>0</v>
      </c>
      <c r="CB258" s="22">
        <v>0</v>
      </c>
      <c r="CC258" s="21">
        <v>0</v>
      </c>
      <c r="CD258" s="21">
        <v>0</v>
      </c>
      <c r="CE258" s="21">
        <v>0</v>
      </c>
      <c r="CF258" s="20" t="s">
        <v>77</v>
      </c>
      <c r="CG258" s="20" t="s">
        <v>74</v>
      </c>
      <c r="CH258" s="20">
        <v>1.07E-3</v>
      </c>
      <c r="CI258" s="19">
        <v>0</v>
      </c>
      <c r="CJ258" s="78" t="s">
        <v>224</v>
      </c>
      <c r="CK258" s="78" t="s">
        <v>224</v>
      </c>
      <c r="CL258" s="78" t="s">
        <v>224</v>
      </c>
      <c r="CM258" s="78">
        <v>344.9667</v>
      </c>
      <c r="CN258" s="78">
        <v>1</v>
      </c>
      <c r="CO258" s="78" t="s">
        <v>224</v>
      </c>
      <c r="CP258" s="78" t="s">
        <v>224</v>
      </c>
      <c r="CQ258" s="78" t="s">
        <v>224</v>
      </c>
      <c r="CR258" s="12" t="str">
        <f>IF(COUNTIF(Incl!A:A,Raw!J258),1, "")</f>
        <v/>
      </c>
    </row>
    <row r="259" spans="1:96" ht="13.5" thickTop="1" thickBot="1" x14ac:dyDescent="0.3">
      <c r="A259" s="13">
        <v>256</v>
      </c>
      <c r="B259" s="14">
        <v>1</v>
      </c>
      <c r="C259" s="15">
        <v>510.72280499999999</v>
      </c>
      <c r="D259" s="14">
        <v>259</v>
      </c>
      <c r="E259" s="14">
        <v>1</v>
      </c>
      <c r="F259" s="14">
        <v>288</v>
      </c>
      <c r="G259" s="16">
        <v>260</v>
      </c>
      <c r="H259" s="14">
        <v>260</v>
      </c>
      <c r="I259" s="14">
        <v>260</v>
      </c>
      <c r="J259" s="14">
        <v>260</v>
      </c>
      <c r="K259" s="15" t="s">
        <v>126</v>
      </c>
      <c r="L259" s="15" t="s">
        <v>124</v>
      </c>
      <c r="M259" s="15" t="s">
        <v>107</v>
      </c>
      <c r="N259" s="16" t="s">
        <v>62</v>
      </c>
      <c r="O259" s="17" t="s">
        <v>62</v>
      </c>
      <c r="P259" s="17" t="s">
        <v>62</v>
      </c>
      <c r="Q259" s="17" t="s">
        <v>62</v>
      </c>
      <c r="R259" s="17" t="s">
        <v>62</v>
      </c>
      <c r="S259" s="17" t="s">
        <v>62</v>
      </c>
      <c r="T259" s="14">
        <v>0</v>
      </c>
      <c r="U259" s="16" t="s">
        <v>62</v>
      </c>
      <c r="V259" s="17" t="s">
        <v>62</v>
      </c>
      <c r="W259" s="17" t="s">
        <v>62</v>
      </c>
      <c r="X259" s="17" t="s">
        <v>62</v>
      </c>
      <c r="Y259" s="14">
        <v>0</v>
      </c>
      <c r="Z259" s="14">
        <v>0</v>
      </c>
      <c r="AA259" s="14">
        <v>0</v>
      </c>
      <c r="AB259" s="14">
        <v>0</v>
      </c>
      <c r="AC259" s="14">
        <v>0</v>
      </c>
      <c r="AD259" s="14">
        <v>0</v>
      </c>
      <c r="AE259" s="14">
        <v>0</v>
      </c>
      <c r="AF259" s="14">
        <v>0</v>
      </c>
      <c r="AG259" s="17" t="s">
        <v>62</v>
      </c>
      <c r="AH259" s="14">
        <v>0</v>
      </c>
      <c r="AI259" s="14">
        <v>0</v>
      </c>
      <c r="AJ259" s="14">
        <v>0</v>
      </c>
      <c r="AK259" s="14">
        <v>0</v>
      </c>
      <c r="AL259" s="14">
        <v>0</v>
      </c>
      <c r="AM259" s="16">
        <v>0</v>
      </c>
      <c r="AN259" s="16">
        <v>0</v>
      </c>
      <c r="AO259" s="16">
        <v>0</v>
      </c>
      <c r="AP259" s="16">
        <v>0</v>
      </c>
      <c r="AQ259" s="16">
        <v>0</v>
      </c>
      <c r="AR259" s="16">
        <v>0</v>
      </c>
      <c r="AS259" s="16">
        <v>0</v>
      </c>
      <c r="AT259" s="16">
        <v>0</v>
      </c>
      <c r="AU259" s="16">
        <v>0</v>
      </c>
      <c r="AV259" s="16">
        <v>0</v>
      </c>
      <c r="AW259" s="16">
        <v>0</v>
      </c>
      <c r="AX259" s="16">
        <v>0</v>
      </c>
      <c r="AY259" s="16">
        <v>0</v>
      </c>
      <c r="AZ259" s="16">
        <v>0</v>
      </c>
      <c r="BA259" s="16">
        <v>0</v>
      </c>
      <c r="BB259" s="16">
        <v>0</v>
      </c>
      <c r="BC259" s="16">
        <v>0</v>
      </c>
      <c r="BD259" s="16">
        <v>0</v>
      </c>
      <c r="BE259" s="16">
        <v>0</v>
      </c>
      <c r="BF259" s="16">
        <v>0</v>
      </c>
      <c r="BG259" s="16">
        <v>0</v>
      </c>
      <c r="BH259" s="16">
        <v>0</v>
      </c>
      <c r="BI259" s="15" t="s">
        <v>77</v>
      </c>
      <c r="BJ259" s="16">
        <v>0</v>
      </c>
      <c r="BK259" s="16">
        <v>0</v>
      </c>
      <c r="BL259" s="16">
        <v>0</v>
      </c>
      <c r="BM259" s="16">
        <v>0</v>
      </c>
      <c r="BN259" s="16">
        <v>0</v>
      </c>
      <c r="BO259" s="16">
        <v>0</v>
      </c>
      <c r="BP259" s="16">
        <v>0</v>
      </c>
      <c r="BQ259" s="16">
        <v>0</v>
      </c>
      <c r="BR259" s="16">
        <v>0</v>
      </c>
      <c r="BS259" s="16">
        <v>0</v>
      </c>
      <c r="BT259" s="16">
        <v>0</v>
      </c>
      <c r="BU259" s="16">
        <v>0</v>
      </c>
      <c r="BV259" s="16">
        <v>0</v>
      </c>
      <c r="BW259" s="16">
        <v>0</v>
      </c>
      <c r="BX259" s="16">
        <v>0</v>
      </c>
      <c r="BY259" s="16">
        <v>0</v>
      </c>
      <c r="BZ259" s="16">
        <v>0</v>
      </c>
      <c r="CA259" s="16">
        <v>0</v>
      </c>
      <c r="CB259" s="16">
        <v>0</v>
      </c>
      <c r="CC259" s="16">
        <v>0</v>
      </c>
      <c r="CD259" s="16">
        <v>0</v>
      </c>
      <c r="CE259" s="16">
        <v>0</v>
      </c>
      <c r="CF259" s="15" t="s">
        <v>77</v>
      </c>
      <c r="CG259" s="15" t="s">
        <v>64</v>
      </c>
      <c r="CH259" s="15">
        <v>1.6479999999999999E-3</v>
      </c>
      <c r="CI259" s="14">
        <v>0</v>
      </c>
      <c r="CJ259" s="79" t="s">
        <v>224</v>
      </c>
      <c r="CK259" s="79" t="s">
        <v>224</v>
      </c>
      <c r="CL259" s="79" t="s">
        <v>224</v>
      </c>
      <c r="CM259" s="79">
        <v>510.72286500000001</v>
      </c>
      <c r="CN259" s="79">
        <v>1</v>
      </c>
      <c r="CO259" s="79" t="s">
        <v>224</v>
      </c>
      <c r="CP259" s="79" t="s">
        <v>224</v>
      </c>
      <c r="CQ259" s="79" t="s">
        <v>224</v>
      </c>
      <c r="CR259" s="12" t="str">
        <f>IF(COUNTIF(Incl!A:A,Raw!J259),1, "")</f>
        <v/>
      </c>
    </row>
    <row r="260" spans="1:96" ht="13.5" thickTop="1" thickBot="1" x14ac:dyDescent="0.3">
      <c r="A260" s="13">
        <v>257</v>
      </c>
      <c r="B260" s="14">
        <v>1</v>
      </c>
      <c r="C260" s="15">
        <v>540.73808799999995</v>
      </c>
      <c r="D260" s="14">
        <v>260</v>
      </c>
      <c r="E260" s="14">
        <v>1</v>
      </c>
      <c r="F260" s="14">
        <v>289</v>
      </c>
      <c r="G260" s="16">
        <v>261</v>
      </c>
      <c r="H260" s="14">
        <v>261</v>
      </c>
      <c r="I260" s="14">
        <v>261</v>
      </c>
      <c r="J260" s="14">
        <v>261</v>
      </c>
      <c r="K260" s="15" t="s">
        <v>126</v>
      </c>
      <c r="L260" s="15" t="s">
        <v>107</v>
      </c>
      <c r="M260" s="15" t="s">
        <v>124</v>
      </c>
      <c r="N260" s="17" t="s">
        <v>62</v>
      </c>
      <c r="O260" s="17" t="s">
        <v>62</v>
      </c>
      <c r="P260" s="16" t="s">
        <v>62</v>
      </c>
      <c r="Q260" s="17" t="s">
        <v>62</v>
      </c>
      <c r="R260" s="17" t="s">
        <v>62</v>
      </c>
      <c r="S260" s="17" t="s">
        <v>62</v>
      </c>
      <c r="T260" s="14">
        <v>0</v>
      </c>
      <c r="U260" s="17" t="s">
        <v>62</v>
      </c>
      <c r="V260" s="17" t="s">
        <v>62</v>
      </c>
      <c r="W260" s="17" t="s">
        <v>62</v>
      </c>
      <c r="X260" s="17" t="s">
        <v>62</v>
      </c>
      <c r="Y260" s="14">
        <v>0</v>
      </c>
      <c r="Z260" s="14">
        <v>0</v>
      </c>
      <c r="AA260" s="14">
        <v>0</v>
      </c>
      <c r="AB260" s="14">
        <v>0</v>
      </c>
      <c r="AC260" s="14">
        <v>0</v>
      </c>
      <c r="AD260" s="14">
        <v>0</v>
      </c>
      <c r="AE260" s="14">
        <v>0</v>
      </c>
      <c r="AF260" s="14">
        <v>0</v>
      </c>
      <c r="AG260" s="17" t="s">
        <v>62</v>
      </c>
      <c r="AH260" s="14">
        <v>0</v>
      </c>
      <c r="AI260" s="14">
        <v>0</v>
      </c>
      <c r="AJ260" s="14">
        <v>0</v>
      </c>
      <c r="AK260" s="14">
        <v>0</v>
      </c>
      <c r="AL260" s="14">
        <v>0</v>
      </c>
      <c r="AM260" s="16">
        <v>0</v>
      </c>
      <c r="AN260" s="16">
        <v>0</v>
      </c>
      <c r="AO260" s="16">
        <v>0</v>
      </c>
      <c r="AP260" s="16">
        <v>0</v>
      </c>
      <c r="AQ260" s="16">
        <v>0</v>
      </c>
      <c r="AR260" s="16">
        <v>0</v>
      </c>
      <c r="AS260" s="16">
        <v>0</v>
      </c>
      <c r="AT260" s="16">
        <v>0</v>
      </c>
      <c r="AU260" s="16">
        <v>0</v>
      </c>
      <c r="AV260" s="16">
        <v>0</v>
      </c>
      <c r="AW260" s="16">
        <v>0</v>
      </c>
      <c r="AX260" s="16">
        <v>0</v>
      </c>
      <c r="AY260" s="16">
        <v>0</v>
      </c>
      <c r="AZ260" s="16">
        <v>0</v>
      </c>
      <c r="BA260" s="16">
        <v>0</v>
      </c>
      <c r="BB260" s="16">
        <v>0</v>
      </c>
      <c r="BC260" s="16">
        <v>0</v>
      </c>
      <c r="BD260" s="16">
        <v>0</v>
      </c>
      <c r="BE260" s="16">
        <v>0</v>
      </c>
      <c r="BF260" s="16">
        <v>0</v>
      </c>
      <c r="BG260" s="16">
        <v>0</v>
      </c>
      <c r="BH260" s="16">
        <v>0</v>
      </c>
      <c r="BI260" s="15" t="s">
        <v>77</v>
      </c>
      <c r="BJ260" s="16">
        <v>0</v>
      </c>
      <c r="BK260" s="16">
        <v>0</v>
      </c>
      <c r="BL260" s="16">
        <v>0</v>
      </c>
      <c r="BM260" s="16">
        <v>0</v>
      </c>
      <c r="BN260" s="16">
        <v>0</v>
      </c>
      <c r="BO260" s="16">
        <v>0</v>
      </c>
      <c r="BP260" s="16">
        <v>0</v>
      </c>
      <c r="BQ260" s="16">
        <v>0</v>
      </c>
      <c r="BR260" s="16">
        <v>0</v>
      </c>
      <c r="BS260" s="16">
        <v>0</v>
      </c>
      <c r="BT260" s="16">
        <v>0</v>
      </c>
      <c r="BU260" s="16">
        <v>0</v>
      </c>
      <c r="BV260" s="16">
        <v>0</v>
      </c>
      <c r="BW260" s="16">
        <v>0</v>
      </c>
      <c r="BX260" s="16">
        <v>0</v>
      </c>
      <c r="BY260" s="16">
        <v>0</v>
      </c>
      <c r="BZ260" s="16">
        <v>0</v>
      </c>
      <c r="CA260" s="16">
        <v>0</v>
      </c>
      <c r="CB260" s="16">
        <v>0</v>
      </c>
      <c r="CC260" s="16">
        <v>0</v>
      </c>
      <c r="CD260" s="16">
        <v>0</v>
      </c>
      <c r="CE260" s="16">
        <v>0</v>
      </c>
      <c r="CF260" s="15" t="s">
        <v>77</v>
      </c>
      <c r="CG260" s="15" t="s">
        <v>66</v>
      </c>
      <c r="CH260" s="15">
        <v>1.745E-3</v>
      </c>
      <c r="CI260" s="14">
        <v>0</v>
      </c>
      <c r="CJ260" s="79" t="s">
        <v>224</v>
      </c>
      <c r="CK260" s="79" t="s">
        <v>224</v>
      </c>
      <c r="CL260" s="79" t="s">
        <v>224</v>
      </c>
      <c r="CM260" s="79">
        <v>540.73818100000005</v>
      </c>
      <c r="CN260" s="79">
        <v>1</v>
      </c>
      <c r="CO260" s="79" t="s">
        <v>224</v>
      </c>
      <c r="CP260" s="79" t="s">
        <v>224</v>
      </c>
      <c r="CQ260" s="79" t="s">
        <v>224</v>
      </c>
      <c r="CR260" s="12" t="str">
        <f>IF(COUNTIF(Incl!A:A,Raw!J260),1, "")</f>
        <v/>
      </c>
    </row>
    <row r="261" spans="1:96" ht="13.5" thickTop="1" thickBot="1" x14ac:dyDescent="0.3">
      <c r="A261" s="13">
        <v>258</v>
      </c>
      <c r="B261" s="14">
        <v>1</v>
      </c>
      <c r="C261" s="15">
        <v>764.99860899999999</v>
      </c>
      <c r="D261" s="14">
        <v>261</v>
      </c>
      <c r="E261" s="14">
        <v>1</v>
      </c>
      <c r="F261" s="14">
        <v>290</v>
      </c>
      <c r="G261" s="16">
        <v>262</v>
      </c>
      <c r="H261" s="14">
        <v>262</v>
      </c>
      <c r="I261" s="14">
        <v>262</v>
      </c>
      <c r="J261" s="14">
        <v>262</v>
      </c>
      <c r="K261" s="15" t="s">
        <v>126</v>
      </c>
      <c r="L261" s="15" t="s">
        <v>127</v>
      </c>
      <c r="M261" s="15" t="s">
        <v>124</v>
      </c>
      <c r="N261" s="17">
        <v>18</v>
      </c>
      <c r="O261" s="17" t="s">
        <v>62</v>
      </c>
      <c r="P261" s="17" t="s">
        <v>62</v>
      </c>
      <c r="Q261" s="17" t="s">
        <v>62</v>
      </c>
      <c r="R261" s="17" t="s">
        <v>62</v>
      </c>
      <c r="S261" s="17" t="s">
        <v>62</v>
      </c>
      <c r="T261" s="14">
        <v>18</v>
      </c>
      <c r="U261" s="17">
        <v>3</v>
      </c>
      <c r="V261" s="17">
        <v>3</v>
      </c>
      <c r="W261" s="17" t="s">
        <v>62</v>
      </c>
      <c r="X261" s="17" t="s">
        <v>62</v>
      </c>
      <c r="Y261" s="14">
        <v>16</v>
      </c>
      <c r="Z261" s="14">
        <v>16</v>
      </c>
      <c r="AA261" s="14">
        <v>0</v>
      </c>
      <c r="AB261" s="14">
        <v>0</v>
      </c>
      <c r="AC261" s="14">
        <v>0</v>
      </c>
      <c r="AD261" s="14">
        <v>5</v>
      </c>
      <c r="AE261" s="14">
        <v>5</v>
      </c>
      <c r="AF261" s="14">
        <v>0</v>
      </c>
      <c r="AG261" s="17" t="s">
        <v>62</v>
      </c>
      <c r="AH261" s="14">
        <v>27</v>
      </c>
      <c r="AI261" s="14">
        <v>27</v>
      </c>
      <c r="AJ261" s="14">
        <v>0</v>
      </c>
      <c r="AK261" s="14">
        <v>0</v>
      </c>
      <c r="AL261" s="14">
        <v>0</v>
      </c>
      <c r="AM261" s="16">
        <v>3</v>
      </c>
      <c r="AN261" s="16">
        <v>3</v>
      </c>
      <c r="AO261" s="16">
        <v>3</v>
      </c>
      <c r="AP261" s="16">
        <v>3</v>
      </c>
      <c r="AQ261" s="16">
        <v>3</v>
      </c>
      <c r="AR261" s="16">
        <v>3</v>
      </c>
      <c r="AS261" s="16">
        <v>0</v>
      </c>
      <c r="AT261" s="16">
        <v>0</v>
      </c>
      <c r="AU261" s="16">
        <v>0</v>
      </c>
      <c r="AV261" s="16">
        <v>0</v>
      </c>
      <c r="AW261" s="16">
        <v>0</v>
      </c>
      <c r="AX261" s="16">
        <v>0</v>
      </c>
      <c r="AY261" s="16">
        <v>0</v>
      </c>
      <c r="AZ261" s="16">
        <v>0</v>
      </c>
      <c r="BA261" s="16">
        <v>0</v>
      </c>
      <c r="BB261" s="16">
        <v>3</v>
      </c>
      <c r="BC261" s="16">
        <v>0</v>
      </c>
      <c r="BD261" s="16">
        <v>0</v>
      </c>
      <c r="BE261" s="16">
        <v>0</v>
      </c>
      <c r="BF261" s="16">
        <v>0</v>
      </c>
      <c r="BG261" s="16">
        <v>3</v>
      </c>
      <c r="BH261" s="16">
        <v>0.2</v>
      </c>
      <c r="BI261" s="15" t="s">
        <v>77</v>
      </c>
      <c r="BJ261" s="16">
        <v>5</v>
      </c>
      <c r="BK261" s="16">
        <v>5</v>
      </c>
      <c r="BL261" s="16">
        <v>5</v>
      </c>
      <c r="BM261" s="16">
        <v>5</v>
      </c>
      <c r="BN261" s="16">
        <v>5</v>
      </c>
      <c r="BO261" s="16">
        <v>5</v>
      </c>
      <c r="BP261" s="16">
        <v>5</v>
      </c>
      <c r="BQ261" s="16">
        <v>0</v>
      </c>
      <c r="BR261" s="16">
        <v>0</v>
      </c>
      <c r="BS261" s="16">
        <v>0</v>
      </c>
      <c r="BT261" s="16">
        <v>0</v>
      </c>
      <c r="BU261" s="16">
        <v>0</v>
      </c>
      <c r="BV261" s="16">
        <v>0</v>
      </c>
      <c r="BW261" s="16">
        <v>0</v>
      </c>
      <c r="BX261" s="16">
        <v>0</v>
      </c>
      <c r="BY261" s="16">
        <v>0</v>
      </c>
      <c r="BZ261" s="16">
        <v>5</v>
      </c>
      <c r="CA261" s="16">
        <v>0</v>
      </c>
      <c r="CB261" s="16">
        <v>0</v>
      </c>
      <c r="CC261" s="16">
        <v>0</v>
      </c>
      <c r="CD261" s="16">
        <v>5</v>
      </c>
      <c r="CE261" s="16">
        <v>0.3</v>
      </c>
      <c r="CF261" s="15" t="s">
        <v>77</v>
      </c>
      <c r="CG261" s="15" t="s">
        <v>64</v>
      </c>
      <c r="CH261" s="15">
        <v>2.47E-3</v>
      </c>
      <c r="CI261" s="14">
        <v>0</v>
      </c>
      <c r="CJ261" s="79" t="s">
        <v>224</v>
      </c>
      <c r="CK261" s="79" t="s">
        <v>224</v>
      </c>
      <c r="CL261" s="79" t="s">
        <v>224</v>
      </c>
      <c r="CM261" s="79">
        <v>764.99852899999996</v>
      </c>
      <c r="CN261" s="79">
        <v>1</v>
      </c>
      <c r="CO261" s="79" t="s">
        <v>224</v>
      </c>
      <c r="CP261" s="79" t="s">
        <v>224</v>
      </c>
      <c r="CQ261" s="79" t="s">
        <v>224</v>
      </c>
      <c r="CR261" s="12" t="str">
        <f>IF(COUNTIF(Incl!A:A,Raw!J261),1, "")</f>
        <v/>
      </c>
    </row>
    <row r="262" spans="1:96" ht="13.5" thickTop="1" thickBot="1" x14ac:dyDescent="0.3">
      <c r="A262" s="18">
        <v>259</v>
      </c>
      <c r="B262" s="19">
        <v>1</v>
      </c>
      <c r="C262" s="20">
        <v>811.46037000000001</v>
      </c>
      <c r="D262" s="19">
        <v>262</v>
      </c>
      <c r="E262" s="19">
        <v>1</v>
      </c>
      <c r="F262" s="19">
        <v>291</v>
      </c>
      <c r="G262" s="21">
        <v>263</v>
      </c>
      <c r="H262" s="19">
        <v>263</v>
      </c>
      <c r="I262" s="19">
        <v>263</v>
      </c>
      <c r="J262" s="19">
        <v>263</v>
      </c>
      <c r="K262" s="20" t="s">
        <v>126</v>
      </c>
      <c r="L262" s="20" t="s">
        <v>124</v>
      </c>
      <c r="M262" s="20" t="s">
        <v>127</v>
      </c>
      <c r="N262" s="22" t="s">
        <v>62</v>
      </c>
      <c r="O262" s="22" t="s">
        <v>62</v>
      </c>
      <c r="P262" s="22" t="s">
        <v>62</v>
      </c>
      <c r="Q262" s="22" t="s">
        <v>62</v>
      </c>
      <c r="R262" s="22" t="s">
        <v>62</v>
      </c>
      <c r="S262" s="22" t="s">
        <v>62</v>
      </c>
      <c r="T262" s="19">
        <v>0</v>
      </c>
      <c r="U262" s="22" t="s">
        <v>62</v>
      </c>
      <c r="V262" s="22" t="s">
        <v>62</v>
      </c>
      <c r="W262" s="22" t="s">
        <v>62</v>
      </c>
      <c r="X262" s="22" t="s">
        <v>62</v>
      </c>
      <c r="Y262" s="19">
        <v>0</v>
      </c>
      <c r="Z262" s="19">
        <v>0</v>
      </c>
      <c r="AA262" s="19">
        <v>0</v>
      </c>
      <c r="AB262" s="19">
        <v>0</v>
      </c>
      <c r="AC262" s="19">
        <v>0</v>
      </c>
      <c r="AD262" s="19">
        <v>0</v>
      </c>
      <c r="AE262" s="19">
        <v>0</v>
      </c>
      <c r="AF262" s="19">
        <v>0</v>
      </c>
      <c r="AG262" s="22" t="s">
        <v>62</v>
      </c>
      <c r="AH262" s="19">
        <v>0</v>
      </c>
      <c r="AI262" s="19">
        <v>0</v>
      </c>
      <c r="AJ262" s="19">
        <v>0</v>
      </c>
      <c r="AK262" s="19">
        <v>0</v>
      </c>
      <c r="AL262" s="19">
        <v>0</v>
      </c>
      <c r="AM262" s="21">
        <v>0</v>
      </c>
      <c r="AN262" s="21">
        <v>0</v>
      </c>
      <c r="AO262" s="21">
        <v>0</v>
      </c>
      <c r="AP262" s="21">
        <v>0</v>
      </c>
      <c r="AQ262" s="21">
        <v>0</v>
      </c>
      <c r="AR262" s="21">
        <v>0</v>
      </c>
      <c r="AS262" s="21">
        <v>0</v>
      </c>
      <c r="AT262" s="21">
        <v>0</v>
      </c>
      <c r="AU262" s="21">
        <v>0</v>
      </c>
      <c r="AV262" s="21">
        <v>0</v>
      </c>
      <c r="AW262" s="21">
        <v>0</v>
      </c>
      <c r="AX262" s="21">
        <v>0</v>
      </c>
      <c r="AY262" s="21">
        <v>0</v>
      </c>
      <c r="AZ262" s="21">
        <v>0</v>
      </c>
      <c r="BA262" s="21">
        <v>0</v>
      </c>
      <c r="BB262" s="21">
        <v>0</v>
      </c>
      <c r="BC262" s="21">
        <v>0</v>
      </c>
      <c r="BD262" s="21">
        <v>0</v>
      </c>
      <c r="BE262" s="21">
        <v>0</v>
      </c>
      <c r="BF262" s="21">
        <v>0</v>
      </c>
      <c r="BG262" s="21">
        <v>0</v>
      </c>
      <c r="BH262" s="21">
        <v>0</v>
      </c>
      <c r="BI262" s="20" t="s">
        <v>77</v>
      </c>
      <c r="BJ262" s="21">
        <v>0</v>
      </c>
      <c r="BK262" s="21">
        <v>0</v>
      </c>
      <c r="BL262" s="21">
        <v>0</v>
      </c>
      <c r="BM262" s="21">
        <v>0</v>
      </c>
      <c r="BN262" s="21">
        <v>0</v>
      </c>
      <c r="BO262" s="21">
        <v>0</v>
      </c>
      <c r="BP262" s="21">
        <v>0</v>
      </c>
      <c r="BQ262" s="21">
        <v>0</v>
      </c>
      <c r="BR262" s="21">
        <v>0</v>
      </c>
      <c r="BS262" s="21">
        <v>0</v>
      </c>
      <c r="BT262" s="21">
        <v>0</v>
      </c>
      <c r="BU262" s="21">
        <v>0</v>
      </c>
      <c r="BV262" s="21">
        <v>0</v>
      </c>
      <c r="BW262" s="21">
        <v>0</v>
      </c>
      <c r="BX262" s="21">
        <v>0</v>
      </c>
      <c r="BY262" s="21">
        <v>0</v>
      </c>
      <c r="BZ262" s="21">
        <v>0</v>
      </c>
      <c r="CA262" s="21">
        <v>0</v>
      </c>
      <c r="CB262" s="21">
        <v>0</v>
      </c>
      <c r="CC262" s="21">
        <v>0</v>
      </c>
      <c r="CD262" s="21">
        <v>0</v>
      </c>
      <c r="CE262" s="21">
        <v>0</v>
      </c>
      <c r="CF262" s="20" t="s">
        <v>77</v>
      </c>
      <c r="CG262" s="20" t="s">
        <v>66</v>
      </c>
      <c r="CH262" s="20">
        <v>2.6120000000000002E-3</v>
      </c>
      <c r="CI262" s="19">
        <v>0</v>
      </c>
      <c r="CJ262" s="78" t="s">
        <v>224</v>
      </c>
      <c r="CK262" s="78" t="s">
        <v>224</v>
      </c>
      <c r="CL262" s="78" t="s">
        <v>224</v>
      </c>
      <c r="CM262" s="78">
        <v>811.460555</v>
      </c>
      <c r="CN262" s="78">
        <v>1</v>
      </c>
      <c r="CO262" s="78" t="s">
        <v>224</v>
      </c>
      <c r="CP262" s="78" t="s">
        <v>224</v>
      </c>
      <c r="CQ262" s="78" t="s">
        <v>224</v>
      </c>
      <c r="CR262" s="12" t="str">
        <f>IF(COUNTIF(Incl!A:A,Raw!J262),1, "")</f>
        <v/>
      </c>
    </row>
    <row r="263" spans="1:96" ht="13.5" thickTop="1" thickBot="1" x14ac:dyDescent="0.3">
      <c r="A263" s="13">
        <v>260</v>
      </c>
      <c r="B263" s="14">
        <v>1</v>
      </c>
      <c r="C263" s="15">
        <v>136.44526999999999</v>
      </c>
      <c r="D263" s="14">
        <v>263</v>
      </c>
      <c r="E263" s="14">
        <v>1</v>
      </c>
      <c r="F263" s="14">
        <v>292</v>
      </c>
      <c r="G263" s="16">
        <v>137</v>
      </c>
      <c r="H263" s="14">
        <v>137</v>
      </c>
      <c r="I263" s="14">
        <v>137</v>
      </c>
      <c r="J263" s="14">
        <v>137</v>
      </c>
      <c r="K263" s="15" t="s">
        <v>106</v>
      </c>
      <c r="L263" s="15" t="s">
        <v>104</v>
      </c>
      <c r="M263" s="15" t="s">
        <v>101</v>
      </c>
      <c r="N263" s="16" t="s">
        <v>62</v>
      </c>
      <c r="O263" s="17" t="s">
        <v>62</v>
      </c>
      <c r="P263" s="17">
        <v>6</v>
      </c>
      <c r="Q263" s="17" t="s">
        <v>62</v>
      </c>
      <c r="R263" s="17" t="s">
        <v>62</v>
      </c>
      <c r="S263" s="17" t="s">
        <v>62</v>
      </c>
      <c r="T263" s="14">
        <v>6</v>
      </c>
      <c r="U263" s="16">
        <v>4</v>
      </c>
      <c r="V263" s="16">
        <v>3</v>
      </c>
      <c r="W263" s="17">
        <v>3</v>
      </c>
      <c r="X263" s="17">
        <v>4</v>
      </c>
      <c r="Y263" s="14">
        <v>73</v>
      </c>
      <c r="Z263" s="14">
        <v>55</v>
      </c>
      <c r="AA263" s="14">
        <v>55</v>
      </c>
      <c r="AB263" s="14">
        <v>73</v>
      </c>
      <c r="AC263" s="14">
        <v>0</v>
      </c>
      <c r="AD263" s="14">
        <v>5</v>
      </c>
      <c r="AE263" s="14">
        <v>6</v>
      </c>
      <c r="AF263" s="14">
        <v>4</v>
      </c>
      <c r="AG263" s="17">
        <v>6</v>
      </c>
      <c r="AH263" s="14">
        <v>91</v>
      </c>
      <c r="AI263" s="14">
        <v>109</v>
      </c>
      <c r="AJ263" s="14">
        <v>73</v>
      </c>
      <c r="AK263" s="14">
        <v>109</v>
      </c>
      <c r="AL263" s="14">
        <v>3</v>
      </c>
      <c r="AM263" s="16" t="s">
        <v>62</v>
      </c>
      <c r="AN263" s="16" t="s">
        <v>62</v>
      </c>
      <c r="AO263" s="16" t="s">
        <v>62</v>
      </c>
      <c r="AP263" s="16" t="s">
        <v>62</v>
      </c>
      <c r="AQ263" s="16" t="s">
        <v>62</v>
      </c>
      <c r="AR263" s="16" t="s">
        <v>62</v>
      </c>
      <c r="AS263" s="16" t="s">
        <v>62</v>
      </c>
      <c r="AT263" s="16" t="s">
        <v>62</v>
      </c>
      <c r="AU263" s="16" t="s">
        <v>62</v>
      </c>
      <c r="AV263" s="16" t="s">
        <v>62</v>
      </c>
      <c r="AW263" s="16" t="s">
        <v>62</v>
      </c>
      <c r="AX263" s="16" t="s">
        <v>62</v>
      </c>
      <c r="AY263" s="16" t="s">
        <v>62</v>
      </c>
      <c r="AZ263" s="16" t="s">
        <v>62</v>
      </c>
      <c r="BA263" s="16" t="s">
        <v>62</v>
      </c>
      <c r="BB263" s="16" t="s">
        <v>62</v>
      </c>
      <c r="BC263" s="16" t="s">
        <v>62</v>
      </c>
      <c r="BD263" s="16" t="s">
        <v>62</v>
      </c>
      <c r="BE263" s="16" t="s">
        <v>62</v>
      </c>
      <c r="BF263" s="16" t="s">
        <v>62</v>
      </c>
      <c r="BG263" s="16" t="s">
        <v>62</v>
      </c>
      <c r="BH263" s="16" t="s">
        <v>62</v>
      </c>
      <c r="BI263" s="15" t="s">
        <v>62</v>
      </c>
      <c r="BJ263" s="16" t="s">
        <v>62</v>
      </c>
      <c r="BK263" s="16" t="s">
        <v>62</v>
      </c>
      <c r="BL263" s="16" t="s">
        <v>62</v>
      </c>
      <c r="BM263" s="16" t="s">
        <v>62</v>
      </c>
      <c r="BN263" s="16" t="s">
        <v>62</v>
      </c>
      <c r="BO263" s="16" t="s">
        <v>62</v>
      </c>
      <c r="BP263" s="16" t="s">
        <v>62</v>
      </c>
      <c r="BQ263" s="16" t="s">
        <v>62</v>
      </c>
      <c r="BR263" s="16" t="s">
        <v>62</v>
      </c>
      <c r="BS263" s="16" t="s">
        <v>62</v>
      </c>
      <c r="BT263" s="16" t="s">
        <v>62</v>
      </c>
      <c r="BU263" s="16" t="s">
        <v>62</v>
      </c>
      <c r="BV263" s="16" t="s">
        <v>62</v>
      </c>
      <c r="BW263" s="16" t="s">
        <v>62</v>
      </c>
      <c r="BX263" s="16" t="s">
        <v>62</v>
      </c>
      <c r="BY263" s="16" t="s">
        <v>62</v>
      </c>
      <c r="BZ263" s="16" t="s">
        <v>62</v>
      </c>
      <c r="CA263" s="16" t="s">
        <v>62</v>
      </c>
      <c r="CB263" s="16" t="s">
        <v>62</v>
      </c>
      <c r="CC263" s="16" t="s">
        <v>62</v>
      </c>
      <c r="CD263" s="16" t="s">
        <v>62</v>
      </c>
      <c r="CE263" s="16" t="s">
        <v>62</v>
      </c>
      <c r="CF263" s="15" t="s">
        <v>62</v>
      </c>
      <c r="CG263" s="15" t="s">
        <v>71</v>
      </c>
      <c r="CH263" s="15">
        <v>4.17E-4</v>
      </c>
      <c r="CI263" s="14">
        <v>3</v>
      </c>
      <c r="CJ263" s="79">
        <v>3</v>
      </c>
      <c r="CK263" s="79" t="s">
        <v>224</v>
      </c>
      <c r="CL263" s="79" t="s">
        <v>224</v>
      </c>
      <c r="CM263" s="79">
        <v>136.445357</v>
      </c>
      <c r="CN263" s="79">
        <v>2</v>
      </c>
      <c r="CO263" s="79" t="s">
        <v>224</v>
      </c>
      <c r="CP263" s="79" t="s">
        <v>224</v>
      </c>
      <c r="CQ263" s="79" t="s">
        <v>224</v>
      </c>
      <c r="CR263" s="12" t="str">
        <f>IF(COUNTIF(Incl!A:A,Raw!J263),1, "")</f>
        <v/>
      </c>
    </row>
    <row r="264" spans="1:96" ht="13.5" thickTop="1" thickBot="1" x14ac:dyDescent="0.3">
      <c r="A264" s="18">
        <v>261</v>
      </c>
      <c r="B264" s="19">
        <v>1</v>
      </c>
      <c r="C264" s="20">
        <v>136.37517199999999</v>
      </c>
      <c r="D264" s="19">
        <v>264</v>
      </c>
      <c r="E264" s="19">
        <v>1</v>
      </c>
      <c r="F264" s="19">
        <v>293</v>
      </c>
      <c r="G264" s="21">
        <v>139</v>
      </c>
      <c r="H264" s="19">
        <v>139</v>
      </c>
      <c r="I264" s="19">
        <v>139</v>
      </c>
      <c r="J264" s="19">
        <v>139</v>
      </c>
      <c r="K264" s="20" t="s">
        <v>106</v>
      </c>
      <c r="L264" s="20" t="s">
        <v>101</v>
      </c>
      <c r="M264" s="20" t="s">
        <v>105</v>
      </c>
      <c r="N264" s="22" t="s">
        <v>62</v>
      </c>
      <c r="O264" s="22" t="s">
        <v>62</v>
      </c>
      <c r="P264" s="22">
        <v>8</v>
      </c>
      <c r="Q264" s="22" t="s">
        <v>62</v>
      </c>
      <c r="R264" s="22" t="s">
        <v>62</v>
      </c>
      <c r="S264" s="22" t="s">
        <v>62</v>
      </c>
      <c r="T264" s="19">
        <v>8</v>
      </c>
      <c r="U264" s="22">
        <v>6</v>
      </c>
      <c r="V264" s="22">
        <v>3</v>
      </c>
      <c r="W264" s="22">
        <v>4</v>
      </c>
      <c r="X264" s="22">
        <v>5</v>
      </c>
      <c r="Y264" s="19">
        <v>73</v>
      </c>
      <c r="Z264" s="19">
        <v>36</v>
      </c>
      <c r="AA264" s="19">
        <v>48</v>
      </c>
      <c r="AB264" s="19">
        <v>61</v>
      </c>
      <c r="AC264" s="19">
        <v>0</v>
      </c>
      <c r="AD264" s="19">
        <v>9</v>
      </c>
      <c r="AE264" s="19">
        <v>11</v>
      </c>
      <c r="AF264" s="19">
        <v>6</v>
      </c>
      <c r="AG264" s="22">
        <v>7</v>
      </c>
      <c r="AH264" s="19">
        <v>109</v>
      </c>
      <c r="AI264" s="19">
        <v>133</v>
      </c>
      <c r="AJ264" s="19">
        <v>73</v>
      </c>
      <c r="AK264" s="19">
        <v>85</v>
      </c>
      <c r="AL264" s="19">
        <v>3</v>
      </c>
      <c r="AM264" s="21" t="s">
        <v>62</v>
      </c>
      <c r="AN264" s="21" t="s">
        <v>62</v>
      </c>
      <c r="AO264" s="21" t="s">
        <v>62</v>
      </c>
      <c r="AP264" s="21" t="s">
        <v>62</v>
      </c>
      <c r="AQ264" s="21" t="s">
        <v>62</v>
      </c>
      <c r="AR264" s="21" t="s">
        <v>62</v>
      </c>
      <c r="AS264" s="21" t="s">
        <v>62</v>
      </c>
      <c r="AT264" s="21" t="s">
        <v>62</v>
      </c>
      <c r="AU264" s="21" t="s">
        <v>62</v>
      </c>
      <c r="AV264" s="21" t="s">
        <v>62</v>
      </c>
      <c r="AW264" s="21" t="s">
        <v>62</v>
      </c>
      <c r="AX264" s="21" t="s">
        <v>62</v>
      </c>
      <c r="AY264" s="21" t="s">
        <v>62</v>
      </c>
      <c r="AZ264" s="21" t="s">
        <v>62</v>
      </c>
      <c r="BA264" s="21" t="s">
        <v>62</v>
      </c>
      <c r="BB264" s="21" t="s">
        <v>62</v>
      </c>
      <c r="BC264" s="21" t="s">
        <v>62</v>
      </c>
      <c r="BD264" s="21" t="s">
        <v>62</v>
      </c>
      <c r="BE264" s="21" t="s">
        <v>62</v>
      </c>
      <c r="BF264" s="21" t="s">
        <v>62</v>
      </c>
      <c r="BG264" s="21" t="s">
        <v>62</v>
      </c>
      <c r="BH264" s="21" t="s">
        <v>62</v>
      </c>
      <c r="BI264" s="20" t="s">
        <v>62</v>
      </c>
      <c r="BJ264" s="21" t="s">
        <v>62</v>
      </c>
      <c r="BK264" s="21" t="s">
        <v>62</v>
      </c>
      <c r="BL264" s="21" t="s">
        <v>62</v>
      </c>
      <c r="BM264" s="21" t="s">
        <v>62</v>
      </c>
      <c r="BN264" s="21" t="s">
        <v>62</v>
      </c>
      <c r="BO264" s="21" t="s">
        <v>62</v>
      </c>
      <c r="BP264" s="21" t="s">
        <v>62</v>
      </c>
      <c r="BQ264" s="21" t="s">
        <v>62</v>
      </c>
      <c r="BR264" s="21" t="s">
        <v>62</v>
      </c>
      <c r="BS264" s="21" t="s">
        <v>62</v>
      </c>
      <c r="BT264" s="21" t="s">
        <v>62</v>
      </c>
      <c r="BU264" s="21" t="s">
        <v>62</v>
      </c>
      <c r="BV264" s="21" t="s">
        <v>62</v>
      </c>
      <c r="BW264" s="21" t="s">
        <v>62</v>
      </c>
      <c r="BX264" s="21" t="s">
        <v>62</v>
      </c>
      <c r="BY264" s="21" t="s">
        <v>62</v>
      </c>
      <c r="BZ264" s="21" t="s">
        <v>62</v>
      </c>
      <c r="CA264" s="21" t="s">
        <v>62</v>
      </c>
      <c r="CB264" s="21" t="s">
        <v>62</v>
      </c>
      <c r="CC264" s="21" t="s">
        <v>62</v>
      </c>
      <c r="CD264" s="21" t="s">
        <v>62</v>
      </c>
      <c r="CE264" s="21" t="s">
        <v>62</v>
      </c>
      <c r="CF264" s="20" t="s">
        <v>62</v>
      </c>
      <c r="CG264" s="20" t="s">
        <v>71</v>
      </c>
      <c r="CH264" s="20">
        <v>4.1800000000000002E-4</v>
      </c>
      <c r="CI264" s="19">
        <v>3</v>
      </c>
      <c r="CJ264" s="78">
        <v>3</v>
      </c>
      <c r="CK264" s="78" t="s">
        <v>224</v>
      </c>
      <c r="CL264" s="78" t="s">
        <v>224</v>
      </c>
      <c r="CM264" s="78">
        <v>136.375226</v>
      </c>
      <c r="CN264" s="78">
        <v>2</v>
      </c>
      <c r="CO264" s="78" t="s">
        <v>224</v>
      </c>
      <c r="CP264" s="78" t="s">
        <v>224</v>
      </c>
      <c r="CQ264" s="78" t="s">
        <v>224</v>
      </c>
      <c r="CR264" s="12" t="str">
        <f>IF(COUNTIF(Incl!A:A,Raw!J264),1, "")</f>
        <v/>
      </c>
    </row>
    <row r="265" spans="1:96" ht="13.5" thickTop="1" thickBot="1" x14ac:dyDescent="0.3">
      <c r="A265">
        <v>262</v>
      </c>
      <c r="B265">
        <v>1</v>
      </c>
      <c r="C265">
        <v>160.78339700000001</v>
      </c>
      <c r="D265">
        <v>265</v>
      </c>
      <c r="E265">
        <v>1</v>
      </c>
      <c r="F265">
        <v>294</v>
      </c>
      <c r="G265">
        <v>27</v>
      </c>
      <c r="H265">
        <v>27</v>
      </c>
      <c r="I265">
        <v>27</v>
      </c>
      <c r="J265">
        <v>27</v>
      </c>
      <c r="K265" t="s">
        <v>95</v>
      </c>
      <c r="L265" t="s">
        <v>111</v>
      </c>
      <c r="M265" t="s">
        <v>97</v>
      </c>
      <c r="N265" t="s">
        <v>62</v>
      </c>
      <c r="O265" t="s">
        <v>62</v>
      </c>
      <c r="P265" t="s">
        <v>62</v>
      </c>
      <c r="Q265" t="s">
        <v>62</v>
      </c>
      <c r="R265" t="s">
        <v>62</v>
      </c>
      <c r="S265">
        <v>9</v>
      </c>
      <c r="T265">
        <v>9</v>
      </c>
      <c r="U265" t="s">
        <v>62</v>
      </c>
      <c r="V265" t="s">
        <v>62</v>
      </c>
      <c r="W265">
        <v>1</v>
      </c>
      <c r="X265">
        <v>2</v>
      </c>
      <c r="Y265">
        <v>0</v>
      </c>
      <c r="Z265">
        <v>0</v>
      </c>
      <c r="AA265">
        <v>11</v>
      </c>
      <c r="AB265">
        <v>21</v>
      </c>
      <c r="AC265">
        <v>0</v>
      </c>
      <c r="AD265">
        <v>1</v>
      </c>
      <c r="AE265">
        <v>0</v>
      </c>
      <c r="AF265">
        <v>2</v>
      </c>
      <c r="AG265">
        <v>1</v>
      </c>
      <c r="AH265">
        <v>11</v>
      </c>
      <c r="AI265">
        <v>0</v>
      </c>
      <c r="AJ265">
        <v>21</v>
      </c>
      <c r="AK265">
        <v>11</v>
      </c>
      <c r="AL265">
        <v>0</v>
      </c>
      <c r="AM265" t="s">
        <v>62</v>
      </c>
      <c r="AN265" t="s">
        <v>62</v>
      </c>
      <c r="AO265" t="s">
        <v>62</v>
      </c>
      <c r="AP265" t="s">
        <v>62</v>
      </c>
      <c r="AQ265" t="s">
        <v>62</v>
      </c>
      <c r="AR265" t="s">
        <v>62</v>
      </c>
      <c r="AS265" t="s">
        <v>62</v>
      </c>
      <c r="AT265" t="s">
        <v>62</v>
      </c>
      <c r="AU265" t="s">
        <v>62</v>
      </c>
      <c r="AV265" t="s">
        <v>62</v>
      </c>
      <c r="AW265" t="s">
        <v>62</v>
      </c>
      <c r="AX265" t="s">
        <v>62</v>
      </c>
      <c r="AY265" t="s">
        <v>62</v>
      </c>
      <c r="AZ265" t="s">
        <v>62</v>
      </c>
      <c r="BA265" t="s">
        <v>62</v>
      </c>
      <c r="BB265" t="s">
        <v>62</v>
      </c>
      <c r="BC265" t="s">
        <v>62</v>
      </c>
      <c r="BD265" t="s">
        <v>62</v>
      </c>
      <c r="BE265" t="s">
        <v>62</v>
      </c>
      <c r="BF265" t="s">
        <v>62</v>
      </c>
      <c r="BG265" t="s">
        <v>62</v>
      </c>
      <c r="BH265" t="s">
        <v>62</v>
      </c>
      <c r="BI265" t="s">
        <v>62</v>
      </c>
      <c r="BJ265" t="s">
        <v>62</v>
      </c>
      <c r="BK265" t="s">
        <v>62</v>
      </c>
      <c r="BL265" t="s">
        <v>62</v>
      </c>
      <c r="BM265" t="s">
        <v>62</v>
      </c>
      <c r="BN265" t="s">
        <v>62</v>
      </c>
      <c r="BO265" t="s">
        <v>62</v>
      </c>
      <c r="BP265" t="s">
        <v>62</v>
      </c>
      <c r="BQ265" t="s">
        <v>62</v>
      </c>
      <c r="BR265" t="s">
        <v>62</v>
      </c>
      <c r="BS265" t="s">
        <v>62</v>
      </c>
      <c r="BT265" t="s">
        <v>62</v>
      </c>
      <c r="BU265" t="s">
        <v>62</v>
      </c>
      <c r="BV265" t="s">
        <v>62</v>
      </c>
      <c r="BW265" t="s">
        <v>62</v>
      </c>
      <c r="BX265" t="s">
        <v>62</v>
      </c>
      <c r="BY265" t="s">
        <v>62</v>
      </c>
      <c r="BZ265" t="s">
        <v>62</v>
      </c>
      <c r="CA265" t="s">
        <v>62</v>
      </c>
      <c r="CB265" t="s">
        <v>62</v>
      </c>
      <c r="CC265" t="s">
        <v>62</v>
      </c>
      <c r="CD265" t="s">
        <v>62</v>
      </c>
      <c r="CE265" t="s">
        <v>62</v>
      </c>
      <c r="CF265" t="s">
        <v>62</v>
      </c>
      <c r="CG265" t="s">
        <v>74</v>
      </c>
      <c r="CH265">
        <v>4.84E-4</v>
      </c>
      <c r="CI265">
        <v>0</v>
      </c>
      <c r="CJ265">
        <v>3</v>
      </c>
      <c r="CK265" t="s">
        <v>224</v>
      </c>
      <c r="CL265" t="s">
        <v>224</v>
      </c>
      <c r="CM265">
        <v>160.78337999999999</v>
      </c>
      <c r="CN265">
        <v>2</v>
      </c>
      <c r="CO265" t="s">
        <v>224</v>
      </c>
      <c r="CP265" t="s">
        <v>224</v>
      </c>
      <c r="CQ265" t="s">
        <v>224</v>
      </c>
      <c r="CR265" s="12" t="str">
        <f>IF(COUNTIF(Incl!A:A,Raw!J265),1, "")</f>
        <v/>
      </c>
    </row>
    <row r="266" spans="1:96" ht="13.5" thickTop="1" thickBot="1" x14ac:dyDescent="0.3">
      <c r="A266">
        <v>263</v>
      </c>
      <c r="B266">
        <v>1</v>
      </c>
      <c r="C266">
        <v>644.32887500000004</v>
      </c>
      <c r="D266">
        <v>266</v>
      </c>
      <c r="E266">
        <v>2</v>
      </c>
      <c r="F266">
        <v>295</v>
      </c>
      <c r="G266">
        <v>148</v>
      </c>
      <c r="H266">
        <v>148</v>
      </c>
      <c r="I266">
        <v>148</v>
      </c>
      <c r="J266">
        <v>148</v>
      </c>
      <c r="K266" t="s">
        <v>123</v>
      </c>
      <c r="L266" t="s">
        <v>121</v>
      </c>
      <c r="M266" t="s">
        <v>122</v>
      </c>
      <c r="N266" t="s">
        <v>62</v>
      </c>
      <c r="O266">
        <v>18</v>
      </c>
      <c r="P266" t="s">
        <v>62</v>
      </c>
      <c r="Q266" t="s">
        <v>62</v>
      </c>
      <c r="R266">
        <v>2</v>
      </c>
      <c r="S266" t="s">
        <v>62</v>
      </c>
      <c r="T266">
        <v>21</v>
      </c>
      <c r="U266">
        <v>4</v>
      </c>
      <c r="V266">
        <v>4</v>
      </c>
      <c r="W266">
        <v>5</v>
      </c>
      <c r="X266" t="s">
        <v>62</v>
      </c>
      <c r="Y266">
        <v>19</v>
      </c>
      <c r="Z266">
        <v>19</v>
      </c>
      <c r="AA266">
        <v>24</v>
      </c>
      <c r="AB266">
        <v>0</v>
      </c>
      <c r="AC266">
        <v>0</v>
      </c>
      <c r="AD266">
        <v>10</v>
      </c>
      <c r="AE266">
        <v>9</v>
      </c>
      <c r="AF266">
        <v>8</v>
      </c>
      <c r="AG266" t="s">
        <v>62</v>
      </c>
      <c r="AH266">
        <v>49</v>
      </c>
      <c r="AI266">
        <v>44</v>
      </c>
      <c r="AJ266">
        <v>39</v>
      </c>
      <c r="AK266">
        <v>0</v>
      </c>
      <c r="AL266">
        <v>0</v>
      </c>
      <c r="AM266">
        <v>4</v>
      </c>
      <c r="AN266">
        <v>5</v>
      </c>
      <c r="AO266">
        <v>4</v>
      </c>
      <c r="AP266">
        <v>8</v>
      </c>
      <c r="AQ266">
        <v>4</v>
      </c>
      <c r="AR266">
        <v>3</v>
      </c>
      <c r="AS266">
        <v>3</v>
      </c>
      <c r="AT266">
        <v>3</v>
      </c>
      <c r="AU266">
        <v>5</v>
      </c>
      <c r="AV266">
        <v>7</v>
      </c>
      <c r="AW266">
        <v>10</v>
      </c>
      <c r="AX266">
        <v>8</v>
      </c>
      <c r="AY266">
        <v>0</v>
      </c>
      <c r="AZ266">
        <v>1</v>
      </c>
      <c r="BA266">
        <v>0</v>
      </c>
      <c r="BB266">
        <v>1</v>
      </c>
      <c r="BC266">
        <v>0</v>
      </c>
      <c r="BD266">
        <v>0</v>
      </c>
      <c r="BE266">
        <v>0</v>
      </c>
      <c r="BF266">
        <v>1</v>
      </c>
      <c r="BG266">
        <v>21</v>
      </c>
      <c r="BH266">
        <v>1</v>
      </c>
      <c r="BI266" t="s">
        <v>77</v>
      </c>
      <c r="BJ266">
        <v>10</v>
      </c>
      <c r="BK266">
        <v>12</v>
      </c>
      <c r="BL266">
        <v>10</v>
      </c>
      <c r="BM266">
        <v>10</v>
      </c>
      <c r="BN266">
        <v>9</v>
      </c>
      <c r="BO266">
        <v>9</v>
      </c>
      <c r="BP266">
        <v>9</v>
      </c>
      <c r="BQ266">
        <v>5</v>
      </c>
      <c r="BR266">
        <v>8</v>
      </c>
      <c r="BS266">
        <v>13</v>
      </c>
      <c r="BT266">
        <v>11</v>
      </c>
      <c r="BU266">
        <v>7</v>
      </c>
      <c r="BV266">
        <v>0</v>
      </c>
      <c r="BW266">
        <v>2</v>
      </c>
      <c r="BX266">
        <v>0</v>
      </c>
      <c r="BY266">
        <v>0</v>
      </c>
      <c r="BZ266">
        <v>4</v>
      </c>
      <c r="CA266">
        <v>3</v>
      </c>
      <c r="CB266">
        <v>0</v>
      </c>
      <c r="CC266">
        <v>1</v>
      </c>
      <c r="CD266">
        <v>28</v>
      </c>
      <c r="CE266">
        <v>1.4</v>
      </c>
      <c r="CF266" t="s">
        <v>68</v>
      </c>
      <c r="CG266" t="s">
        <v>74</v>
      </c>
      <c r="CH266">
        <v>1.9680000000000001E-3</v>
      </c>
      <c r="CI266">
        <v>0</v>
      </c>
      <c r="CJ266" t="s">
        <v>224</v>
      </c>
      <c r="CK266" t="s">
        <v>224</v>
      </c>
      <c r="CL266" t="s">
        <v>224</v>
      </c>
      <c r="CM266">
        <v>644.32907899999998</v>
      </c>
      <c r="CN266">
        <v>1</v>
      </c>
      <c r="CO266" t="s">
        <v>224</v>
      </c>
      <c r="CP266" t="s">
        <v>224</v>
      </c>
      <c r="CR266" s="12"/>
    </row>
    <row r="267" spans="1:96" ht="13.5" thickTop="1" thickBot="1" x14ac:dyDescent="0.3">
      <c r="J267">
        <v>901</v>
      </c>
      <c r="L267" s="52" t="s">
        <v>258</v>
      </c>
      <c r="T267" s="127">
        <v>81</v>
      </c>
      <c r="U267" s="127">
        <v>38</v>
      </c>
      <c r="V267" s="127">
        <v>49</v>
      </c>
      <c r="W267" s="127">
        <v>16</v>
      </c>
      <c r="X267" s="127">
        <v>0</v>
      </c>
      <c r="Y267" s="128">
        <v>47</v>
      </c>
      <c r="Z267" s="128">
        <v>60</v>
      </c>
      <c r="AA267" s="128">
        <v>20</v>
      </c>
      <c r="AB267" s="128">
        <v>0</v>
      </c>
      <c r="AC267" s="128">
        <v>0</v>
      </c>
      <c r="AD267" s="127">
        <v>39</v>
      </c>
      <c r="AE267" s="127">
        <v>44</v>
      </c>
      <c r="AF267" s="127">
        <v>32</v>
      </c>
      <c r="AG267" s="127"/>
      <c r="AH267" s="128">
        <v>48</v>
      </c>
      <c r="AI267" s="128">
        <v>54</v>
      </c>
      <c r="AJ267" s="128">
        <v>40</v>
      </c>
      <c r="AK267" s="128">
        <v>0</v>
      </c>
      <c r="AL267" s="128">
        <v>0</v>
      </c>
      <c r="AM267" s="132"/>
      <c r="AN267" s="132"/>
      <c r="AO267" s="132"/>
      <c r="AP267" s="132"/>
      <c r="AQ267" s="132"/>
      <c r="AR267" s="132"/>
      <c r="AS267" s="132"/>
      <c r="AT267" s="132"/>
      <c r="AU267" s="132"/>
      <c r="AV267" s="132"/>
      <c r="AW267" s="132"/>
      <c r="AX267" s="132"/>
      <c r="AY267" s="132"/>
      <c r="AZ267" s="132"/>
      <c r="BA267" s="132"/>
      <c r="BB267" s="132"/>
      <c r="BC267" s="132"/>
      <c r="BD267" s="132"/>
      <c r="BE267" s="132"/>
      <c r="BF267" s="132"/>
      <c r="BG267" s="132"/>
      <c r="BJ267" s="132"/>
      <c r="BK267" s="132"/>
      <c r="BL267" s="132"/>
      <c r="BM267" s="132"/>
      <c r="BN267" s="132"/>
      <c r="BO267" s="132"/>
      <c r="BP267" s="132"/>
      <c r="BQ267" s="132"/>
      <c r="BR267" s="132"/>
      <c r="BS267" s="132"/>
      <c r="BT267" s="132"/>
      <c r="BU267" s="132"/>
      <c r="BV267" s="132"/>
      <c r="BW267" s="132"/>
      <c r="BX267" s="132"/>
      <c r="BY267" s="132"/>
      <c r="BZ267" s="132"/>
      <c r="CA267" s="132"/>
      <c r="CB267" s="132"/>
      <c r="CC267" s="132"/>
      <c r="CD267" s="132"/>
      <c r="CI267" s="134">
        <v>0</v>
      </c>
      <c r="CR267" s="12"/>
    </row>
    <row r="268" spans="1:96" ht="13.5" thickTop="1" thickBot="1" x14ac:dyDescent="0.3">
      <c r="A268">
        <v>902</v>
      </c>
      <c r="B268">
        <v>0</v>
      </c>
      <c r="C268">
        <v>0</v>
      </c>
      <c r="D268">
        <v>0</v>
      </c>
      <c r="E268">
        <v>0</v>
      </c>
      <c r="F268">
        <v>0</v>
      </c>
      <c r="G268">
        <v>902</v>
      </c>
      <c r="H268">
        <v>902</v>
      </c>
      <c r="I268">
        <v>0</v>
      </c>
      <c r="J268">
        <v>902</v>
      </c>
      <c r="K268">
        <v>0</v>
      </c>
      <c r="L268" s="52" t="s">
        <v>259</v>
      </c>
      <c r="M268">
        <v>0</v>
      </c>
      <c r="N268">
        <v>0</v>
      </c>
      <c r="O268">
        <v>0</v>
      </c>
      <c r="P268">
        <v>0</v>
      </c>
      <c r="Q268">
        <v>0</v>
      </c>
      <c r="R268">
        <v>0</v>
      </c>
      <c r="S268">
        <v>0</v>
      </c>
      <c r="T268" s="127">
        <v>104</v>
      </c>
      <c r="U268" s="127">
        <v>101</v>
      </c>
      <c r="V268" s="127">
        <v>75</v>
      </c>
      <c r="W268" s="127">
        <v>98</v>
      </c>
      <c r="X268" s="127">
        <v>0</v>
      </c>
      <c r="Y268" s="128">
        <v>97</v>
      </c>
      <c r="Z268" s="128">
        <v>72</v>
      </c>
      <c r="AA268" s="128">
        <v>94</v>
      </c>
      <c r="AB268" s="128">
        <v>0</v>
      </c>
      <c r="AC268" s="128">
        <v>2</v>
      </c>
      <c r="AD268" s="127">
        <v>61</v>
      </c>
      <c r="AE268" s="127">
        <v>74</v>
      </c>
      <c r="AF268" s="127">
        <v>86</v>
      </c>
      <c r="AG268" s="127">
        <v>0</v>
      </c>
      <c r="AH268" s="128">
        <v>59</v>
      </c>
      <c r="AI268" s="128">
        <v>71</v>
      </c>
      <c r="AJ268" s="128">
        <v>83</v>
      </c>
      <c r="AK268" s="128">
        <v>0</v>
      </c>
      <c r="AL268" s="128">
        <v>1</v>
      </c>
      <c r="AM268" s="132">
        <v>103</v>
      </c>
      <c r="AN268" s="132">
        <v>104</v>
      </c>
      <c r="AO268" s="132">
        <v>99</v>
      </c>
      <c r="AP268" s="132">
        <v>96</v>
      </c>
      <c r="AQ268" s="132">
        <v>77</v>
      </c>
      <c r="AR268" s="132">
        <v>65</v>
      </c>
      <c r="AS268" s="132">
        <v>63</v>
      </c>
      <c r="AT268" s="132">
        <v>70</v>
      </c>
      <c r="AU268" s="132">
        <v>100</v>
      </c>
      <c r="AV268" s="132">
        <v>100</v>
      </c>
      <c r="AW268" s="132">
        <v>393</v>
      </c>
      <c r="AX268" s="132">
        <v>176</v>
      </c>
      <c r="AY268" s="132">
        <v>27</v>
      </c>
      <c r="AZ268" s="132">
        <v>8</v>
      </c>
      <c r="BA268" s="132">
        <v>18</v>
      </c>
      <c r="BB268" s="132">
        <v>8</v>
      </c>
      <c r="BC268" s="132">
        <v>8</v>
      </c>
      <c r="BD268" s="132">
        <v>10</v>
      </c>
      <c r="BE268" s="132">
        <v>15</v>
      </c>
      <c r="BF268" s="132">
        <v>42</v>
      </c>
      <c r="BG268" s="132">
        <v>705</v>
      </c>
      <c r="BH268">
        <v>6.8</v>
      </c>
      <c r="BI268" t="s">
        <v>99</v>
      </c>
      <c r="BJ268" s="132">
        <v>61</v>
      </c>
      <c r="BK268" s="132">
        <v>67</v>
      </c>
      <c r="BL268" s="132">
        <v>85</v>
      </c>
      <c r="BM268" s="132">
        <v>85</v>
      </c>
      <c r="BN268" s="132">
        <v>74</v>
      </c>
      <c r="BO268" s="132">
        <v>72</v>
      </c>
      <c r="BP268" s="132">
        <v>78</v>
      </c>
      <c r="BQ268" s="132">
        <v>83</v>
      </c>
      <c r="BR268" s="132">
        <v>86</v>
      </c>
      <c r="BS268" s="132">
        <v>83</v>
      </c>
      <c r="BT268" s="132">
        <v>54</v>
      </c>
      <c r="BU268" s="132">
        <v>37</v>
      </c>
      <c r="BV268" s="132">
        <v>24</v>
      </c>
      <c r="BW268" s="132">
        <v>45</v>
      </c>
      <c r="BX268" s="132">
        <v>11</v>
      </c>
      <c r="BY268" s="132">
        <v>11</v>
      </c>
      <c r="BZ268" s="132">
        <v>3</v>
      </c>
      <c r="CA268" s="132">
        <v>6</v>
      </c>
      <c r="CB268" s="132">
        <v>6</v>
      </c>
      <c r="CC268" s="132">
        <v>15</v>
      </c>
      <c r="CD268" s="132">
        <v>212</v>
      </c>
      <c r="CE268">
        <v>2</v>
      </c>
      <c r="CF268" t="s">
        <v>150</v>
      </c>
      <c r="CG268">
        <v>0</v>
      </c>
      <c r="CH268">
        <v>0</v>
      </c>
      <c r="CI268" s="134">
        <v>3</v>
      </c>
      <c r="CO268">
        <v>1</v>
      </c>
      <c r="CR268" s="12">
        <f>IF(COUNTIF(Incl!A:A,Raw!J268),1, "")</f>
        <v>1</v>
      </c>
    </row>
    <row r="269" spans="1:96" ht="13.5" thickTop="1" thickBot="1" x14ac:dyDescent="0.3">
      <c r="A269">
        <v>903</v>
      </c>
      <c r="B269">
        <v>0</v>
      </c>
      <c r="C269">
        <v>0</v>
      </c>
      <c r="D269">
        <v>0</v>
      </c>
      <c r="E269">
        <v>0</v>
      </c>
      <c r="F269">
        <v>0</v>
      </c>
      <c r="G269">
        <v>903</v>
      </c>
      <c r="H269">
        <v>903</v>
      </c>
      <c r="I269">
        <v>0</v>
      </c>
      <c r="J269">
        <v>903</v>
      </c>
      <c r="K269">
        <v>0</v>
      </c>
      <c r="L269" s="52" t="s">
        <v>260</v>
      </c>
      <c r="M269">
        <v>0</v>
      </c>
      <c r="N269">
        <v>0</v>
      </c>
      <c r="O269">
        <v>0</v>
      </c>
      <c r="P269">
        <v>0</v>
      </c>
      <c r="Q269">
        <v>0</v>
      </c>
      <c r="R269">
        <v>0</v>
      </c>
      <c r="S269">
        <v>0</v>
      </c>
      <c r="T269" s="127">
        <v>62</v>
      </c>
      <c r="U269" s="127">
        <v>41</v>
      </c>
      <c r="V269" s="127">
        <v>50</v>
      </c>
      <c r="W269" s="127">
        <v>3</v>
      </c>
      <c r="X269" s="127">
        <v>0</v>
      </c>
      <c r="Y269" s="128">
        <v>66</v>
      </c>
      <c r="Z269" s="128">
        <v>81</v>
      </c>
      <c r="AA269" s="128">
        <v>5</v>
      </c>
      <c r="AB269" s="128">
        <v>0</v>
      </c>
      <c r="AC269" s="128">
        <v>1</v>
      </c>
      <c r="AD269" s="127">
        <v>29</v>
      </c>
      <c r="AE269" s="127">
        <v>40</v>
      </c>
      <c r="AF269" s="127">
        <v>46</v>
      </c>
      <c r="AG269" s="127">
        <v>0</v>
      </c>
      <c r="AH269" s="128">
        <v>47</v>
      </c>
      <c r="AI269" s="128">
        <v>65</v>
      </c>
      <c r="AJ269" s="128">
        <v>74</v>
      </c>
      <c r="AK269" s="128">
        <v>0</v>
      </c>
      <c r="AL269" s="128">
        <v>0</v>
      </c>
      <c r="AM269" s="132">
        <v>43</v>
      </c>
      <c r="AN269" s="132">
        <v>45</v>
      </c>
      <c r="AO269" s="132">
        <v>54</v>
      </c>
      <c r="AP269" s="132">
        <v>59</v>
      </c>
      <c r="AQ269" s="132">
        <v>52</v>
      </c>
      <c r="AR269" s="132">
        <v>44</v>
      </c>
      <c r="AS269" s="132">
        <v>46</v>
      </c>
      <c r="AT269" s="132">
        <v>43</v>
      </c>
      <c r="AU269" s="132">
        <v>49</v>
      </c>
      <c r="AV269" s="132">
        <v>50</v>
      </c>
      <c r="AW269" s="132">
        <v>114</v>
      </c>
      <c r="AX269" s="132">
        <v>89</v>
      </c>
      <c r="AY269" s="132">
        <v>20</v>
      </c>
      <c r="AZ269" s="132">
        <v>21</v>
      </c>
      <c r="BA269" s="132">
        <v>18</v>
      </c>
      <c r="BB269" s="132">
        <v>6</v>
      </c>
      <c r="BC269" s="132">
        <v>10</v>
      </c>
      <c r="BD269" s="132">
        <v>18</v>
      </c>
      <c r="BE269" s="132">
        <v>2</v>
      </c>
      <c r="BF269" s="132">
        <v>12</v>
      </c>
      <c r="BG269" s="132">
        <v>310</v>
      </c>
      <c r="BH269">
        <v>5</v>
      </c>
      <c r="BI269" t="s">
        <v>102</v>
      </c>
      <c r="BJ269" s="132">
        <v>29</v>
      </c>
      <c r="BK269" s="132">
        <v>33</v>
      </c>
      <c r="BL269" s="132">
        <v>43</v>
      </c>
      <c r="BM269" s="132">
        <v>47</v>
      </c>
      <c r="BN269" s="132">
        <v>40</v>
      </c>
      <c r="BO269" s="132">
        <v>39</v>
      </c>
      <c r="BP269" s="132">
        <v>46</v>
      </c>
      <c r="BQ269" s="132">
        <v>43</v>
      </c>
      <c r="BR269" s="132">
        <v>46</v>
      </c>
      <c r="BS269" s="132">
        <v>48</v>
      </c>
      <c r="BT269" s="132">
        <v>83</v>
      </c>
      <c r="BU269" s="132">
        <v>24</v>
      </c>
      <c r="BV269" s="132">
        <v>15</v>
      </c>
      <c r="BW269" s="132">
        <v>10</v>
      </c>
      <c r="BX269" s="132">
        <v>5</v>
      </c>
      <c r="BY269" s="132">
        <v>3</v>
      </c>
      <c r="BZ269" s="132">
        <v>4</v>
      </c>
      <c r="CA269" s="132">
        <v>4</v>
      </c>
      <c r="CB269" s="132">
        <v>5</v>
      </c>
      <c r="CC269" s="132">
        <v>5</v>
      </c>
      <c r="CD269" s="132">
        <v>158</v>
      </c>
      <c r="CE269">
        <v>2.5</v>
      </c>
      <c r="CF269" t="s">
        <v>149</v>
      </c>
      <c r="CG269">
        <v>0</v>
      </c>
      <c r="CH269">
        <v>0</v>
      </c>
      <c r="CI269" s="134">
        <v>1</v>
      </c>
      <c r="CO269">
        <v>1</v>
      </c>
      <c r="CR269" s="12">
        <f>IF(COUNTIF(Incl!A:A,Raw!J269),1, "")</f>
        <v>1</v>
      </c>
    </row>
    <row r="270" spans="1:96" ht="13.5" thickTop="1" thickBot="1" x14ac:dyDescent="0.3">
      <c r="A270">
        <v>904</v>
      </c>
      <c r="B270">
        <v>0</v>
      </c>
      <c r="C270">
        <v>0</v>
      </c>
      <c r="D270">
        <v>0</v>
      </c>
      <c r="E270">
        <v>0</v>
      </c>
      <c r="F270">
        <v>0</v>
      </c>
      <c r="G270">
        <v>904</v>
      </c>
      <c r="H270">
        <v>904</v>
      </c>
      <c r="I270">
        <v>0</v>
      </c>
      <c r="J270">
        <v>904</v>
      </c>
      <c r="K270">
        <v>0</v>
      </c>
      <c r="L270" s="52" t="s">
        <v>261</v>
      </c>
      <c r="M270">
        <v>0</v>
      </c>
      <c r="N270">
        <v>0</v>
      </c>
      <c r="O270">
        <v>0</v>
      </c>
      <c r="P270">
        <v>0</v>
      </c>
      <c r="Q270">
        <v>0</v>
      </c>
      <c r="R270">
        <v>0</v>
      </c>
      <c r="S270">
        <v>0</v>
      </c>
      <c r="T270" s="127">
        <v>50</v>
      </c>
      <c r="U270" s="127">
        <v>34</v>
      </c>
      <c r="V270" s="127">
        <v>40</v>
      </c>
      <c r="W270" s="127">
        <v>49</v>
      </c>
      <c r="X270" s="127">
        <f>$T$270*X269/$T$269</f>
        <v>0</v>
      </c>
      <c r="Y270" s="128">
        <v>64</v>
      </c>
      <c r="Z270" s="128">
        <v>75</v>
      </c>
      <c r="AA270" s="128">
        <v>92</v>
      </c>
      <c r="AB270" s="128">
        <f>$T$270*AB269/$T$269</f>
        <v>0</v>
      </c>
      <c r="AC270" s="128">
        <v>2</v>
      </c>
      <c r="AD270" s="127">
        <v>41</v>
      </c>
      <c r="AE270" s="127">
        <v>27</v>
      </c>
      <c r="AF270" s="127">
        <v>47</v>
      </c>
      <c r="AG270" s="127">
        <f>$T$270*AG269/$T$269</f>
        <v>0</v>
      </c>
      <c r="AH270" s="128">
        <v>77</v>
      </c>
      <c r="AI270" s="128">
        <v>51</v>
      </c>
      <c r="AJ270" s="128">
        <v>89</v>
      </c>
      <c r="AK270" s="128">
        <v>0</v>
      </c>
      <c r="AL270" s="128">
        <v>2</v>
      </c>
      <c r="AM270" s="132">
        <f t="shared" ref="AM270:BH270" si="0">$T$270*AM269/$T$269</f>
        <v>34.677419354838712</v>
      </c>
      <c r="AN270" s="132">
        <f t="shared" si="0"/>
        <v>36.29032258064516</v>
      </c>
      <c r="AO270" s="132">
        <f t="shared" si="0"/>
        <v>43.548387096774192</v>
      </c>
      <c r="AP270" s="132">
        <f t="shared" si="0"/>
        <v>47.58064516129032</v>
      </c>
      <c r="AQ270" s="132">
        <f t="shared" si="0"/>
        <v>41.935483870967744</v>
      </c>
      <c r="AR270" s="132">
        <f t="shared" si="0"/>
        <v>35.483870967741936</v>
      </c>
      <c r="AS270" s="132">
        <f t="shared" si="0"/>
        <v>37.096774193548384</v>
      </c>
      <c r="AT270" s="132">
        <f t="shared" si="0"/>
        <v>34.677419354838712</v>
      </c>
      <c r="AU270" s="132">
        <f t="shared" si="0"/>
        <v>39.516129032258064</v>
      </c>
      <c r="AV270" s="132">
        <f t="shared" si="0"/>
        <v>40.322580645161288</v>
      </c>
      <c r="AW270" s="132">
        <f t="shared" si="0"/>
        <v>91.935483870967744</v>
      </c>
      <c r="AX270" s="132">
        <f t="shared" si="0"/>
        <v>71.774193548387103</v>
      </c>
      <c r="AY270" s="132">
        <f t="shared" si="0"/>
        <v>16.129032258064516</v>
      </c>
      <c r="AZ270" s="132">
        <f t="shared" si="0"/>
        <v>16.93548387096774</v>
      </c>
      <c r="BA270" s="132">
        <f t="shared" si="0"/>
        <v>14.516129032258064</v>
      </c>
      <c r="BB270" s="132">
        <f t="shared" si="0"/>
        <v>4.838709677419355</v>
      </c>
      <c r="BC270" s="132">
        <f t="shared" si="0"/>
        <v>8.064516129032258</v>
      </c>
      <c r="BD270" s="132">
        <f t="shared" si="0"/>
        <v>14.516129032258064</v>
      </c>
      <c r="BE270" s="132">
        <f t="shared" si="0"/>
        <v>1.6129032258064515</v>
      </c>
      <c r="BF270" s="132">
        <f t="shared" si="0"/>
        <v>9.67741935483871</v>
      </c>
      <c r="BG270" s="132">
        <f t="shared" si="0"/>
        <v>250</v>
      </c>
      <c r="BH270">
        <f t="shared" si="0"/>
        <v>4.032258064516129</v>
      </c>
      <c r="BI270" t="s">
        <v>102</v>
      </c>
      <c r="BJ270" s="132">
        <f t="shared" ref="BJ270:CD270" si="1">$T$270*BJ269/$T$269</f>
        <v>23.387096774193548</v>
      </c>
      <c r="BK270" s="132">
        <f t="shared" si="1"/>
        <v>26.612903225806452</v>
      </c>
      <c r="BL270" s="132">
        <f t="shared" si="1"/>
        <v>34.677419354838712</v>
      </c>
      <c r="BM270" s="132">
        <f t="shared" si="1"/>
        <v>37.903225806451616</v>
      </c>
      <c r="BN270" s="132">
        <f t="shared" si="1"/>
        <v>32.258064516129032</v>
      </c>
      <c r="BO270" s="132">
        <f t="shared" si="1"/>
        <v>31.451612903225808</v>
      </c>
      <c r="BP270" s="132">
        <f t="shared" si="1"/>
        <v>37.096774193548384</v>
      </c>
      <c r="BQ270" s="132">
        <f t="shared" si="1"/>
        <v>34.677419354838712</v>
      </c>
      <c r="BR270" s="132">
        <f t="shared" si="1"/>
        <v>37.096774193548384</v>
      </c>
      <c r="BS270" s="132">
        <f t="shared" si="1"/>
        <v>38.70967741935484</v>
      </c>
      <c r="BT270" s="132">
        <f t="shared" si="1"/>
        <v>66.935483870967744</v>
      </c>
      <c r="BU270" s="132">
        <f t="shared" si="1"/>
        <v>19.35483870967742</v>
      </c>
      <c r="BV270" s="132">
        <f t="shared" si="1"/>
        <v>12.096774193548388</v>
      </c>
      <c r="BW270" s="132">
        <f t="shared" si="1"/>
        <v>8.064516129032258</v>
      </c>
      <c r="BX270" s="132">
        <f t="shared" si="1"/>
        <v>4.032258064516129</v>
      </c>
      <c r="BY270" s="132">
        <f t="shared" si="1"/>
        <v>2.4193548387096775</v>
      </c>
      <c r="BZ270" s="132">
        <f t="shared" si="1"/>
        <v>3.225806451612903</v>
      </c>
      <c r="CA270" s="132">
        <f t="shared" si="1"/>
        <v>3.225806451612903</v>
      </c>
      <c r="CB270" s="132">
        <f t="shared" si="1"/>
        <v>4.032258064516129</v>
      </c>
      <c r="CC270" s="132">
        <f t="shared" si="1"/>
        <v>4.032258064516129</v>
      </c>
      <c r="CD270" s="132">
        <f t="shared" si="1"/>
        <v>127.41935483870968</v>
      </c>
      <c r="CE270">
        <v>2.5</v>
      </c>
      <c r="CF270" t="s">
        <v>149</v>
      </c>
      <c r="CG270">
        <v>0</v>
      </c>
      <c r="CH270">
        <v>0</v>
      </c>
      <c r="CI270" s="134">
        <v>4</v>
      </c>
      <c r="CO270">
        <v>1</v>
      </c>
      <c r="CR270" s="12">
        <f>IF(COUNTIF(Incl!A:A,Raw!J270),1, "")</f>
        <v>1</v>
      </c>
    </row>
    <row r="271" spans="1:96" ht="13" thickTop="1" x14ac:dyDescent="0.25">
      <c r="A271">
        <v>905</v>
      </c>
      <c r="G271">
        <v>905</v>
      </c>
      <c r="H271">
        <v>905</v>
      </c>
      <c r="J271">
        <v>905</v>
      </c>
      <c r="L271" t="s">
        <v>226</v>
      </c>
      <c r="T271" s="127">
        <v>55</v>
      </c>
      <c r="U271" s="127">
        <v>17</v>
      </c>
      <c r="V271" s="127">
        <v>42</v>
      </c>
      <c r="W271" s="127">
        <v>24</v>
      </c>
      <c r="X271" s="127">
        <f>$T$271*X269/$T$269</f>
        <v>0</v>
      </c>
      <c r="Y271" s="128">
        <v>31</v>
      </c>
      <c r="Z271" s="128">
        <v>76</v>
      </c>
      <c r="AA271" s="128">
        <v>4</v>
      </c>
      <c r="AB271" s="128">
        <f>$T$271*AB269/$T$269</f>
        <v>0</v>
      </c>
      <c r="AC271" s="128">
        <v>1</v>
      </c>
      <c r="AD271" s="127">
        <v>16</v>
      </c>
      <c r="AE271" s="127">
        <v>25</v>
      </c>
      <c r="AF271" s="127">
        <v>31</v>
      </c>
      <c r="AG271" s="127">
        <f>$T$271*AG269/$T$269</f>
        <v>0</v>
      </c>
      <c r="AH271" s="128">
        <v>29</v>
      </c>
      <c r="AI271" s="128">
        <v>45</v>
      </c>
      <c r="AJ271" s="128">
        <v>56</v>
      </c>
      <c r="AK271" s="128">
        <f t="shared" ref="AK271:BH271" si="2">$T$271*AK269/$T$269</f>
        <v>0</v>
      </c>
      <c r="AL271" s="128">
        <f t="shared" si="2"/>
        <v>0</v>
      </c>
      <c r="AM271" s="132">
        <f t="shared" si="2"/>
        <v>38.145161290322584</v>
      </c>
      <c r="AN271" s="132">
        <f t="shared" si="2"/>
        <v>39.91935483870968</v>
      </c>
      <c r="AO271" s="132">
        <f t="shared" si="2"/>
        <v>47.903225806451616</v>
      </c>
      <c r="AP271" s="132">
        <f t="shared" si="2"/>
        <v>52.338709677419352</v>
      </c>
      <c r="AQ271" s="132">
        <f t="shared" si="2"/>
        <v>46.12903225806452</v>
      </c>
      <c r="AR271" s="132">
        <f t="shared" si="2"/>
        <v>39.032258064516128</v>
      </c>
      <c r="AS271" s="132">
        <f t="shared" si="2"/>
        <v>40.806451612903224</v>
      </c>
      <c r="AT271" s="132">
        <f t="shared" si="2"/>
        <v>38.145161290322584</v>
      </c>
      <c r="AU271" s="132">
        <f t="shared" si="2"/>
        <v>43.467741935483872</v>
      </c>
      <c r="AV271" s="132">
        <f t="shared" si="2"/>
        <v>44.354838709677416</v>
      </c>
      <c r="AW271" s="132">
        <f t="shared" si="2"/>
        <v>101.12903225806451</v>
      </c>
      <c r="AX271" s="132">
        <f t="shared" si="2"/>
        <v>78.951612903225808</v>
      </c>
      <c r="AY271" s="132">
        <f t="shared" si="2"/>
        <v>17.741935483870968</v>
      </c>
      <c r="AZ271" s="132">
        <f t="shared" si="2"/>
        <v>18.629032258064516</v>
      </c>
      <c r="BA271" s="132">
        <f t="shared" si="2"/>
        <v>15.96774193548387</v>
      </c>
      <c r="BB271" s="132">
        <f t="shared" si="2"/>
        <v>5.32258064516129</v>
      </c>
      <c r="BC271" s="132">
        <f t="shared" si="2"/>
        <v>8.870967741935484</v>
      </c>
      <c r="BD271" s="132">
        <f t="shared" si="2"/>
        <v>15.96774193548387</v>
      </c>
      <c r="BE271" s="132">
        <f t="shared" si="2"/>
        <v>1.7741935483870968</v>
      </c>
      <c r="BF271" s="132">
        <f t="shared" si="2"/>
        <v>10.64516129032258</v>
      </c>
      <c r="BG271" s="132">
        <f t="shared" si="2"/>
        <v>275</v>
      </c>
      <c r="BH271">
        <f t="shared" si="2"/>
        <v>4.435483870967742</v>
      </c>
      <c r="BI271" t="s">
        <v>102</v>
      </c>
      <c r="BJ271" s="132">
        <f t="shared" ref="BJ271:CD271" si="3">$T$271*BJ269/$T$269</f>
        <v>25.725806451612904</v>
      </c>
      <c r="BK271" s="132">
        <f t="shared" si="3"/>
        <v>29.274193548387096</v>
      </c>
      <c r="BL271" s="132">
        <f t="shared" si="3"/>
        <v>38.145161290322584</v>
      </c>
      <c r="BM271" s="132">
        <f t="shared" si="3"/>
        <v>41.693548387096776</v>
      </c>
      <c r="BN271" s="132">
        <f t="shared" si="3"/>
        <v>35.483870967741936</v>
      </c>
      <c r="BO271" s="132">
        <f t="shared" si="3"/>
        <v>34.596774193548384</v>
      </c>
      <c r="BP271" s="132">
        <f t="shared" si="3"/>
        <v>40.806451612903224</v>
      </c>
      <c r="BQ271" s="132">
        <f t="shared" si="3"/>
        <v>38.145161290322584</v>
      </c>
      <c r="BR271" s="132">
        <f t="shared" si="3"/>
        <v>40.806451612903224</v>
      </c>
      <c r="BS271" s="132">
        <f t="shared" si="3"/>
        <v>42.58064516129032</v>
      </c>
      <c r="BT271" s="132">
        <f t="shared" si="3"/>
        <v>73.629032258064512</v>
      </c>
      <c r="BU271" s="132">
        <f t="shared" si="3"/>
        <v>21.29032258064516</v>
      </c>
      <c r="BV271" s="132">
        <f t="shared" si="3"/>
        <v>13.306451612903226</v>
      </c>
      <c r="BW271" s="132">
        <f t="shared" si="3"/>
        <v>8.870967741935484</v>
      </c>
      <c r="BX271" s="132">
        <f t="shared" si="3"/>
        <v>4.435483870967742</v>
      </c>
      <c r="BY271" s="132">
        <f t="shared" si="3"/>
        <v>2.661290322580645</v>
      </c>
      <c r="BZ271" s="132">
        <f t="shared" si="3"/>
        <v>3.5483870967741935</v>
      </c>
      <c r="CA271" s="132">
        <f t="shared" si="3"/>
        <v>3.5483870967741935</v>
      </c>
      <c r="CB271" s="132">
        <f t="shared" si="3"/>
        <v>4.435483870967742</v>
      </c>
      <c r="CC271" s="132">
        <f t="shared" si="3"/>
        <v>4.435483870967742</v>
      </c>
      <c r="CD271" s="132">
        <f t="shared" si="3"/>
        <v>140.16129032258064</v>
      </c>
      <c r="CE271">
        <v>2.5</v>
      </c>
      <c r="CF271" t="s">
        <v>149</v>
      </c>
      <c r="CG271">
        <v>0</v>
      </c>
      <c r="CH271">
        <v>0</v>
      </c>
      <c r="CI271" s="134">
        <v>1</v>
      </c>
      <c r="CO271">
        <v>1</v>
      </c>
      <c r="CR271" s="12" t="str">
        <f>IF(COUNTIF(Incl!A:A,Raw!J271),1, "")</f>
        <v/>
      </c>
    </row>
    <row r="272" spans="1:96" x14ac:dyDescent="0.25">
      <c r="A272">
        <v>906</v>
      </c>
      <c r="J272">
        <v>906</v>
      </c>
      <c r="L272" t="s">
        <v>225</v>
      </c>
      <c r="T272" s="127">
        <v>28</v>
      </c>
      <c r="U272" s="127">
        <v>4</v>
      </c>
      <c r="V272" s="127">
        <v>0</v>
      </c>
      <c r="W272" s="127">
        <v>1</v>
      </c>
      <c r="X272" s="127">
        <v>0</v>
      </c>
      <c r="Y272" s="128">
        <v>27</v>
      </c>
      <c r="Z272" s="128">
        <v>14</v>
      </c>
      <c r="AA272" s="128">
        <v>0</v>
      </c>
      <c r="AB272" s="128">
        <v>4</v>
      </c>
      <c r="AC272" s="128">
        <v>0</v>
      </c>
      <c r="AD272" s="127">
        <v>1</v>
      </c>
      <c r="AE272" s="127">
        <v>1</v>
      </c>
      <c r="AF272" s="127">
        <v>4</v>
      </c>
      <c r="AG272" s="127"/>
      <c r="AH272" s="128">
        <v>4</v>
      </c>
      <c r="AI272" s="128">
        <v>4</v>
      </c>
      <c r="AJ272" s="128">
        <v>14</v>
      </c>
      <c r="AK272" s="128">
        <v>0</v>
      </c>
      <c r="AL272" s="128">
        <v>0</v>
      </c>
      <c r="AM272" s="132"/>
      <c r="AN272" s="132"/>
      <c r="AO272" s="132"/>
      <c r="AP272" s="132"/>
      <c r="AQ272" s="132"/>
      <c r="AR272" s="132"/>
      <c r="AS272" s="132"/>
      <c r="AT272" s="132"/>
      <c r="AU272" s="132"/>
      <c r="AV272" s="132"/>
      <c r="AW272" s="132"/>
      <c r="AX272" s="132"/>
      <c r="AY272" s="132"/>
      <c r="AZ272" s="132"/>
      <c r="BA272" s="132"/>
      <c r="BB272" s="132"/>
      <c r="BC272" s="132"/>
      <c r="BD272" s="132"/>
      <c r="BE272" s="132"/>
      <c r="BF272" s="132"/>
      <c r="BG272" s="132">
        <v>23</v>
      </c>
      <c r="BJ272" s="132"/>
      <c r="BK272" s="132"/>
      <c r="BL272" s="132"/>
      <c r="BM272" s="132"/>
      <c r="BN272" s="132"/>
      <c r="BO272" s="132"/>
      <c r="BP272" s="132"/>
      <c r="BQ272" s="132"/>
      <c r="BR272" s="132"/>
      <c r="BS272" s="132"/>
      <c r="BT272" s="132"/>
      <c r="BU272" s="132"/>
      <c r="BV272" s="132"/>
      <c r="BW272" s="132"/>
      <c r="BX272" s="132"/>
      <c r="BY272" s="132"/>
      <c r="BZ272" s="133"/>
      <c r="CA272" s="132"/>
      <c r="CB272" s="132"/>
      <c r="CC272" s="132"/>
      <c r="CD272" s="132">
        <v>23</v>
      </c>
      <c r="CI272" s="134">
        <v>0</v>
      </c>
      <c r="CO272">
        <v>2</v>
      </c>
    </row>
  </sheetData>
  <sortState xmlns:xlrd2="http://schemas.microsoft.com/office/spreadsheetml/2017/richdata2" ref="A4:CR264">
    <sortCondition ref="J4:J264"/>
  </sortState>
  <phoneticPr fontId="6" type="noConversion"/>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274"/>
  <sheetViews>
    <sheetView workbookViewId="0">
      <selection activeCell="K3" sqref="K3:K274"/>
    </sheetView>
  </sheetViews>
  <sheetFormatPr defaultRowHeight="12.5" x14ac:dyDescent="0.25"/>
  <cols>
    <col min="1" max="1" width="9.1796875" bestFit="1" customWidth="1"/>
    <col min="2" max="4" width="20.7265625" customWidth="1"/>
    <col min="6" max="8" width="12.7265625" style="25" customWidth="1"/>
    <col min="9" max="11" width="12.7265625" style="26" customWidth="1"/>
    <col min="12" max="13" width="12.7265625" style="44" customWidth="1"/>
    <col min="14" max="17" width="12.7265625" style="47" customWidth="1"/>
    <col min="18" max="18" width="12.7265625" style="25" customWidth="1"/>
    <col min="19" max="22" width="15.26953125" customWidth="1"/>
    <col min="24" max="27" width="12.7265625" customWidth="1"/>
    <col min="30" max="33" width="12.7265625" customWidth="1"/>
  </cols>
  <sheetData>
    <row r="1" spans="1:38" ht="12.75" customHeight="1" x14ac:dyDescent="0.3">
      <c r="A1" s="6"/>
      <c r="B1" s="6"/>
      <c r="C1" s="6"/>
      <c r="D1" s="6"/>
      <c r="E1" s="27"/>
      <c r="G1" s="201" t="s">
        <v>132</v>
      </c>
      <c r="H1" s="202"/>
      <c r="I1" s="203"/>
      <c r="J1" s="210" t="s">
        <v>339</v>
      </c>
      <c r="K1" s="211"/>
      <c r="L1" s="204" t="s">
        <v>133</v>
      </c>
      <c r="M1" s="205"/>
      <c r="N1" s="208" t="s">
        <v>135</v>
      </c>
      <c r="O1" s="209"/>
      <c r="P1" s="208" t="s">
        <v>134</v>
      </c>
      <c r="Q1" s="209"/>
      <c r="S1" s="27"/>
      <c r="T1" s="27"/>
      <c r="U1" s="94"/>
      <c r="V1" s="94"/>
      <c r="W1" s="3"/>
      <c r="X1" s="35" t="s">
        <v>239</v>
      </c>
      <c r="Y1" s="23"/>
      <c r="Z1" s="206" t="s">
        <v>138</v>
      </c>
      <c r="AA1" s="207"/>
      <c r="AD1" s="35" t="s">
        <v>244</v>
      </c>
      <c r="AE1" s="23"/>
      <c r="AF1" s="206" t="s">
        <v>138</v>
      </c>
      <c r="AG1" s="207"/>
      <c r="AI1" s="35" t="s">
        <v>240</v>
      </c>
      <c r="AJ1" s="23"/>
      <c r="AK1" s="206" t="s">
        <v>138</v>
      </c>
      <c r="AL1" s="207"/>
    </row>
    <row r="2" spans="1:38" s="2" customFormat="1" ht="26" x14ac:dyDescent="0.3">
      <c r="A2" s="5" t="s">
        <v>8</v>
      </c>
      <c r="B2" s="5" t="s">
        <v>9</v>
      </c>
      <c r="C2" s="5" t="s">
        <v>128</v>
      </c>
      <c r="D2" s="5" t="s">
        <v>10</v>
      </c>
      <c r="E2" s="30" t="s">
        <v>139</v>
      </c>
      <c r="F2" s="5" t="s">
        <v>140</v>
      </c>
      <c r="G2" s="5" t="s">
        <v>129</v>
      </c>
      <c r="H2" s="5" t="s">
        <v>130</v>
      </c>
      <c r="I2" s="5" t="s">
        <v>131</v>
      </c>
      <c r="J2" s="43" t="s">
        <v>129</v>
      </c>
      <c r="K2" s="43" t="s">
        <v>130</v>
      </c>
      <c r="L2" s="43" t="s">
        <v>129</v>
      </c>
      <c r="M2" s="43" t="s">
        <v>130</v>
      </c>
      <c r="N2" s="45" t="s">
        <v>129</v>
      </c>
      <c r="O2" s="45" t="s">
        <v>130</v>
      </c>
      <c r="P2" s="45" t="s">
        <v>129</v>
      </c>
      <c r="Q2" s="45" t="s">
        <v>130</v>
      </c>
      <c r="R2" s="5" t="s">
        <v>237</v>
      </c>
      <c r="S2" s="5" t="s">
        <v>227</v>
      </c>
      <c r="T2" s="5" t="s">
        <v>228</v>
      </c>
      <c r="U2" s="95" t="s">
        <v>223</v>
      </c>
      <c r="V2" s="95"/>
      <c r="W2" s="29"/>
      <c r="X2" s="5" t="s">
        <v>129</v>
      </c>
      <c r="Y2" s="5" t="s">
        <v>130</v>
      </c>
      <c r="Z2" s="39" t="s">
        <v>136</v>
      </c>
      <c r="AA2" s="39" t="s">
        <v>137</v>
      </c>
      <c r="AC2" s="2" t="s">
        <v>246</v>
      </c>
      <c r="AD2" s="5" t="s">
        <v>129</v>
      </c>
      <c r="AE2" s="5" t="s">
        <v>130</v>
      </c>
      <c r="AF2" s="39" t="s">
        <v>136</v>
      </c>
      <c r="AG2" s="39" t="s">
        <v>137</v>
      </c>
      <c r="AI2" s="5" t="s">
        <v>129</v>
      </c>
      <c r="AJ2" s="5" t="s">
        <v>130</v>
      </c>
      <c r="AK2" s="39" t="s">
        <v>136</v>
      </c>
      <c r="AL2" s="39" t="s">
        <v>137</v>
      </c>
    </row>
    <row r="3" spans="1:38" x14ac:dyDescent="0.25">
      <c r="A3" s="155">
        <f>Raw!J4</f>
        <v>154</v>
      </c>
      <c r="B3" s="155" t="str">
        <f>Raw!K4</f>
        <v>Park Pl</v>
      </c>
      <c r="C3" s="155" t="str">
        <f>Raw!L4</f>
        <v>El Camino Real</v>
      </c>
      <c r="D3" s="155" t="str">
        <f>Raw!M4</f>
        <v>Park Blvd</v>
      </c>
      <c r="E3" s="156" t="str">
        <f>Raw!CG4</f>
        <v>N</v>
      </c>
      <c r="F3" s="157">
        <v>8</v>
      </c>
      <c r="G3" s="157">
        <f>Raw!AL4</f>
        <v>1</v>
      </c>
      <c r="H3" s="157">
        <f>Raw!AC4</f>
        <v>1</v>
      </c>
      <c r="I3" s="157">
        <f t="shared" ref="I3:I65" si="0">SUM(G3:H3)</f>
        <v>2</v>
      </c>
      <c r="J3" s="157">
        <f>Raw!BT4</f>
        <v>13</v>
      </c>
      <c r="K3" s="157">
        <f>Raw!AW4</f>
        <v>25</v>
      </c>
      <c r="L3" s="158">
        <f>IF(Raw!CE4 = "NA", "-", Raw!CE4)</f>
        <v>2</v>
      </c>
      <c r="M3" s="158">
        <f>IF(Raw!BH4 = "NA", "-", Raw!BH4)</f>
        <v>2.9</v>
      </c>
      <c r="N3" s="159">
        <v>16</v>
      </c>
      <c r="O3" s="159">
        <v>23</v>
      </c>
      <c r="P3" s="160">
        <v>52</v>
      </c>
      <c r="Q3" s="160">
        <v>63</v>
      </c>
      <c r="R3" s="157" t="str" cm="1">
        <f t="array" ref="R3">_xlfn.IFS(S3="YES", "Hourly", T3="YES", "Flat Rate")</f>
        <v>Hourly</v>
      </c>
      <c r="S3" s="161" t="str">
        <f>IF(Raw!CO4=1, "YES", "")</f>
        <v>YES</v>
      </c>
      <c r="T3" s="161" t="str">
        <f>IF(Raw!CO4=2, "YES", "")</f>
        <v/>
      </c>
      <c r="U3" s="162" t="str">
        <f>IF(Raw!CP4=1, "YES", "")</f>
        <v/>
      </c>
      <c r="V3" s="163" t="s">
        <v>305</v>
      </c>
      <c r="X3" s="156">
        <v>25</v>
      </c>
      <c r="Y3" s="156">
        <v>47</v>
      </c>
      <c r="Z3" s="28">
        <f>X3*5+Y3</f>
        <v>172</v>
      </c>
      <c r="AA3" s="28">
        <f>X3*261+Y3*52</f>
        <v>8969</v>
      </c>
      <c r="AC3">
        <f>IF(U3="YES", F3*0.6, F3)</f>
        <v>8</v>
      </c>
      <c r="AD3" s="156">
        <v>25</v>
      </c>
      <c r="AE3" s="156">
        <v>47</v>
      </c>
      <c r="AF3" s="28">
        <f>AD3*5+AE3</f>
        <v>172</v>
      </c>
      <c r="AG3" s="28">
        <f>AD3*261+AE3*52</f>
        <v>8969</v>
      </c>
      <c r="AI3" s="88">
        <f t="shared" ref="AI3:AI66" si="1">N3</f>
        <v>16</v>
      </c>
      <c r="AJ3" s="88">
        <f t="shared" ref="AJ3:AJ66" si="2">O3</f>
        <v>23</v>
      </c>
      <c r="AK3">
        <f>(AI3*5+AJ3)*5.5</f>
        <v>566.5</v>
      </c>
      <c r="AL3">
        <f>(AI3*261+AJ3*52)*5.5</f>
        <v>29546</v>
      </c>
    </row>
    <row r="4" spans="1:38" x14ac:dyDescent="0.25">
      <c r="A4" s="155">
        <f>Raw!J5</f>
        <v>155</v>
      </c>
      <c r="B4" s="155" t="str">
        <f>Raw!K5</f>
        <v>Park Pl</v>
      </c>
      <c r="C4" s="155" t="str">
        <f>Raw!L5</f>
        <v>Park Blvd</v>
      </c>
      <c r="D4" s="155" t="str">
        <f>Raw!M5</f>
        <v>El Camino Real</v>
      </c>
      <c r="E4" s="156" t="str">
        <f>Raw!CG5</f>
        <v>S</v>
      </c>
      <c r="F4" s="157">
        <v>9</v>
      </c>
      <c r="G4" s="157">
        <f>Raw!AL5</f>
        <v>2</v>
      </c>
      <c r="H4" s="157">
        <f>Raw!AC5</f>
        <v>2</v>
      </c>
      <c r="I4" s="157">
        <f t="shared" si="0"/>
        <v>4</v>
      </c>
      <c r="J4" s="157">
        <f>Raw!BT5</f>
        <v>17</v>
      </c>
      <c r="K4" s="157">
        <f>Raw!AW5</f>
        <v>43</v>
      </c>
      <c r="L4" s="158">
        <f>IF(Raw!CE5 = "NA", "-", Raw!CE5)</f>
        <v>2.2999999999999998</v>
      </c>
      <c r="M4" s="158">
        <f>IF(Raw!BH5 = "NA", "-", Raw!BH5)</f>
        <v>3.8</v>
      </c>
      <c r="N4" s="159">
        <v>20</v>
      </c>
      <c r="O4" s="159">
        <v>34</v>
      </c>
      <c r="P4" s="160">
        <v>67</v>
      </c>
      <c r="Q4" s="160">
        <v>77</v>
      </c>
      <c r="R4" s="157" t="str" cm="1">
        <f t="array" ref="R4">_xlfn.IFS(S4="YES", "Hourly", T4="YES", "Flat Rate")</f>
        <v>Hourly</v>
      </c>
      <c r="S4" s="161" t="str">
        <f>IF(Raw!CO5=1, "YES", "")</f>
        <v>YES</v>
      </c>
      <c r="T4" s="161" t="str">
        <f>IF(Raw!CO5=2, "YES", "")</f>
        <v/>
      </c>
      <c r="U4" s="162" t="str">
        <f>IF(Raw!CP5=1, "YES", "")</f>
        <v/>
      </c>
      <c r="V4" s="163" t="s">
        <v>305</v>
      </c>
      <c r="X4" s="156">
        <v>32</v>
      </c>
      <c r="Y4" s="156">
        <v>61</v>
      </c>
      <c r="Z4" s="28">
        <f t="shared" ref="Z4:Z67" si="3">X4*5+Y4</f>
        <v>221</v>
      </c>
      <c r="AA4" s="28">
        <f t="shared" ref="AA4:AA67" si="4">X4*261+Y4*52</f>
        <v>11524</v>
      </c>
      <c r="AC4">
        <f>IF(U4="YES", F4*0.6, F4)</f>
        <v>9</v>
      </c>
      <c r="AD4" s="156">
        <v>32</v>
      </c>
      <c r="AE4" s="156">
        <v>61</v>
      </c>
      <c r="AF4" s="28">
        <f t="shared" ref="AF4:AF67" si="5">AD4*5+AE4</f>
        <v>221</v>
      </c>
      <c r="AG4" s="28">
        <f t="shared" ref="AG4:AG67" si="6">AD4*261+AE4*52</f>
        <v>11524</v>
      </c>
      <c r="AI4" s="88">
        <f t="shared" si="1"/>
        <v>20</v>
      </c>
      <c r="AJ4" s="88">
        <f t="shared" si="2"/>
        <v>34</v>
      </c>
      <c r="AK4">
        <f t="shared" ref="AK4:AK67" si="7">(AI4*5+AJ4)*5.5</f>
        <v>737</v>
      </c>
      <c r="AL4">
        <f t="shared" ref="AL4:AL67" si="8">(AI4*261+AJ4*52)*5.5</f>
        <v>38434</v>
      </c>
    </row>
    <row r="5" spans="1:38" x14ac:dyDescent="0.25">
      <c r="A5" s="155">
        <f>Raw!J6</f>
        <v>156</v>
      </c>
      <c r="B5" s="155" t="str">
        <f>Raw!K6</f>
        <v>Park Blvd</v>
      </c>
      <c r="C5" s="155" t="str">
        <f>Raw!L6</f>
        <v>Park Pl</v>
      </c>
      <c r="D5" s="155" t="str">
        <f>Raw!M6</f>
        <v>El Camino Real</v>
      </c>
      <c r="E5" s="156" t="str">
        <f>Raw!CG6</f>
        <v>N</v>
      </c>
      <c r="F5" s="157">
        <v>12</v>
      </c>
      <c r="G5" s="157">
        <f>Raw!AL6</f>
        <v>0</v>
      </c>
      <c r="H5" s="157">
        <f>Raw!AC6</f>
        <v>2</v>
      </c>
      <c r="I5" s="157">
        <f t="shared" si="0"/>
        <v>2</v>
      </c>
      <c r="J5" s="157">
        <f>Raw!BT6</f>
        <v>19</v>
      </c>
      <c r="K5" s="157">
        <f>Raw!AW6</f>
        <v>82</v>
      </c>
      <c r="L5" s="158">
        <f>IF(Raw!CE6 = "NA", "-", Raw!CE6)</f>
        <v>1.7</v>
      </c>
      <c r="M5" s="158">
        <f>IF(Raw!BH6 = "NA", "-", Raw!BH6)</f>
        <v>4.4000000000000004</v>
      </c>
      <c r="N5" s="159">
        <v>21</v>
      </c>
      <c r="O5" s="159">
        <v>55</v>
      </c>
      <c r="P5" s="160">
        <v>61</v>
      </c>
      <c r="Q5" s="160">
        <v>92</v>
      </c>
      <c r="R5" s="157" t="str" cm="1">
        <f t="array" ref="R5">_xlfn.IFS(S5="YES", "Hourly", T5="YES", "Flat Rate")</f>
        <v>Hourly</v>
      </c>
      <c r="S5" s="161" t="str">
        <f>IF(Raw!CO6=1, "YES", "")</f>
        <v>YES</v>
      </c>
      <c r="T5" s="161" t="str">
        <f>IF(Raw!CO6=2, "YES", "")</f>
        <v/>
      </c>
      <c r="U5" s="162" t="str">
        <f>IF(Raw!CP6=1, "YES", "")</f>
        <v/>
      </c>
      <c r="V5" s="163" t="s">
        <v>305</v>
      </c>
      <c r="X5" s="156">
        <v>33</v>
      </c>
      <c r="Y5" s="156">
        <v>61</v>
      </c>
      <c r="Z5" s="28">
        <f t="shared" si="3"/>
        <v>226</v>
      </c>
      <c r="AA5" s="28">
        <f t="shared" si="4"/>
        <v>11785</v>
      </c>
      <c r="AC5">
        <f t="shared" ref="AC5:AC67" si="9">IF(U5="YES", F5*0.6, F5)</f>
        <v>12</v>
      </c>
      <c r="AD5" s="156">
        <v>33</v>
      </c>
      <c r="AE5" s="156">
        <v>61</v>
      </c>
      <c r="AF5" s="28">
        <f>AD5*5+AE5</f>
        <v>226</v>
      </c>
      <c r="AG5" s="28">
        <f t="shared" si="6"/>
        <v>11785</v>
      </c>
      <c r="AI5" s="88">
        <f t="shared" si="1"/>
        <v>21</v>
      </c>
      <c r="AJ5" s="88">
        <f t="shared" si="2"/>
        <v>55</v>
      </c>
      <c r="AK5">
        <f t="shared" si="7"/>
        <v>880</v>
      </c>
      <c r="AL5">
        <f t="shared" si="8"/>
        <v>45875.5</v>
      </c>
    </row>
    <row r="6" spans="1:38" x14ac:dyDescent="0.25">
      <c r="A6" s="4">
        <f>Raw!J7</f>
        <v>157</v>
      </c>
      <c r="B6" s="4" t="str">
        <f>Raw!K7</f>
        <v>Park Blvd</v>
      </c>
      <c r="C6" s="4" t="str">
        <f>Raw!L7</f>
        <v>Magnolia Ave</v>
      </c>
      <c r="D6" s="4" t="str">
        <f>Raw!M7</f>
        <v>Palmito Dr</v>
      </c>
      <c r="E6" s="23" t="str">
        <f>Raw!CG7</f>
        <v>S</v>
      </c>
      <c r="F6" s="7">
        <f>Raw!T7</f>
        <v>14</v>
      </c>
      <c r="G6" s="7">
        <f>Raw!AL7</f>
        <v>4</v>
      </c>
      <c r="H6" s="7">
        <f>Raw!AC7</f>
        <v>0</v>
      </c>
      <c r="I6" s="7">
        <f t="shared" si="0"/>
        <v>4</v>
      </c>
      <c r="J6" s="157" t="str">
        <f>Raw!BT7</f>
        <v>NA</v>
      </c>
      <c r="K6" s="157" t="str">
        <f>Raw!AW7</f>
        <v>NA</v>
      </c>
      <c r="L6" s="42" t="str">
        <f>IF(Raw!CE7 = "NA", "-", Raw!CE7)</f>
        <v>-</v>
      </c>
      <c r="M6" s="42" t="str">
        <f>IF(Raw!BH7 = "NA", "-", Raw!BH7)</f>
        <v>-</v>
      </c>
      <c r="N6" s="46" t="str">
        <f>IF(Raw!CD7 = "NA", "-", Raw!CD7)</f>
        <v>-</v>
      </c>
      <c r="O6" s="46" t="str">
        <f>IF(Raw!BG7 = "NA", "-", Raw!BG7)</f>
        <v>-</v>
      </c>
      <c r="P6" s="32" t="str">
        <f>IF(Raw!AW7 = "NA", "-", SUMPRODUCT(Raw!$BT$2:$CC$2, Raw!BT7:CC7))</f>
        <v>-</v>
      </c>
      <c r="Q6" s="32" t="str">
        <f>IF(Raw!AW7 = "NA", "-", SUMPRODUCT(Raw!$AW$2:$BF$2, Raw!AW7:BF7))</f>
        <v>-</v>
      </c>
      <c r="R6" s="7" t="e" cm="1">
        <f t="array" ref="R6">_xlfn.IFS(S6="YES", "Hourly", T6="YES", "Flat Rate")</f>
        <v>#N/A</v>
      </c>
      <c r="S6" s="8" t="str">
        <f>IF(Raw!CO7=1, "YES", "")</f>
        <v/>
      </c>
      <c r="T6" s="8" t="str">
        <f>IF(Raw!CO7=2, "YES", "")</f>
        <v/>
      </c>
      <c r="U6" s="96" t="str">
        <f>IF(Raw!CP7=1, "YES", "")</f>
        <v/>
      </c>
      <c r="V6" s="96"/>
      <c r="X6" s="23">
        <f>SUMPRODUCT(Raw!$BT$3:$CC$3, Raw!BT7:CC7)</f>
        <v>0</v>
      </c>
      <c r="Y6" s="23">
        <f>SUMPRODUCT(Raw!$BT$3:$CC$3, Raw!BU7:CD7)</f>
        <v>0</v>
      </c>
      <c r="Z6" s="28">
        <f t="shared" si="3"/>
        <v>0</v>
      </c>
      <c r="AA6" s="28">
        <f t="shared" si="4"/>
        <v>0</v>
      </c>
      <c r="AC6">
        <f t="shared" si="9"/>
        <v>14</v>
      </c>
      <c r="AD6" s="23">
        <f>IF(U6="YES",SUMPRODUCT(Raw!$BT$3:$CC$3,Raw!BT7:CC7)*0.6,SUMPRODUCT(Raw!$BT$3:$CC$3,Raw!BT7:CC7))</f>
        <v>0</v>
      </c>
      <c r="AE6" s="23">
        <f>IF(U6="YES",SUMPRODUCT(Raw!$BT$3:$CC$3,Raw!BU7:CD7)*0.6,SUMPRODUCT(Raw!$BT$3:$CC$3,Raw!BU7:CD7))</f>
        <v>0</v>
      </c>
      <c r="AF6" s="28">
        <f t="shared" si="5"/>
        <v>0</v>
      </c>
      <c r="AG6" s="28">
        <f t="shared" si="6"/>
        <v>0</v>
      </c>
      <c r="AI6" s="88" t="str">
        <f t="shared" si="1"/>
        <v>-</v>
      </c>
      <c r="AJ6" s="88" t="str">
        <f t="shared" si="2"/>
        <v>-</v>
      </c>
      <c r="AK6" t="e">
        <f t="shared" si="7"/>
        <v>#VALUE!</v>
      </c>
      <c r="AL6" t="e">
        <f t="shared" si="8"/>
        <v>#VALUE!</v>
      </c>
    </row>
    <row r="7" spans="1:38" x14ac:dyDescent="0.25">
      <c r="A7" s="4">
        <f>Raw!J8</f>
        <v>158</v>
      </c>
      <c r="B7" s="4" t="str">
        <f>Raw!K8</f>
        <v>Park Blvd</v>
      </c>
      <c r="C7" s="4" t="str">
        <f>Raw!L8</f>
        <v>Palmito Dr</v>
      </c>
      <c r="D7" s="4" t="str">
        <f>Raw!M8</f>
        <v>El Camino Real</v>
      </c>
      <c r="E7" s="23" t="str">
        <f>Raw!CG8</f>
        <v>S</v>
      </c>
      <c r="F7" s="7">
        <f>Raw!T8</f>
        <v>11</v>
      </c>
      <c r="G7" s="7">
        <f>Raw!AL8</f>
        <v>0</v>
      </c>
      <c r="H7" s="7">
        <f>Raw!AC8</f>
        <v>1</v>
      </c>
      <c r="I7" s="7">
        <f t="shared" si="0"/>
        <v>1</v>
      </c>
      <c r="J7" s="157">
        <f>Raw!BT8</f>
        <v>11</v>
      </c>
      <c r="K7" s="157">
        <f>Raw!AW8</f>
        <v>39</v>
      </c>
      <c r="L7" s="42">
        <f>IF(Raw!CE8 = "NA", "-", Raw!CE8)</f>
        <v>1.6</v>
      </c>
      <c r="M7" s="42">
        <f>IF(Raw!BH8 = "NA", "-", Raw!BH8)</f>
        <v>4.5</v>
      </c>
      <c r="N7" s="46">
        <f>IF(Raw!CD8 = "NA", "-", Raw!CD8)</f>
        <v>18</v>
      </c>
      <c r="O7" s="46">
        <f>IF(Raw!BG8 = "NA", "-", Raw!BG8)</f>
        <v>50</v>
      </c>
      <c r="P7" s="32">
        <f>IF(Raw!AW8 = "NA", "-", SUMPRODUCT(Raw!$BT$2:$CC$2, Raw!BT8:CC8))</f>
        <v>41</v>
      </c>
      <c r="Q7" s="32">
        <f>IF(Raw!AW8 = "NA", "-", SUMPRODUCT(Raw!$AW$2:$BF$2, Raw!AW8:BF8))</f>
        <v>71</v>
      </c>
      <c r="R7" s="7" t="str" cm="1">
        <f t="array" ref="R7">_xlfn.IFS(S7="YES", "Hourly", T7="YES", "Flat Rate")</f>
        <v>Hourly</v>
      </c>
      <c r="S7" s="8" t="str">
        <f>IF(Raw!CO8=1, "YES", "")</f>
        <v>YES</v>
      </c>
      <c r="T7" s="8" t="str">
        <f>IF(Raw!CO8=2, "YES", "")</f>
        <v/>
      </c>
      <c r="U7" s="96" t="str">
        <f>IF(Raw!CP8=1, "YES", "")</f>
        <v/>
      </c>
      <c r="V7" s="96"/>
      <c r="X7" s="23">
        <f>SUMPRODUCT(Raw!$BT$3:$CC$3, Raw!BT8:CC8)</f>
        <v>25</v>
      </c>
      <c r="Y7" s="23">
        <f>SUMPRODUCT(Raw!$BT$3:$CC$3, Raw!BU8:CD8)</f>
        <v>49</v>
      </c>
      <c r="Z7" s="28">
        <f t="shared" si="3"/>
        <v>174</v>
      </c>
      <c r="AA7" s="28">
        <f t="shared" si="4"/>
        <v>9073</v>
      </c>
      <c r="AC7">
        <f t="shared" si="9"/>
        <v>11</v>
      </c>
      <c r="AD7" s="23">
        <f>IF(U7="YES",SUMPRODUCT(Raw!$BT$3:$CC$3,Raw!BT8:CC8)*0.6,SUMPRODUCT(Raw!$BT$3:$CC$3,Raw!BT8:CC8))</f>
        <v>25</v>
      </c>
      <c r="AE7" s="23">
        <f>IF(U7="YES",SUMPRODUCT(Raw!$BT$3:$CC$3,Raw!BU8:CD8)*0.6,SUMPRODUCT(Raw!$BT$3:$CC$3,Raw!BU8:CD8))</f>
        <v>49</v>
      </c>
      <c r="AF7" s="28">
        <f t="shared" si="5"/>
        <v>174</v>
      </c>
      <c r="AG7" s="28">
        <f t="shared" si="6"/>
        <v>9073</v>
      </c>
      <c r="AI7" s="88">
        <f t="shared" si="1"/>
        <v>18</v>
      </c>
      <c r="AJ7" s="88">
        <f t="shared" si="2"/>
        <v>50</v>
      </c>
      <c r="AK7">
        <f t="shared" si="7"/>
        <v>770</v>
      </c>
      <c r="AL7">
        <f t="shared" si="8"/>
        <v>40139</v>
      </c>
    </row>
    <row r="8" spans="1:38" x14ac:dyDescent="0.25">
      <c r="A8" s="4">
        <f>Raw!J9</f>
        <v>100</v>
      </c>
      <c r="B8" s="4" t="str">
        <f>Raw!K9</f>
        <v>El Camino Real</v>
      </c>
      <c r="C8" s="4" t="str">
        <f>Raw!L9</f>
        <v>Park Pl</v>
      </c>
      <c r="D8" s="4" t="str">
        <f>Raw!M9</f>
        <v>Park Blvd</v>
      </c>
      <c r="E8" s="23" t="str">
        <f>Raw!CG9</f>
        <v>W</v>
      </c>
      <c r="F8" s="7">
        <f>Raw!T9</f>
        <v>19</v>
      </c>
      <c r="G8" s="7">
        <f>Raw!AL9</f>
        <v>1</v>
      </c>
      <c r="H8" s="7">
        <f>Raw!AC9</f>
        <v>2</v>
      </c>
      <c r="I8" s="7">
        <f t="shared" si="0"/>
        <v>3</v>
      </c>
      <c r="J8" s="157">
        <f>Raw!BT9</f>
        <v>32</v>
      </c>
      <c r="K8" s="157">
        <f>Raw!AW9</f>
        <v>32</v>
      </c>
      <c r="L8" s="42">
        <f>IF(Raw!CE9 = "NA", "-", Raw!CE9)</f>
        <v>3.4</v>
      </c>
      <c r="M8" s="42">
        <f>IF(Raw!BH9 = "NA", "-", Raw!BH9)</f>
        <v>3.2</v>
      </c>
      <c r="N8" s="46">
        <f>IF(Raw!CD9 = "NA", "-", Raw!CD9)</f>
        <v>64</v>
      </c>
      <c r="O8" s="46">
        <f>IF(Raw!BG9 = "NA", "-", Raw!BG9)</f>
        <v>59</v>
      </c>
      <c r="P8" s="32">
        <f>IF(Raw!AW9 = "NA", "-", SUMPRODUCT(Raw!$BT$2:$CC$2, Raw!BT9:CC9))</f>
        <v>141</v>
      </c>
      <c r="Q8" s="32">
        <f>IF(Raw!AW9 = "NA", "-", SUMPRODUCT(Raw!$AW$2:$BF$2, Raw!AW9:BF9))</f>
        <v>127</v>
      </c>
      <c r="R8" s="7" t="str" cm="1">
        <f t="array" ref="R8">_xlfn.IFS(S8="YES", "Hourly", T8="YES", "Flat Rate")</f>
        <v>Hourly</v>
      </c>
      <c r="S8" s="8" t="str">
        <f>IF(Raw!CO9=1, "YES", "")</f>
        <v>YES</v>
      </c>
      <c r="T8" s="8" t="str">
        <f>IF(Raw!CO9=2, "YES", "")</f>
        <v/>
      </c>
      <c r="U8" s="96" t="str">
        <f>IF(Raw!CP9=1, "YES", "")</f>
        <v/>
      </c>
      <c r="V8" s="96"/>
      <c r="X8" s="23">
        <f>SUMPRODUCT(Raw!$BT$3:$CC$3, Raw!BT9:CC9)</f>
        <v>96</v>
      </c>
      <c r="Y8" s="23">
        <f>SUMPRODUCT(Raw!$BT$3:$CC$3, Raw!BU9:CD9)</f>
        <v>177</v>
      </c>
      <c r="Z8" s="28">
        <f t="shared" si="3"/>
        <v>657</v>
      </c>
      <c r="AA8" s="28">
        <f t="shared" si="4"/>
        <v>34260</v>
      </c>
      <c r="AC8">
        <f t="shared" si="9"/>
        <v>19</v>
      </c>
      <c r="AD8" s="23">
        <f>IF(U8="YES",SUMPRODUCT(Raw!$BT$3:$CC$3,Raw!BT9:CC9)*0.6,SUMPRODUCT(Raw!$BT$3:$CC$3,Raw!BT9:CC9))</f>
        <v>96</v>
      </c>
      <c r="AE8" s="23">
        <f>IF(U8="YES",SUMPRODUCT(Raw!$BT$3:$CC$3,Raw!BU9:CD9)*0.6,SUMPRODUCT(Raw!$BT$3:$CC$3,Raw!BU9:CD9))</f>
        <v>177</v>
      </c>
      <c r="AF8" s="28">
        <f t="shared" si="5"/>
        <v>657</v>
      </c>
      <c r="AG8" s="28">
        <f t="shared" si="6"/>
        <v>34260</v>
      </c>
      <c r="AI8" s="88">
        <f t="shared" si="1"/>
        <v>64</v>
      </c>
      <c r="AJ8" s="88">
        <f t="shared" si="2"/>
        <v>59</v>
      </c>
      <c r="AK8">
        <f t="shared" si="7"/>
        <v>2084.5</v>
      </c>
      <c r="AL8">
        <f t="shared" si="8"/>
        <v>108746</v>
      </c>
    </row>
    <row r="9" spans="1:38" x14ac:dyDescent="0.25">
      <c r="A9" s="4">
        <f>Raw!J10</f>
        <v>101</v>
      </c>
      <c r="B9" s="4" t="str">
        <f>Raw!K10</f>
        <v>El Camino Real</v>
      </c>
      <c r="C9" s="4" t="str">
        <f>Raw!L10</f>
        <v>Santa Clara Ave</v>
      </c>
      <c r="D9" s="4" t="str">
        <f>Raw!M10</f>
        <v>Santa Inez Ave</v>
      </c>
      <c r="E9" s="23" t="str">
        <f>Raw!CG10</f>
        <v>E</v>
      </c>
      <c r="F9" s="7">
        <f>Raw!T10</f>
        <v>5</v>
      </c>
      <c r="G9" s="7">
        <f>Raw!AL10</f>
        <v>2</v>
      </c>
      <c r="H9" s="7">
        <f>Raw!AC10</f>
        <v>1</v>
      </c>
      <c r="I9" s="7">
        <f t="shared" si="0"/>
        <v>3</v>
      </c>
      <c r="J9" s="157">
        <f>Raw!BT10</f>
        <v>3</v>
      </c>
      <c r="K9" s="157">
        <f>Raw!AW10</f>
        <v>8</v>
      </c>
      <c r="L9" s="42">
        <f>IF(Raw!CE10 = "NA", "-", Raw!CE10)</f>
        <v>2.9</v>
      </c>
      <c r="M9" s="42">
        <f>IF(Raw!BH10 = "NA", "-", Raw!BH10)</f>
        <v>2.4</v>
      </c>
      <c r="N9" s="46">
        <f>IF(Raw!CD10 = "NA", "-", Raw!CD10)</f>
        <v>14</v>
      </c>
      <c r="O9" s="46">
        <f>IF(Raw!BG10 = "NA", "-", Raw!BG10)</f>
        <v>12</v>
      </c>
      <c r="P9" s="32">
        <f>IF(Raw!AW10 = "NA", "-", SUMPRODUCT(Raw!$BT$2:$CC$2, Raw!BT10:CC10))</f>
        <v>38</v>
      </c>
      <c r="Q9" s="32">
        <f>IF(Raw!AW10 = "NA", "-", SUMPRODUCT(Raw!$AW$2:$BF$2, Raw!AW10:BF10))</f>
        <v>24</v>
      </c>
      <c r="R9" s="7" t="str" cm="1">
        <f t="array" ref="R9">_xlfn.IFS(S9="YES", "Hourly", T9="YES", "Flat Rate")</f>
        <v>Hourly</v>
      </c>
      <c r="S9" s="8" t="str">
        <f>IF(Raw!CO10=1, "YES", "")</f>
        <v>YES</v>
      </c>
      <c r="T9" s="8" t="str">
        <f>IF(Raw!CO10=2, "YES", "")</f>
        <v/>
      </c>
      <c r="U9" s="96" t="str">
        <f>IF(Raw!CP10=1, "YES", "")</f>
        <v/>
      </c>
      <c r="V9" s="96"/>
      <c r="X9" s="23">
        <f>SUMPRODUCT(Raw!$BT$3:$CC$3, Raw!BT10:CC10)</f>
        <v>25</v>
      </c>
      <c r="Y9" s="23">
        <f>SUMPRODUCT(Raw!$BT$3:$CC$3, Raw!BU10:CD10)</f>
        <v>43</v>
      </c>
      <c r="Z9" s="28">
        <f t="shared" si="3"/>
        <v>168</v>
      </c>
      <c r="AA9" s="28">
        <f t="shared" si="4"/>
        <v>8761</v>
      </c>
      <c r="AC9">
        <f t="shared" si="9"/>
        <v>5</v>
      </c>
      <c r="AD9" s="23">
        <f>IF(U9="YES",SUMPRODUCT(Raw!$BT$3:$CC$3,Raw!BT10:CC10)*0.6,SUMPRODUCT(Raw!$BT$3:$CC$3,Raw!BT10:CC10))</f>
        <v>25</v>
      </c>
      <c r="AE9" s="23">
        <f>IF(U9="YES",SUMPRODUCT(Raw!$BT$3:$CC$3,Raw!BU10:CD10)*0.6,SUMPRODUCT(Raw!$BT$3:$CC$3,Raw!BU10:CD10))</f>
        <v>43</v>
      </c>
      <c r="AF9" s="28">
        <f t="shared" si="5"/>
        <v>168</v>
      </c>
      <c r="AG9" s="28">
        <f t="shared" si="6"/>
        <v>8761</v>
      </c>
      <c r="AI9" s="88">
        <f t="shared" si="1"/>
        <v>14</v>
      </c>
      <c r="AJ9" s="88">
        <f t="shared" si="2"/>
        <v>12</v>
      </c>
      <c r="AK9">
        <f t="shared" si="7"/>
        <v>451</v>
      </c>
      <c r="AL9">
        <f t="shared" si="8"/>
        <v>23529</v>
      </c>
    </row>
    <row r="10" spans="1:38" x14ac:dyDescent="0.25">
      <c r="A10" s="4">
        <f>Raw!J11</f>
        <v>102</v>
      </c>
      <c r="B10" s="4" t="str">
        <f>Raw!K11</f>
        <v>El Camino Real</v>
      </c>
      <c r="C10" s="4" t="str">
        <f>Raw!L11</f>
        <v>San Diego Ave</v>
      </c>
      <c r="D10" s="4" t="str">
        <f>Raw!M11</f>
        <v>Santa Clara Ave</v>
      </c>
      <c r="E10" s="23" t="str">
        <f>Raw!CG11</f>
        <v>E</v>
      </c>
      <c r="F10" s="7">
        <f>Raw!T11</f>
        <v>8</v>
      </c>
      <c r="G10" s="7">
        <f>Raw!AL11</f>
        <v>1</v>
      </c>
      <c r="H10" s="7">
        <f>Raw!AC11</f>
        <v>1</v>
      </c>
      <c r="I10" s="7">
        <f t="shared" si="0"/>
        <v>2</v>
      </c>
      <c r="J10" s="157">
        <f>Raw!BT11</f>
        <v>7</v>
      </c>
      <c r="K10" s="157">
        <f>Raw!AW11</f>
        <v>6</v>
      </c>
      <c r="L10" s="42">
        <f>IF(Raw!CE11 = "NA", "-", Raw!CE11)</f>
        <v>1.5</v>
      </c>
      <c r="M10" s="42">
        <f>IF(Raw!BH11 = "NA", "-", Raw!BH11)</f>
        <v>2.4</v>
      </c>
      <c r="N10" s="46">
        <f>IF(Raw!CD11 = "NA", "-", Raw!CD11)</f>
        <v>13</v>
      </c>
      <c r="O10" s="46">
        <f>IF(Raw!BG11 = "NA", "-", Raw!BG11)</f>
        <v>20</v>
      </c>
      <c r="P10" s="32">
        <f>IF(Raw!AW11 = "NA", "-", SUMPRODUCT(Raw!$BT$2:$CC$2, Raw!BT11:CC11))</f>
        <v>21</v>
      </c>
      <c r="Q10" s="32">
        <f>IF(Raw!AW11 = "NA", "-", SUMPRODUCT(Raw!$AW$2:$BF$2, Raw!AW11:BF11))</f>
        <v>50</v>
      </c>
      <c r="R10" s="7" t="str" cm="1">
        <f t="array" ref="R10">_xlfn.IFS(S10="YES", "Hourly", T10="YES", "Flat Rate")</f>
        <v>Hourly</v>
      </c>
      <c r="S10" s="8" t="str">
        <f>IF(Raw!CO11=1, "YES", "")</f>
        <v>YES</v>
      </c>
      <c r="T10" s="8" t="str">
        <f>IF(Raw!CO11=2, "YES", "")</f>
        <v/>
      </c>
      <c r="U10" s="96" t="str">
        <f>IF(Raw!CP11=1, "YES", "")</f>
        <v/>
      </c>
      <c r="V10" s="96"/>
      <c r="X10" s="23">
        <f>SUMPRODUCT(Raw!$BT$3:$CC$3, Raw!BT11:CC11)</f>
        <v>19</v>
      </c>
      <c r="Y10" s="23">
        <f>SUMPRODUCT(Raw!$BT$3:$CC$3, Raw!BU11:CD11)</f>
        <v>34</v>
      </c>
      <c r="Z10" s="28">
        <f t="shared" si="3"/>
        <v>129</v>
      </c>
      <c r="AA10" s="28">
        <f t="shared" si="4"/>
        <v>6727</v>
      </c>
      <c r="AC10">
        <f t="shared" si="9"/>
        <v>8</v>
      </c>
      <c r="AD10" s="23">
        <f>IF(U10="YES",SUMPRODUCT(Raw!$BT$3:$CC$3,Raw!BT11:CC11)*0.6,SUMPRODUCT(Raw!$BT$3:$CC$3,Raw!BT11:CC11))</f>
        <v>19</v>
      </c>
      <c r="AE10" s="23">
        <f>IF(U10="YES",SUMPRODUCT(Raw!$BT$3:$CC$3,Raw!BU11:CD11)*0.6,SUMPRODUCT(Raw!$BT$3:$CC$3,Raw!BU11:CD11))</f>
        <v>34</v>
      </c>
      <c r="AF10" s="28">
        <f t="shared" si="5"/>
        <v>129</v>
      </c>
      <c r="AG10" s="28">
        <f t="shared" si="6"/>
        <v>6727</v>
      </c>
      <c r="AI10" s="88">
        <f t="shared" si="1"/>
        <v>13</v>
      </c>
      <c r="AJ10" s="88">
        <f t="shared" si="2"/>
        <v>20</v>
      </c>
      <c r="AK10">
        <f t="shared" si="7"/>
        <v>467.5</v>
      </c>
      <c r="AL10">
        <f t="shared" si="8"/>
        <v>24381.5</v>
      </c>
    </row>
    <row r="11" spans="1:38" x14ac:dyDescent="0.25">
      <c r="A11" s="4">
        <f>Raw!J12</f>
        <v>104</v>
      </c>
      <c r="B11" s="4" t="str">
        <f>Raw!K12</f>
        <v>El Camino Real</v>
      </c>
      <c r="C11" s="4" t="str">
        <f>Raw!L12</f>
        <v>Santa Maria Ave</v>
      </c>
      <c r="D11" s="4" t="str">
        <f>Raw!M12</f>
        <v>San Diego Ave</v>
      </c>
      <c r="E11" s="23" t="str">
        <f>Raw!CG12</f>
        <v>E</v>
      </c>
      <c r="F11" s="7">
        <f>Raw!T12</f>
        <v>5</v>
      </c>
      <c r="G11" s="7">
        <f>Raw!AL12</f>
        <v>0</v>
      </c>
      <c r="H11" s="7">
        <f>Raw!AC12</f>
        <v>0</v>
      </c>
      <c r="I11" s="7">
        <f t="shared" si="0"/>
        <v>0</v>
      </c>
      <c r="J11" s="157">
        <f>Raw!BT12</f>
        <v>0</v>
      </c>
      <c r="K11" s="157">
        <f>Raw!AW12</f>
        <v>6</v>
      </c>
      <c r="L11" s="42">
        <f>IF(Raw!CE12 = "NA", "-", Raw!CE12)</f>
        <v>0.8</v>
      </c>
      <c r="M11" s="42">
        <f>IF(Raw!BH12 = "NA", "-", Raw!BH12)</f>
        <v>1.6</v>
      </c>
      <c r="N11" s="46">
        <f>IF(Raw!CD12 = "NA", "-", Raw!CD12)</f>
        <v>4</v>
      </c>
      <c r="O11" s="46">
        <f>IF(Raw!BG12 = "NA", "-", Raw!BG12)</f>
        <v>8</v>
      </c>
      <c r="P11" s="32">
        <f>IF(Raw!AW12 = "NA", "-", SUMPRODUCT(Raw!$BT$2:$CC$2, Raw!BT12:CC12))</f>
        <v>25</v>
      </c>
      <c r="Q11" s="32">
        <f>IF(Raw!AW12 = "NA", "-", SUMPRODUCT(Raw!$AW$2:$BF$2, Raw!AW12:BF12))</f>
        <v>21</v>
      </c>
      <c r="R11" s="7" t="str" cm="1">
        <f t="array" ref="R11">_xlfn.IFS(S11="YES", "Hourly", T11="YES", "Flat Rate")</f>
        <v>Hourly</v>
      </c>
      <c r="S11" s="8" t="str">
        <f>IF(Raw!CO12=1, "YES", "")</f>
        <v>YES</v>
      </c>
      <c r="T11" s="8" t="str">
        <f>IF(Raw!CO12=2, "YES", "")</f>
        <v/>
      </c>
      <c r="U11" s="96" t="str">
        <f>IF(Raw!CP12=1, "YES", "")</f>
        <v/>
      </c>
      <c r="V11" s="96"/>
      <c r="X11" s="23">
        <f>SUMPRODUCT(Raw!$BT$3:$CC$3, Raw!BT12:CC12)</f>
        <v>8</v>
      </c>
      <c r="Y11" s="23">
        <f>SUMPRODUCT(Raw!$BT$3:$CC$3, Raw!BU12:CD12)</f>
        <v>15</v>
      </c>
      <c r="Z11" s="28">
        <f t="shared" si="3"/>
        <v>55</v>
      </c>
      <c r="AA11" s="28">
        <f t="shared" si="4"/>
        <v>2868</v>
      </c>
      <c r="AC11">
        <f t="shared" si="9"/>
        <v>5</v>
      </c>
      <c r="AD11" s="23">
        <f>IF(U11="YES",SUMPRODUCT(Raw!$BT$3:$CC$3,Raw!BT12:CC12)*0.6,SUMPRODUCT(Raw!$BT$3:$CC$3,Raw!BT12:CC12))</f>
        <v>8</v>
      </c>
      <c r="AE11" s="23">
        <f>IF(U11="YES",SUMPRODUCT(Raw!$BT$3:$CC$3,Raw!BU12:CD12)*0.6,SUMPRODUCT(Raw!$BT$3:$CC$3,Raw!BU12:CD12))</f>
        <v>15</v>
      </c>
      <c r="AF11" s="28">
        <f t="shared" si="5"/>
        <v>55</v>
      </c>
      <c r="AG11" s="28">
        <f t="shared" si="6"/>
        <v>2868</v>
      </c>
      <c r="AI11" s="88">
        <f t="shared" si="1"/>
        <v>4</v>
      </c>
      <c r="AJ11" s="88">
        <f t="shared" si="2"/>
        <v>8</v>
      </c>
      <c r="AK11">
        <f t="shared" si="7"/>
        <v>154</v>
      </c>
      <c r="AL11">
        <f t="shared" si="8"/>
        <v>8030</v>
      </c>
    </row>
    <row r="12" spans="1:38" x14ac:dyDescent="0.25">
      <c r="A12" s="4">
        <f>Raw!J13</f>
        <v>67</v>
      </c>
      <c r="B12" s="4" t="str">
        <f>Raw!K13</f>
        <v>Palmito Dr</v>
      </c>
      <c r="C12" s="4" t="str">
        <f>Raw!L13</f>
        <v>Park Blvd</v>
      </c>
      <c r="D12" s="4" t="str">
        <f>Raw!M13</f>
        <v>Alley</v>
      </c>
      <c r="E12" s="23" t="str">
        <f>Raw!CG13</f>
        <v>W</v>
      </c>
      <c r="F12" s="7">
        <f>Raw!T13</f>
        <v>4</v>
      </c>
      <c r="G12" s="7">
        <f>Raw!AL13</f>
        <v>0</v>
      </c>
      <c r="H12" s="7">
        <f>Raw!AC13</f>
        <v>3</v>
      </c>
      <c r="I12" s="7">
        <f t="shared" si="0"/>
        <v>3</v>
      </c>
      <c r="J12" s="157" t="str">
        <f>Raw!BT13</f>
        <v>NA</v>
      </c>
      <c r="K12" s="157" t="str">
        <f>Raw!AW13</f>
        <v>NA</v>
      </c>
      <c r="L12" s="42" t="str">
        <f>IF(Raw!CE13 = "NA", "-", Raw!CE13)</f>
        <v>-</v>
      </c>
      <c r="M12" s="42" t="str">
        <f>IF(Raw!BH13 = "NA", "-", Raw!BH13)</f>
        <v>-</v>
      </c>
      <c r="N12" s="46" t="str">
        <f>IF(Raw!CD13 = "NA", "-", Raw!CD13)</f>
        <v>-</v>
      </c>
      <c r="O12" s="46" t="str">
        <f>IF(Raw!BG13 = "NA", "-", Raw!BG13)</f>
        <v>-</v>
      </c>
      <c r="P12" s="32" t="str">
        <f>IF(Raw!AW13 = "NA", "-", SUMPRODUCT(Raw!$BT$2:$CC$2, Raw!BT13:CC13))</f>
        <v>-</v>
      </c>
      <c r="Q12" s="32" t="str">
        <f>IF(Raw!AW13 = "NA", "-", SUMPRODUCT(Raw!$AW$2:$BF$2, Raw!AW13:BF13))</f>
        <v>-</v>
      </c>
      <c r="R12" s="7" t="e" cm="1">
        <f t="array" ref="R12">_xlfn.IFS(S12="YES", "Hourly", T12="YES", "Flat Rate")</f>
        <v>#N/A</v>
      </c>
      <c r="S12" s="8" t="str">
        <f>IF(Raw!CO13=1, "YES", "")</f>
        <v/>
      </c>
      <c r="T12" s="8" t="str">
        <f>IF(Raw!CO13=2, "YES", "")</f>
        <v/>
      </c>
      <c r="U12" s="96" t="str">
        <f>IF(Raw!CP13=1, "YES", "")</f>
        <v/>
      </c>
      <c r="V12" s="96"/>
      <c r="X12" s="23">
        <f>SUMPRODUCT(Raw!$BT$3:$CC$3, Raw!BT13:CC13)</f>
        <v>0</v>
      </c>
      <c r="Y12" s="23">
        <f>SUMPRODUCT(Raw!$BT$3:$CC$3, Raw!BU13:CD13)</f>
        <v>0</v>
      </c>
      <c r="Z12" s="28">
        <f t="shared" si="3"/>
        <v>0</v>
      </c>
      <c r="AA12" s="28">
        <f t="shared" si="4"/>
        <v>0</v>
      </c>
      <c r="AC12">
        <f t="shared" si="9"/>
        <v>4</v>
      </c>
      <c r="AD12" s="23">
        <f>IF(U12="YES",SUMPRODUCT(Raw!$BT$3:$CC$3,Raw!BT13:CC13)*0.6,SUMPRODUCT(Raw!$BT$3:$CC$3,Raw!BT13:CC13))</f>
        <v>0</v>
      </c>
      <c r="AE12" s="23">
        <f>IF(U12="YES",SUMPRODUCT(Raw!$BT$3:$CC$3,Raw!BU13:CD13)*0.6,SUMPRODUCT(Raw!$BT$3:$CC$3,Raw!BU13:CD13))</f>
        <v>0</v>
      </c>
      <c r="AF12" s="28">
        <f t="shared" si="5"/>
        <v>0</v>
      </c>
      <c r="AG12" s="28">
        <f t="shared" si="6"/>
        <v>0</v>
      </c>
      <c r="AI12" s="88" t="str">
        <f t="shared" si="1"/>
        <v>-</v>
      </c>
      <c r="AJ12" s="88" t="str">
        <f t="shared" si="2"/>
        <v>-</v>
      </c>
      <c r="AK12" t="e">
        <f t="shared" si="7"/>
        <v>#VALUE!</v>
      </c>
      <c r="AL12" t="e">
        <f t="shared" si="8"/>
        <v>#VALUE!</v>
      </c>
    </row>
    <row r="13" spans="1:38" x14ac:dyDescent="0.25">
      <c r="A13" s="4">
        <f>Raw!J14</f>
        <v>68</v>
      </c>
      <c r="B13" s="4" t="str">
        <f>Raw!K14</f>
        <v>Palmito Dr</v>
      </c>
      <c r="C13" s="4" t="str">
        <f>Raw!L14</f>
        <v>Alley</v>
      </c>
      <c r="D13" s="4" t="str">
        <f>Raw!M14</f>
        <v>Park Blvd</v>
      </c>
      <c r="E13" s="23" t="str">
        <f>Raw!CG14</f>
        <v>E</v>
      </c>
      <c r="F13" s="7">
        <f>Raw!T14</f>
        <v>0</v>
      </c>
      <c r="G13" s="7">
        <f>Raw!AL14</f>
        <v>0</v>
      </c>
      <c r="H13" s="7">
        <f>Raw!AC14</f>
        <v>0</v>
      </c>
      <c r="I13" s="7">
        <f t="shared" si="0"/>
        <v>0</v>
      </c>
      <c r="J13" s="157" t="str">
        <f>Raw!BT14</f>
        <v>NA</v>
      </c>
      <c r="K13" s="157" t="str">
        <f>Raw!AW14</f>
        <v>NA</v>
      </c>
      <c r="L13" s="42" t="str">
        <f>IF(Raw!CE14 = "NA", "-", Raw!CE14)</f>
        <v>-</v>
      </c>
      <c r="M13" s="42" t="str">
        <f>IF(Raw!BH14 = "NA", "-", Raw!BH14)</f>
        <v>-</v>
      </c>
      <c r="N13" s="46" t="str">
        <f>IF(Raw!CD14 = "NA", "-", Raw!CD14)</f>
        <v>-</v>
      </c>
      <c r="O13" s="46" t="str">
        <f>IF(Raw!BG14 = "NA", "-", Raw!BG14)</f>
        <v>-</v>
      </c>
      <c r="P13" s="32" t="str">
        <f>IF(Raw!AW14 = "NA", "-", SUMPRODUCT(Raw!$BT$2:$CC$2, Raw!BT14:CC14))</f>
        <v>-</v>
      </c>
      <c r="Q13" s="32" t="str">
        <f>IF(Raw!AW14 = "NA", "-", SUMPRODUCT(Raw!$AW$2:$BF$2, Raw!AW14:BF14))</f>
        <v>-</v>
      </c>
      <c r="R13" s="7" t="e" cm="1">
        <f t="array" ref="R13">_xlfn.IFS(S13="YES", "Hourly", T13="YES", "Flat Rate")</f>
        <v>#N/A</v>
      </c>
      <c r="S13" s="8" t="str">
        <f>IF(Raw!CO14=1, "YES", "")</f>
        <v/>
      </c>
      <c r="T13" s="8" t="str">
        <f>IF(Raw!CO14=2, "YES", "")</f>
        <v/>
      </c>
      <c r="U13" s="96" t="str">
        <f>IF(Raw!CP14=1, "YES", "")</f>
        <v/>
      </c>
      <c r="V13" s="96"/>
      <c r="X13" s="23">
        <f>SUMPRODUCT(Raw!$BT$3:$CC$3, Raw!BT14:CC14)</f>
        <v>0</v>
      </c>
      <c r="Y13" s="23">
        <f>SUMPRODUCT(Raw!$BT$3:$CC$3, Raw!BU14:CD14)</f>
        <v>0</v>
      </c>
      <c r="Z13" s="28">
        <f t="shared" si="3"/>
        <v>0</v>
      </c>
      <c r="AA13" s="28">
        <f t="shared" si="4"/>
        <v>0</v>
      </c>
      <c r="AC13">
        <f t="shared" si="9"/>
        <v>0</v>
      </c>
      <c r="AD13" s="23">
        <f>IF(U13="YES",SUMPRODUCT(Raw!$BT$3:$CC$3,Raw!BT14:CC14)*0.6,SUMPRODUCT(Raw!$BT$3:$CC$3,Raw!BT14:CC14))</f>
        <v>0</v>
      </c>
      <c r="AE13" s="23">
        <f>IF(U13="YES",SUMPRODUCT(Raw!$BT$3:$CC$3,Raw!BU14:CD14)*0.6,SUMPRODUCT(Raw!$BT$3:$CC$3,Raw!BU14:CD14))</f>
        <v>0</v>
      </c>
      <c r="AF13" s="28">
        <f t="shared" si="5"/>
        <v>0</v>
      </c>
      <c r="AG13" s="28">
        <f t="shared" si="6"/>
        <v>0</v>
      </c>
      <c r="AI13" s="88" t="str">
        <f t="shared" si="1"/>
        <v>-</v>
      </c>
      <c r="AJ13" s="88" t="str">
        <f t="shared" si="2"/>
        <v>-</v>
      </c>
      <c r="AK13" t="e">
        <f t="shared" si="7"/>
        <v>#VALUE!</v>
      </c>
      <c r="AL13" t="e">
        <f t="shared" si="8"/>
        <v>#VALUE!</v>
      </c>
    </row>
    <row r="14" spans="1:38" x14ac:dyDescent="0.25">
      <c r="A14" s="4">
        <f>Raw!J15</f>
        <v>69</v>
      </c>
      <c r="B14" s="4" t="str">
        <f>Raw!K15</f>
        <v>Palmito Dr</v>
      </c>
      <c r="C14" s="4" t="str">
        <f>Raw!L15</f>
        <v>Alley</v>
      </c>
      <c r="D14" s="4" t="str">
        <f>Raw!M15</f>
        <v>Capuchino Dr</v>
      </c>
      <c r="E14" s="23" t="str">
        <f>Raw!CG15</f>
        <v>W</v>
      </c>
      <c r="F14" s="7">
        <f>Raw!T15</f>
        <v>19</v>
      </c>
      <c r="G14" s="7">
        <f>Raw!AL15</f>
        <v>0</v>
      </c>
      <c r="H14" s="7">
        <f>Raw!AC15</f>
        <v>0</v>
      </c>
      <c r="I14" s="7">
        <f t="shared" si="0"/>
        <v>0</v>
      </c>
      <c r="J14" s="157" t="str">
        <f>Raw!BT15</f>
        <v>NA</v>
      </c>
      <c r="K14" s="157" t="str">
        <f>Raw!AW15</f>
        <v>NA</v>
      </c>
      <c r="L14" s="42" t="str">
        <f>IF(Raw!CE15 = "NA", "-", Raw!CE15)</f>
        <v>-</v>
      </c>
      <c r="M14" s="42" t="str">
        <f>IF(Raw!BH15 = "NA", "-", Raw!BH15)</f>
        <v>-</v>
      </c>
      <c r="N14" s="46" t="str">
        <f>IF(Raw!CD15 = "NA", "-", Raw!CD15)</f>
        <v>-</v>
      </c>
      <c r="O14" s="46" t="str">
        <f>IF(Raw!BG15 = "NA", "-", Raw!BG15)</f>
        <v>-</v>
      </c>
      <c r="P14" s="32" t="str">
        <f>IF(Raw!AW15 = "NA", "-", SUMPRODUCT(Raw!$BT$2:$CC$2, Raw!BT15:CC15))</f>
        <v>-</v>
      </c>
      <c r="Q14" s="32" t="str">
        <f>IF(Raw!AW15 = "NA", "-", SUMPRODUCT(Raw!$AW$2:$BF$2, Raw!AW15:BF15))</f>
        <v>-</v>
      </c>
      <c r="R14" s="7" t="e" cm="1">
        <f t="array" ref="R14">_xlfn.IFS(S14="YES", "Hourly", T14="YES", "Flat Rate")</f>
        <v>#N/A</v>
      </c>
      <c r="S14" s="8" t="str">
        <f>IF(Raw!CO15=1, "YES", "")</f>
        <v/>
      </c>
      <c r="T14" s="8" t="str">
        <f>IF(Raw!CO15=2, "YES", "")</f>
        <v/>
      </c>
      <c r="U14" s="96" t="str">
        <f>IF(Raw!CP15=1, "YES", "")</f>
        <v/>
      </c>
      <c r="V14" s="96"/>
      <c r="X14" s="23">
        <f>SUMPRODUCT(Raw!$BT$3:$CC$3, Raw!BT15:CC15)</f>
        <v>0</v>
      </c>
      <c r="Y14" s="23">
        <f>SUMPRODUCT(Raw!$BT$3:$CC$3, Raw!BU15:CD15)</f>
        <v>0</v>
      </c>
      <c r="Z14" s="28">
        <f t="shared" si="3"/>
        <v>0</v>
      </c>
      <c r="AA14" s="28">
        <f t="shared" si="4"/>
        <v>0</v>
      </c>
      <c r="AC14">
        <f t="shared" si="9"/>
        <v>19</v>
      </c>
      <c r="AD14" s="23">
        <f>IF(U14="YES",SUMPRODUCT(Raw!$BT$3:$CC$3,Raw!BT15:CC15)*0.6,SUMPRODUCT(Raw!$BT$3:$CC$3,Raw!BT15:CC15))</f>
        <v>0</v>
      </c>
      <c r="AE14" s="23">
        <f>IF(U14="YES",SUMPRODUCT(Raw!$BT$3:$CC$3,Raw!BU15:CD15)*0.6,SUMPRODUCT(Raw!$BT$3:$CC$3,Raw!BU15:CD15))</f>
        <v>0</v>
      </c>
      <c r="AF14" s="28">
        <f t="shared" si="5"/>
        <v>0</v>
      </c>
      <c r="AG14" s="28">
        <f t="shared" si="6"/>
        <v>0</v>
      </c>
      <c r="AI14" s="88" t="str">
        <f t="shared" si="1"/>
        <v>-</v>
      </c>
      <c r="AJ14" s="88" t="str">
        <f t="shared" si="2"/>
        <v>-</v>
      </c>
      <c r="AK14" t="e">
        <f t="shared" si="7"/>
        <v>#VALUE!</v>
      </c>
      <c r="AL14" t="e">
        <f t="shared" si="8"/>
        <v>#VALUE!</v>
      </c>
    </row>
    <row r="15" spans="1:38" x14ac:dyDescent="0.25">
      <c r="A15" s="4">
        <f>Raw!J16</f>
        <v>70</v>
      </c>
      <c r="B15" s="4" t="str">
        <f>Raw!K16</f>
        <v>Palmito Dr</v>
      </c>
      <c r="C15" s="4" t="str">
        <f>Raw!L16</f>
        <v>Capuchino Dr</v>
      </c>
      <c r="D15" s="4" t="str">
        <f>Raw!M16</f>
        <v>Alley</v>
      </c>
      <c r="E15" s="23" t="str">
        <f>Raw!CG16</f>
        <v>E</v>
      </c>
      <c r="F15" s="7">
        <f>Raw!T16</f>
        <v>25</v>
      </c>
      <c r="G15" s="7">
        <f>Raw!AL16</f>
        <v>0</v>
      </c>
      <c r="H15" s="7">
        <f>Raw!AC16</f>
        <v>1</v>
      </c>
      <c r="I15" s="7">
        <f t="shared" si="0"/>
        <v>1</v>
      </c>
      <c r="J15" s="157" t="str">
        <f>Raw!BT16</f>
        <v>NA</v>
      </c>
      <c r="K15" s="157" t="str">
        <f>Raw!AW16</f>
        <v>NA</v>
      </c>
      <c r="L15" s="42" t="str">
        <f>IF(Raw!CE16 = "NA", "-", Raw!CE16)</f>
        <v>-</v>
      </c>
      <c r="M15" s="42" t="str">
        <f>IF(Raw!BH16 = "NA", "-", Raw!BH16)</f>
        <v>-</v>
      </c>
      <c r="N15" s="46" t="str">
        <f>IF(Raw!CD16 = "NA", "-", Raw!CD16)</f>
        <v>-</v>
      </c>
      <c r="O15" s="46" t="str">
        <f>IF(Raw!BG16 = "NA", "-", Raw!BG16)</f>
        <v>-</v>
      </c>
      <c r="P15" s="32" t="str">
        <f>IF(Raw!AW16 = "NA", "-", SUMPRODUCT(Raw!$BT$2:$CC$2, Raw!BT16:CC16))</f>
        <v>-</v>
      </c>
      <c r="Q15" s="32" t="str">
        <f>IF(Raw!AW16 = "NA", "-", SUMPRODUCT(Raw!$AW$2:$BF$2, Raw!AW16:BF16))</f>
        <v>-</v>
      </c>
      <c r="R15" s="7" t="e" cm="1">
        <f t="array" ref="R15">_xlfn.IFS(S15="YES", "Hourly", T15="YES", "Flat Rate")</f>
        <v>#N/A</v>
      </c>
      <c r="S15" s="8" t="str">
        <f>IF(Raw!CO16=1, "YES", "")</f>
        <v/>
      </c>
      <c r="T15" s="8" t="str">
        <f>IF(Raw!CO16=2, "YES", "")</f>
        <v/>
      </c>
      <c r="U15" s="96" t="str">
        <f>IF(Raw!CP16=1, "YES", "")</f>
        <v/>
      </c>
      <c r="V15" s="96"/>
      <c r="X15" s="23">
        <f>SUMPRODUCT(Raw!$BT$3:$CC$3, Raw!BT16:CC16)</f>
        <v>0</v>
      </c>
      <c r="Y15" s="23">
        <f>SUMPRODUCT(Raw!$BT$3:$CC$3, Raw!BU16:CD16)</f>
        <v>0</v>
      </c>
      <c r="Z15" s="28">
        <f t="shared" si="3"/>
        <v>0</v>
      </c>
      <c r="AA15" s="28">
        <f t="shared" si="4"/>
        <v>0</v>
      </c>
      <c r="AC15">
        <f t="shared" si="9"/>
        <v>25</v>
      </c>
      <c r="AD15" s="23">
        <f>IF(U15="YES",SUMPRODUCT(Raw!$BT$3:$CC$3,Raw!BT16:CC16)*0.6,SUMPRODUCT(Raw!$BT$3:$CC$3,Raw!BT16:CC16))</f>
        <v>0</v>
      </c>
      <c r="AE15" s="23">
        <f>IF(U15="YES",SUMPRODUCT(Raw!$BT$3:$CC$3,Raw!BU16:CD16)*0.6,SUMPRODUCT(Raw!$BT$3:$CC$3,Raw!BU16:CD16))</f>
        <v>0</v>
      </c>
      <c r="AF15" s="28">
        <f t="shared" si="5"/>
        <v>0</v>
      </c>
      <c r="AG15" s="28">
        <f t="shared" si="6"/>
        <v>0</v>
      </c>
      <c r="AI15" s="88" t="str">
        <f t="shared" si="1"/>
        <v>-</v>
      </c>
      <c r="AJ15" s="88" t="str">
        <f t="shared" si="2"/>
        <v>-</v>
      </c>
      <c r="AK15" t="e">
        <f t="shared" si="7"/>
        <v>#VALUE!</v>
      </c>
      <c r="AL15" t="e">
        <f t="shared" si="8"/>
        <v>#VALUE!</v>
      </c>
    </row>
    <row r="16" spans="1:38" x14ac:dyDescent="0.25">
      <c r="A16" s="4">
        <f>Raw!J17</f>
        <v>99</v>
      </c>
      <c r="B16" s="4" t="str">
        <f>Raw!K17</f>
        <v>Alley</v>
      </c>
      <c r="C16" s="4" t="str">
        <f>Raw!L17</f>
        <v>Capuchino Dr</v>
      </c>
      <c r="D16" s="4" t="str">
        <f>Raw!M17</f>
        <v>Palmito Dr</v>
      </c>
      <c r="E16" s="23" t="str">
        <f>Raw!CG17</f>
        <v>E</v>
      </c>
      <c r="F16" s="7">
        <f>Raw!T17</f>
        <v>0</v>
      </c>
      <c r="G16" s="7">
        <f>Raw!AL17</f>
        <v>0</v>
      </c>
      <c r="H16" s="7">
        <f>Raw!AC17</f>
        <v>0</v>
      </c>
      <c r="I16" s="7">
        <f t="shared" si="0"/>
        <v>0</v>
      </c>
      <c r="J16" s="157" t="str">
        <f>Raw!BT17</f>
        <v>NA</v>
      </c>
      <c r="K16" s="157" t="str">
        <f>Raw!AW17</f>
        <v>NA</v>
      </c>
      <c r="L16" s="42" t="str">
        <f>IF(Raw!CE17 = "NA", "-", Raw!CE17)</f>
        <v>-</v>
      </c>
      <c r="M16" s="42" t="str">
        <f>IF(Raw!BH17 = "NA", "-", Raw!BH17)</f>
        <v>-</v>
      </c>
      <c r="N16" s="46" t="str">
        <f>IF(Raw!CD17 = "NA", "-", Raw!CD17)</f>
        <v>-</v>
      </c>
      <c r="O16" s="46" t="str">
        <f>IF(Raw!BG17 = "NA", "-", Raw!BG17)</f>
        <v>-</v>
      </c>
      <c r="P16" s="32" t="str">
        <f>IF(Raw!AW17 = "NA", "-", SUMPRODUCT(Raw!$BT$2:$CC$2, Raw!BT17:CC17))</f>
        <v>-</v>
      </c>
      <c r="Q16" s="32" t="str">
        <f>IF(Raw!AW17 = "NA", "-", SUMPRODUCT(Raw!$AW$2:$BF$2, Raw!AW17:BF17))</f>
        <v>-</v>
      </c>
      <c r="R16" s="7" t="e" cm="1">
        <f t="array" ref="R16">_xlfn.IFS(S16="YES", "Hourly", T16="YES", "Flat Rate")</f>
        <v>#N/A</v>
      </c>
      <c r="S16" s="8" t="str">
        <f>IF(Raw!CO17=1, "YES", "")</f>
        <v/>
      </c>
      <c r="T16" s="8" t="str">
        <f>IF(Raw!CO17=2, "YES", "")</f>
        <v/>
      </c>
      <c r="U16" s="96" t="str">
        <f>IF(Raw!CP17=1, "YES", "")</f>
        <v/>
      </c>
      <c r="V16" s="96"/>
      <c r="X16" s="23">
        <f>SUMPRODUCT(Raw!$BT$3:$CC$3, Raw!BT17:CC17)</f>
        <v>0</v>
      </c>
      <c r="Y16" s="23">
        <f>SUMPRODUCT(Raw!$BT$3:$CC$3, Raw!BU17:CD17)</f>
        <v>0</v>
      </c>
      <c r="Z16" s="28">
        <f t="shared" si="3"/>
        <v>0</v>
      </c>
      <c r="AA16" s="28">
        <f t="shared" si="4"/>
        <v>0</v>
      </c>
      <c r="AC16">
        <f t="shared" si="9"/>
        <v>0</v>
      </c>
      <c r="AD16" s="23">
        <f>IF(U16="YES",SUMPRODUCT(Raw!$BT$3:$CC$3,Raw!BT17:CC17)*0.6,SUMPRODUCT(Raw!$BT$3:$CC$3,Raw!BT17:CC17))</f>
        <v>0</v>
      </c>
      <c r="AE16" s="23">
        <f>IF(U16="YES",SUMPRODUCT(Raw!$BT$3:$CC$3,Raw!BU17:CD17)*0.6,SUMPRODUCT(Raw!$BT$3:$CC$3,Raw!BU17:CD17))</f>
        <v>0</v>
      </c>
      <c r="AF16" s="28">
        <f t="shared" si="5"/>
        <v>0</v>
      </c>
      <c r="AG16" s="28">
        <f t="shared" si="6"/>
        <v>0</v>
      </c>
      <c r="AI16" s="88" t="str">
        <f t="shared" si="1"/>
        <v>-</v>
      </c>
      <c r="AJ16" s="88" t="str">
        <f t="shared" si="2"/>
        <v>-</v>
      </c>
      <c r="AK16" t="e">
        <f t="shared" si="7"/>
        <v>#VALUE!</v>
      </c>
      <c r="AL16" t="e">
        <f t="shared" si="8"/>
        <v>#VALUE!</v>
      </c>
    </row>
    <row r="17" spans="1:38" x14ac:dyDescent="0.25">
      <c r="A17" s="4">
        <f>Raw!J18</f>
        <v>98</v>
      </c>
      <c r="B17" s="4" t="str">
        <f>Raw!K18</f>
        <v>Alley</v>
      </c>
      <c r="C17" s="4" t="str">
        <f>Raw!L18</f>
        <v>Palmito Dr</v>
      </c>
      <c r="D17" s="4" t="str">
        <f>Raw!M18</f>
        <v>Capuchino Dr</v>
      </c>
      <c r="E17" s="23" t="str">
        <f>Raw!CG18</f>
        <v>W</v>
      </c>
      <c r="F17" s="7">
        <f>Raw!T18</f>
        <v>0</v>
      </c>
      <c r="G17" s="7">
        <f>Raw!AL18</f>
        <v>0</v>
      </c>
      <c r="H17" s="7">
        <f>Raw!AC18</f>
        <v>0</v>
      </c>
      <c r="I17" s="7">
        <f t="shared" si="0"/>
        <v>0</v>
      </c>
      <c r="J17" s="157" t="str">
        <f>Raw!BT18</f>
        <v>NA</v>
      </c>
      <c r="K17" s="157" t="str">
        <f>Raw!AW18</f>
        <v>NA</v>
      </c>
      <c r="L17" s="42" t="str">
        <f>IF(Raw!CE18 = "NA", "-", Raw!CE18)</f>
        <v>-</v>
      </c>
      <c r="M17" s="42" t="str">
        <f>IF(Raw!BH18 = "NA", "-", Raw!BH18)</f>
        <v>-</v>
      </c>
      <c r="N17" s="46" t="str">
        <f>IF(Raw!CD18 = "NA", "-", Raw!CD18)</f>
        <v>-</v>
      </c>
      <c r="O17" s="46" t="str">
        <f>IF(Raw!BG18 = "NA", "-", Raw!BG18)</f>
        <v>-</v>
      </c>
      <c r="P17" s="32" t="str">
        <f>IF(Raw!AW18 = "NA", "-", SUMPRODUCT(Raw!$BT$2:$CC$2, Raw!BT18:CC18))</f>
        <v>-</v>
      </c>
      <c r="Q17" s="32" t="str">
        <f>IF(Raw!AW18 = "NA", "-", SUMPRODUCT(Raw!$AW$2:$BF$2, Raw!AW18:BF18))</f>
        <v>-</v>
      </c>
      <c r="R17" s="7" t="e" cm="1">
        <f t="array" ref="R17">_xlfn.IFS(S17="YES", "Hourly", T17="YES", "Flat Rate")</f>
        <v>#N/A</v>
      </c>
      <c r="S17" s="8" t="str">
        <f>IF(Raw!CO18=1, "YES", "")</f>
        <v/>
      </c>
      <c r="T17" s="8" t="str">
        <f>IF(Raw!CO18=2, "YES", "")</f>
        <v/>
      </c>
      <c r="U17" s="96" t="str">
        <f>IF(Raw!CP18=1, "YES", "")</f>
        <v/>
      </c>
      <c r="V17" s="96"/>
      <c r="X17" s="23">
        <f>SUMPRODUCT(Raw!$BT$3:$CC$3, Raw!BT18:CC18)</f>
        <v>0</v>
      </c>
      <c r="Y17" s="23">
        <f>SUMPRODUCT(Raw!$BT$3:$CC$3, Raw!BU18:CD18)</f>
        <v>0</v>
      </c>
      <c r="Z17" s="28">
        <f t="shared" si="3"/>
        <v>0</v>
      </c>
      <c r="AA17" s="28">
        <f t="shared" si="4"/>
        <v>0</v>
      </c>
      <c r="AC17">
        <f t="shared" si="9"/>
        <v>0</v>
      </c>
      <c r="AD17" s="23">
        <f>IF(U17="YES",SUMPRODUCT(Raw!$BT$3:$CC$3,Raw!BT18:CC18)*0.6,SUMPRODUCT(Raw!$BT$3:$CC$3,Raw!BT18:CC18))</f>
        <v>0</v>
      </c>
      <c r="AE17" s="23">
        <f>IF(U17="YES",SUMPRODUCT(Raw!$BT$3:$CC$3,Raw!BU18:CD18)*0.6,SUMPRODUCT(Raw!$BT$3:$CC$3,Raw!BU18:CD18))</f>
        <v>0</v>
      </c>
      <c r="AF17" s="28">
        <f t="shared" si="5"/>
        <v>0</v>
      </c>
      <c r="AG17" s="28">
        <f t="shared" si="6"/>
        <v>0</v>
      </c>
      <c r="AI17" s="88" t="str">
        <f t="shared" si="1"/>
        <v>-</v>
      </c>
      <c r="AJ17" s="88" t="str">
        <f t="shared" si="2"/>
        <v>-</v>
      </c>
      <c r="AK17" t="e">
        <f t="shared" si="7"/>
        <v>#VALUE!</v>
      </c>
      <c r="AL17" t="e">
        <f t="shared" si="8"/>
        <v>#VALUE!</v>
      </c>
    </row>
    <row r="18" spans="1:38" x14ac:dyDescent="0.25">
      <c r="A18" s="4">
        <f>Raw!J19</f>
        <v>103</v>
      </c>
      <c r="B18" s="4" t="str">
        <f>Raw!K19</f>
        <v>El Camino Real</v>
      </c>
      <c r="C18" s="4" t="str">
        <f>Raw!L19</f>
        <v>Park Blvd</v>
      </c>
      <c r="D18" s="4" t="str">
        <f>Raw!M19</f>
        <v>Capuchino Dr</v>
      </c>
      <c r="E18" s="23" t="str">
        <f>Raw!CG19</f>
        <v>W</v>
      </c>
      <c r="F18" s="7">
        <f>Raw!T19</f>
        <v>15</v>
      </c>
      <c r="G18" s="7">
        <f>Raw!AL19</f>
        <v>1</v>
      </c>
      <c r="H18" s="7">
        <f>Raw!AC19</f>
        <v>0</v>
      </c>
      <c r="I18" s="7">
        <f t="shared" si="0"/>
        <v>1</v>
      </c>
      <c r="J18" s="157">
        <f>Raw!BT19</f>
        <v>48</v>
      </c>
      <c r="K18" s="157">
        <f>Raw!AW19</f>
        <v>33</v>
      </c>
      <c r="L18" s="42">
        <f>IF(Raw!CE19 = "NA", "-", Raw!CE19)</f>
        <v>4.4000000000000004</v>
      </c>
      <c r="M18" s="42">
        <f>IF(Raw!BH19 = "NA", "-", Raw!BH19)</f>
        <v>2.7</v>
      </c>
      <c r="N18" s="46">
        <f>IF(Raw!CD19 = "NA", "-", Raw!CD19)</f>
        <v>65</v>
      </c>
      <c r="O18" s="46">
        <f>IF(Raw!BG19 = "NA", "-", Raw!BG19)</f>
        <v>40</v>
      </c>
      <c r="P18" s="32">
        <f>IF(Raw!AW19 = "NA", "-", SUMPRODUCT(Raw!$BT$2:$CC$2, Raw!BT19:CC19))</f>
        <v>95</v>
      </c>
      <c r="Q18" s="32">
        <f>IF(Raw!AW19 = "NA", "-", SUMPRODUCT(Raw!$AW$2:$BF$2, Raw!AW19:BF19))</f>
        <v>72</v>
      </c>
      <c r="R18" s="7" t="str" cm="1">
        <f t="array" ref="R18">_xlfn.IFS(S18="YES", "Hourly", T18="YES", "Flat Rate")</f>
        <v>Hourly</v>
      </c>
      <c r="S18" s="8" t="str">
        <f>IF(Raw!CO19=1, "YES", "")</f>
        <v>YES</v>
      </c>
      <c r="T18" s="8" t="str">
        <f>IF(Raw!CO19=2, "YES", "")</f>
        <v/>
      </c>
      <c r="U18" s="96" t="str">
        <f>IF(Raw!CP19=1, "YES", "")</f>
        <v/>
      </c>
      <c r="V18" s="96"/>
      <c r="X18" s="23">
        <f>SUMPRODUCT(Raw!$BT$3:$CC$3, Raw!BT19:CC19)</f>
        <v>82</v>
      </c>
      <c r="Y18" s="23">
        <f>SUMPRODUCT(Raw!$BT$3:$CC$3, Raw!BU19:CD19)</f>
        <v>155</v>
      </c>
      <c r="Z18" s="28">
        <f t="shared" si="3"/>
        <v>565</v>
      </c>
      <c r="AA18" s="28">
        <f t="shared" si="4"/>
        <v>29462</v>
      </c>
      <c r="AC18">
        <f t="shared" si="9"/>
        <v>15</v>
      </c>
      <c r="AD18" s="23">
        <f>IF(U18="YES",SUMPRODUCT(Raw!$BT$3:$CC$3,Raw!BT19:CC19)*0.6,SUMPRODUCT(Raw!$BT$3:$CC$3,Raw!BT19:CC19))</f>
        <v>82</v>
      </c>
      <c r="AE18" s="23">
        <f>IF(U18="YES",SUMPRODUCT(Raw!$BT$3:$CC$3,Raw!BU19:CD19)*0.6,SUMPRODUCT(Raw!$BT$3:$CC$3,Raw!BU19:CD19))</f>
        <v>155</v>
      </c>
      <c r="AF18" s="28">
        <f t="shared" si="5"/>
        <v>565</v>
      </c>
      <c r="AG18" s="28">
        <f t="shared" si="6"/>
        <v>29462</v>
      </c>
      <c r="AI18" s="88">
        <f t="shared" si="1"/>
        <v>65</v>
      </c>
      <c r="AJ18" s="88">
        <f t="shared" si="2"/>
        <v>40</v>
      </c>
      <c r="AK18">
        <f t="shared" si="7"/>
        <v>2007.5</v>
      </c>
      <c r="AL18">
        <f t="shared" si="8"/>
        <v>104747.5</v>
      </c>
    </row>
    <row r="19" spans="1:38" x14ac:dyDescent="0.25">
      <c r="A19" s="4">
        <f>Raw!J20</f>
        <v>105</v>
      </c>
      <c r="B19" s="4" t="str">
        <f>Raw!K20</f>
        <v>El Camino Real</v>
      </c>
      <c r="C19" s="4" t="str">
        <f>Raw!L20</f>
        <v>Santa Helena Ave</v>
      </c>
      <c r="D19" s="4" t="str">
        <f>Raw!M20</f>
        <v>Santa Maria Ave</v>
      </c>
      <c r="E19" s="23" t="str">
        <f>Raw!CG20</f>
        <v>E</v>
      </c>
      <c r="F19" s="7">
        <f>Raw!T20</f>
        <v>9</v>
      </c>
      <c r="G19" s="7">
        <f>Raw!AL20</f>
        <v>0</v>
      </c>
      <c r="H19" s="7">
        <f>Raw!AC20</f>
        <v>0</v>
      </c>
      <c r="I19" s="7">
        <f t="shared" si="0"/>
        <v>0</v>
      </c>
      <c r="J19" s="157">
        <f>Raw!BT20</f>
        <v>8</v>
      </c>
      <c r="K19" s="157">
        <f>Raw!AW20</f>
        <v>10</v>
      </c>
      <c r="L19" s="42">
        <f>IF(Raw!CE20 = "NA", "-", Raw!CE20)</f>
        <v>1.2</v>
      </c>
      <c r="M19" s="42">
        <f>IF(Raw!BH20 = "NA", "-", Raw!BH20)</f>
        <v>1.3</v>
      </c>
      <c r="N19" s="46">
        <f>IF(Raw!CD20 = "NA", "-", Raw!CD20)</f>
        <v>11</v>
      </c>
      <c r="O19" s="46">
        <f>IF(Raw!BG20 = "NA", "-", Raw!BG20)</f>
        <v>12</v>
      </c>
      <c r="P19" s="32">
        <f>IF(Raw!AW20 = "NA", "-", SUMPRODUCT(Raw!$BT$2:$CC$2, Raw!BT20:CC20))</f>
        <v>17</v>
      </c>
      <c r="Q19" s="32">
        <f>IF(Raw!AW20 = "NA", "-", SUMPRODUCT(Raw!$AW$2:$BF$2, Raw!AW20:BF20))</f>
        <v>19</v>
      </c>
      <c r="R19" s="7" t="str" cm="1">
        <f t="array" ref="R19">_xlfn.IFS(S19="YES", "Hourly", T19="YES", "Flat Rate")</f>
        <v>Hourly</v>
      </c>
      <c r="S19" s="8" t="str">
        <f>IF(Raw!CO20=1, "YES", "")</f>
        <v>YES</v>
      </c>
      <c r="T19" s="8" t="str">
        <f>IF(Raw!CO20=2, "YES", "")</f>
        <v/>
      </c>
      <c r="U19" s="96" t="str">
        <f>IF(Raw!CP20=1, "YES", "")</f>
        <v/>
      </c>
      <c r="V19" s="96"/>
      <c r="X19" s="23">
        <f>SUMPRODUCT(Raw!$BT$3:$CC$3, Raw!BT20:CC20)</f>
        <v>14</v>
      </c>
      <c r="Y19" s="23">
        <f>SUMPRODUCT(Raw!$BT$3:$CC$3, Raw!BU20:CD20)</f>
        <v>27</v>
      </c>
      <c r="Z19" s="28">
        <f t="shared" si="3"/>
        <v>97</v>
      </c>
      <c r="AA19" s="28">
        <f t="shared" si="4"/>
        <v>5058</v>
      </c>
      <c r="AC19">
        <f t="shared" si="9"/>
        <v>9</v>
      </c>
      <c r="AD19" s="23">
        <f>IF(U19="YES",SUMPRODUCT(Raw!$BT$3:$CC$3,Raw!BT20:CC20)*0.6,SUMPRODUCT(Raw!$BT$3:$CC$3,Raw!BT20:CC20))</f>
        <v>14</v>
      </c>
      <c r="AE19" s="23">
        <f>IF(U19="YES",SUMPRODUCT(Raw!$BT$3:$CC$3,Raw!BU20:CD20)*0.6,SUMPRODUCT(Raw!$BT$3:$CC$3,Raw!BU20:CD20))</f>
        <v>27</v>
      </c>
      <c r="AF19" s="28">
        <f t="shared" si="5"/>
        <v>97</v>
      </c>
      <c r="AG19" s="28">
        <f t="shared" si="6"/>
        <v>5058</v>
      </c>
      <c r="AI19" s="88">
        <f t="shared" si="1"/>
        <v>11</v>
      </c>
      <c r="AJ19" s="88">
        <f t="shared" si="2"/>
        <v>12</v>
      </c>
      <c r="AK19">
        <f t="shared" si="7"/>
        <v>368.5</v>
      </c>
      <c r="AL19">
        <f t="shared" si="8"/>
        <v>19222.5</v>
      </c>
    </row>
    <row r="20" spans="1:38" x14ac:dyDescent="0.25">
      <c r="A20" s="4">
        <f>Raw!J21</f>
        <v>106</v>
      </c>
      <c r="B20" s="4" t="str">
        <f>Raw!K21</f>
        <v>El Camino Real</v>
      </c>
      <c r="C20" s="4" t="str">
        <f>Raw!L21</f>
        <v>San Juan Ave</v>
      </c>
      <c r="D20" s="4" t="str">
        <f>Raw!M21</f>
        <v>Santa Helena Ave</v>
      </c>
      <c r="E20" s="23" t="str">
        <f>Raw!CG21</f>
        <v>E</v>
      </c>
      <c r="F20" s="7">
        <f>Raw!T21</f>
        <v>9</v>
      </c>
      <c r="G20" s="7">
        <f>Raw!AL21</f>
        <v>0</v>
      </c>
      <c r="H20" s="7">
        <f>Raw!AC21</f>
        <v>0</v>
      </c>
      <c r="I20" s="7">
        <f t="shared" si="0"/>
        <v>0</v>
      </c>
      <c r="J20" s="157">
        <f>Raw!BT21</f>
        <v>16</v>
      </c>
      <c r="K20" s="157">
        <f>Raw!AW21</f>
        <v>20</v>
      </c>
      <c r="L20" s="42">
        <f>IF(Raw!CE21 = "NA", "-", Raw!CE21)</f>
        <v>2.7</v>
      </c>
      <c r="M20" s="42">
        <f>IF(Raw!BH21 = "NA", "-", Raw!BH21)</f>
        <v>2.9</v>
      </c>
      <c r="N20" s="46">
        <f>IF(Raw!CD21 = "NA", "-", Raw!CD21)</f>
        <v>25</v>
      </c>
      <c r="O20" s="46">
        <f>IF(Raw!BG21 = "NA", "-", Raw!BG21)</f>
        <v>27</v>
      </c>
      <c r="P20" s="32">
        <f>IF(Raw!AW21 = "NA", "-", SUMPRODUCT(Raw!$BT$2:$CC$2, Raw!BT21:CC21))</f>
        <v>42</v>
      </c>
      <c r="Q20" s="32">
        <f>IF(Raw!AW21 = "NA", "-", SUMPRODUCT(Raw!$AW$2:$BF$2, Raw!AW21:BF21))</f>
        <v>38</v>
      </c>
      <c r="R20" s="7" t="str" cm="1">
        <f t="array" ref="R20">_xlfn.IFS(S20="YES", "Hourly", T20="YES", "Flat Rate")</f>
        <v>Hourly</v>
      </c>
      <c r="S20" s="8" t="str">
        <f>IF(Raw!CO21=1, "YES", "")</f>
        <v>YES</v>
      </c>
      <c r="T20" s="8" t="str">
        <f>IF(Raw!CO21=2, "YES", "")</f>
        <v/>
      </c>
      <c r="U20" s="96" t="str">
        <f>IF(Raw!CP21=1, "YES", "")</f>
        <v/>
      </c>
      <c r="V20" s="96"/>
      <c r="X20" s="23">
        <f>SUMPRODUCT(Raw!$BT$3:$CC$3, Raw!BT21:CC21)</f>
        <v>34</v>
      </c>
      <c r="Y20" s="23">
        <f>SUMPRODUCT(Raw!$BT$3:$CC$3, Raw!BU21:CD21)</f>
        <v>63</v>
      </c>
      <c r="Z20" s="28">
        <f t="shared" si="3"/>
        <v>233</v>
      </c>
      <c r="AA20" s="28">
        <f t="shared" si="4"/>
        <v>12150</v>
      </c>
      <c r="AC20">
        <f t="shared" si="9"/>
        <v>9</v>
      </c>
      <c r="AD20" s="23">
        <f>IF(U20="YES",SUMPRODUCT(Raw!$BT$3:$CC$3,Raw!BT21:CC21)*0.6,SUMPRODUCT(Raw!$BT$3:$CC$3,Raw!BT21:CC21))</f>
        <v>34</v>
      </c>
      <c r="AE20" s="23">
        <f>IF(U20="YES",SUMPRODUCT(Raw!$BT$3:$CC$3,Raw!BU21:CD21)*0.6,SUMPRODUCT(Raw!$BT$3:$CC$3,Raw!BU21:CD21))</f>
        <v>63</v>
      </c>
      <c r="AF20" s="28">
        <f t="shared" si="5"/>
        <v>233</v>
      </c>
      <c r="AG20" s="28">
        <f t="shared" si="6"/>
        <v>12150</v>
      </c>
      <c r="AI20" s="88">
        <f t="shared" si="1"/>
        <v>25</v>
      </c>
      <c r="AJ20" s="88">
        <f t="shared" si="2"/>
        <v>27</v>
      </c>
      <c r="AK20">
        <f t="shared" si="7"/>
        <v>836</v>
      </c>
      <c r="AL20">
        <f t="shared" si="8"/>
        <v>43609.5</v>
      </c>
    </row>
    <row r="21" spans="1:38" x14ac:dyDescent="0.25">
      <c r="A21" s="4">
        <f>Raw!J22</f>
        <v>159</v>
      </c>
      <c r="B21" s="4" t="str">
        <f>Raw!K22</f>
        <v>Capuchino Dr</v>
      </c>
      <c r="C21" s="4" t="str">
        <f>Raw!L22</f>
        <v>Alley</v>
      </c>
      <c r="D21" s="4" t="str">
        <f>Raw!M22</f>
        <v>Palmito Dr</v>
      </c>
      <c r="E21" s="23" t="str">
        <f>Raw!CG22</f>
        <v>N</v>
      </c>
      <c r="F21" s="7">
        <f>Raw!T22</f>
        <v>4</v>
      </c>
      <c r="G21" s="7">
        <f>Raw!AL22</f>
        <v>0</v>
      </c>
      <c r="H21" s="7">
        <f>Raw!AC22</f>
        <v>0</v>
      </c>
      <c r="I21" s="7">
        <f t="shared" si="0"/>
        <v>0</v>
      </c>
      <c r="J21" s="157">
        <f>Raw!BT22</f>
        <v>6</v>
      </c>
      <c r="K21" s="157">
        <f>Raw!AW22</f>
        <v>1</v>
      </c>
      <c r="L21" s="42">
        <f>IF(Raw!CE22 = "NA", "-", Raw!CE22)</f>
        <v>1.8</v>
      </c>
      <c r="M21" s="42">
        <f>IF(Raw!BH22 = "NA", "-", Raw!BH22)</f>
        <v>0.9</v>
      </c>
      <c r="N21" s="46">
        <f>IF(Raw!CD22 = "NA", "-", Raw!CD22)</f>
        <v>8</v>
      </c>
      <c r="O21" s="46">
        <f>IF(Raw!BG22 = "NA", "-", Raw!BG22)</f>
        <v>4</v>
      </c>
      <c r="P21" s="32">
        <f>IF(Raw!AW22 = "NA", "-", SUMPRODUCT(Raw!$BT$2:$CC$2, Raw!BT22:CC22))</f>
        <v>18</v>
      </c>
      <c r="Q21" s="32">
        <f>IF(Raw!AW22 = "NA", "-", SUMPRODUCT(Raw!$AW$2:$BF$2, Raw!AW22:BF22))</f>
        <v>16</v>
      </c>
      <c r="R21" s="7" t="e" cm="1">
        <f t="array" ref="R21">_xlfn.IFS(S21="YES", "Hourly", T21="YES", "Flat Rate")</f>
        <v>#N/A</v>
      </c>
      <c r="S21" s="8" t="str">
        <f>IF(Raw!CO22=1, "YES", "")</f>
        <v/>
      </c>
      <c r="T21" s="8" t="str">
        <f>IF(Raw!CO22=2, "YES", "")</f>
        <v/>
      </c>
      <c r="U21" s="96" t="str">
        <f>IF(Raw!CP22=1, "YES", "")</f>
        <v/>
      </c>
      <c r="V21" s="96"/>
      <c r="X21" s="23">
        <f>SUMPRODUCT(Raw!$BT$3:$CC$3, Raw!BT22:CC22)</f>
        <v>10</v>
      </c>
      <c r="Y21" s="23">
        <f>SUMPRODUCT(Raw!$BT$3:$CC$3, Raw!BU22:CD22)</f>
        <v>19</v>
      </c>
      <c r="Z21" s="28">
        <f t="shared" si="3"/>
        <v>69</v>
      </c>
      <c r="AA21" s="28">
        <f t="shared" si="4"/>
        <v>3598</v>
      </c>
      <c r="AC21">
        <f t="shared" si="9"/>
        <v>4</v>
      </c>
      <c r="AD21" s="23">
        <f>IF(U21="YES",SUMPRODUCT(Raw!$BT$3:$CC$3,Raw!BT22:CC22)*0.6,SUMPRODUCT(Raw!$BT$3:$CC$3,Raw!BT22:CC22))</f>
        <v>10</v>
      </c>
      <c r="AE21" s="23">
        <f>IF(U21="YES",SUMPRODUCT(Raw!$BT$3:$CC$3,Raw!BU22:CD22)*0.6,SUMPRODUCT(Raw!$BT$3:$CC$3,Raw!BU22:CD22))</f>
        <v>19</v>
      </c>
      <c r="AF21" s="28">
        <f t="shared" si="5"/>
        <v>69</v>
      </c>
      <c r="AG21" s="28">
        <f t="shared" si="6"/>
        <v>3598</v>
      </c>
      <c r="AI21" s="88">
        <f t="shared" si="1"/>
        <v>8</v>
      </c>
      <c r="AJ21" s="88">
        <f t="shared" si="2"/>
        <v>4</v>
      </c>
      <c r="AK21">
        <f t="shared" si="7"/>
        <v>242</v>
      </c>
      <c r="AL21">
        <f t="shared" si="8"/>
        <v>12628</v>
      </c>
    </row>
    <row r="22" spans="1:38" x14ac:dyDescent="0.25">
      <c r="A22" s="4">
        <f>Raw!J23</f>
        <v>160</v>
      </c>
      <c r="B22" s="4" t="str">
        <f>Raw!K23</f>
        <v>Capuchino Dr</v>
      </c>
      <c r="C22" s="4" t="str">
        <f>Raw!L23</f>
        <v>El Camino Real</v>
      </c>
      <c r="D22" s="4" t="str">
        <f>Raw!M23</f>
        <v>Alley</v>
      </c>
      <c r="E22" s="23" t="str">
        <f>Raw!CG23</f>
        <v>N</v>
      </c>
      <c r="F22" s="7">
        <f>Raw!T23</f>
        <v>2</v>
      </c>
      <c r="G22" s="7">
        <f>Raw!AL23</f>
        <v>2</v>
      </c>
      <c r="H22" s="7">
        <f>Raw!AC23</f>
        <v>3</v>
      </c>
      <c r="I22" s="7">
        <f t="shared" si="0"/>
        <v>5</v>
      </c>
      <c r="J22" s="157">
        <f>Raw!BT23</f>
        <v>1</v>
      </c>
      <c r="K22" s="157">
        <f>Raw!AW23</f>
        <v>0</v>
      </c>
      <c r="L22" s="42">
        <f>IF(Raw!CE23 = "NA", "-", Raw!CE23)</f>
        <v>1.4</v>
      </c>
      <c r="M22" s="42">
        <f>IF(Raw!BH23 = "NA", "-", Raw!BH23)</f>
        <v>0.9</v>
      </c>
      <c r="N22" s="46">
        <f>IF(Raw!CD23 = "NA", "-", Raw!CD23)</f>
        <v>3</v>
      </c>
      <c r="O22" s="46">
        <f>IF(Raw!BG23 = "NA", "-", Raw!BG23)</f>
        <v>2</v>
      </c>
      <c r="P22" s="32">
        <f>IF(Raw!AW23 = "NA", "-", SUMPRODUCT(Raw!$BT$2:$CC$2, Raw!BT23:CC23))</f>
        <v>14</v>
      </c>
      <c r="Q22" s="32">
        <f>IF(Raw!AW23 = "NA", "-", SUMPRODUCT(Raw!$AW$2:$BF$2, Raw!AW23:BF23))</f>
        <v>20</v>
      </c>
      <c r="R22" s="7" t="e" cm="1">
        <f t="array" ref="R22">_xlfn.IFS(S22="YES", "Hourly", T22="YES", "Flat Rate")</f>
        <v>#N/A</v>
      </c>
      <c r="S22" s="8" t="str">
        <f>IF(Raw!CO23=1, "YES", "")</f>
        <v/>
      </c>
      <c r="T22" s="8" t="str">
        <f>IF(Raw!CO23=2, "YES", "")</f>
        <v/>
      </c>
      <c r="U22" s="96" t="str">
        <f>IF(Raw!CP23=1, "YES", "")</f>
        <v/>
      </c>
      <c r="V22" s="96"/>
      <c r="X22" s="23">
        <f>SUMPRODUCT(Raw!$BT$3:$CC$3, Raw!BT23:CC23)</f>
        <v>5</v>
      </c>
      <c r="Y22" s="23">
        <f>SUMPRODUCT(Raw!$BT$3:$CC$3, Raw!BU23:CD23)</f>
        <v>10</v>
      </c>
      <c r="Z22" s="28">
        <f t="shared" si="3"/>
        <v>35</v>
      </c>
      <c r="AA22" s="28">
        <f t="shared" si="4"/>
        <v>1825</v>
      </c>
      <c r="AC22">
        <f t="shared" si="9"/>
        <v>2</v>
      </c>
      <c r="AD22" s="23">
        <f>IF(U22="YES",SUMPRODUCT(Raw!$BT$3:$CC$3,Raw!BT23:CC23)*0.6,SUMPRODUCT(Raw!$BT$3:$CC$3,Raw!BT23:CC23))</f>
        <v>5</v>
      </c>
      <c r="AE22" s="23">
        <f>IF(U22="YES",SUMPRODUCT(Raw!$BT$3:$CC$3,Raw!BU23:CD23)*0.6,SUMPRODUCT(Raw!$BT$3:$CC$3,Raw!BU23:CD23))</f>
        <v>10</v>
      </c>
      <c r="AF22" s="28">
        <f t="shared" si="5"/>
        <v>35</v>
      </c>
      <c r="AG22" s="28">
        <f t="shared" si="6"/>
        <v>1825</v>
      </c>
      <c r="AI22" s="88">
        <f t="shared" si="1"/>
        <v>3</v>
      </c>
      <c r="AJ22" s="88">
        <f t="shared" si="2"/>
        <v>2</v>
      </c>
      <c r="AK22">
        <f t="shared" si="7"/>
        <v>93.5</v>
      </c>
      <c r="AL22">
        <f t="shared" si="8"/>
        <v>4878.5</v>
      </c>
    </row>
    <row r="23" spans="1:38" x14ac:dyDescent="0.25">
      <c r="A23" s="4">
        <f>Raw!J24</f>
        <v>161</v>
      </c>
      <c r="B23" s="4" t="str">
        <f>Raw!K24</f>
        <v>Capuchino Dr</v>
      </c>
      <c r="C23" s="4" t="str">
        <f>Raw!L24</f>
        <v>Palmito Dr</v>
      </c>
      <c r="D23" s="4" t="str">
        <f>Raw!M24</f>
        <v>El Camino Real</v>
      </c>
      <c r="E23" s="23" t="str">
        <f>Raw!CG24</f>
        <v>S</v>
      </c>
      <c r="F23" s="7">
        <f>Raw!T24</f>
        <v>6</v>
      </c>
      <c r="G23" s="7">
        <f>Raw!AL24</f>
        <v>2</v>
      </c>
      <c r="H23" s="7">
        <f>Raw!AC24</f>
        <v>0</v>
      </c>
      <c r="I23" s="7">
        <f t="shared" si="0"/>
        <v>2</v>
      </c>
      <c r="J23" s="157">
        <f>Raw!BT24</f>
        <v>8</v>
      </c>
      <c r="K23" s="157">
        <f>Raw!AW24</f>
        <v>5</v>
      </c>
      <c r="L23" s="42">
        <f>IF(Raw!CE24 = "NA", "-", Raw!CE24)</f>
        <v>2.2999999999999998</v>
      </c>
      <c r="M23" s="42">
        <f>IF(Raw!BH24 = "NA", "-", Raw!BH24)</f>
        <v>1.1000000000000001</v>
      </c>
      <c r="N23" s="46">
        <f>IF(Raw!CD24 = "NA", "-", Raw!CD24)</f>
        <v>15</v>
      </c>
      <c r="O23" s="46">
        <f>IF(Raw!BG24 = "NA", "-", Raw!BG24)</f>
        <v>7</v>
      </c>
      <c r="P23" s="32">
        <f>IF(Raw!AW24 = "NA", "-", SUMPRODUCT(Raw!$BT$2:$CC$2, Raw!BT24:CC24))</f>
        <v>35</v>
      </c>
      <c r="Q23" s="32">
        <f>IF(Raw!AW24 = "NA", "-", SUMPRODUCT(Raw!$AW$2:$BF$2, Raw!AW24:BF24))</f>
        <v>10</v>
      </c>
      <c r="R23" s="7" t="e" cm="1">
        <f t="array" ref="R23">_xlfn.IFS(S23="YES", "Hourly", T23="YES", "Flat Rate")</f>
        <v>#N/A</v>
      </c>
      <c r="S23" s="8" t="str">
        <f>IF(Raw!CO24=1, "YES", "")</f>
        <v/>
      </c>
      <c r="T23" s="8" t="str">
        <f>IF(Raw!CO24=2, "YES", "")</f>
        <v/>
      </c>
      <c r="U23" s="96" t="str">
        <f>IF(Raw!CP24=1, "YES", "")</f>
        <v/>
      </c>
      <c r="V23" s="96"/>
      <c r="X23" s="23">
        <f>SUMPRODUCT(Raw!$BT$3:$CC$3, Raw!BT24:CC24)</f>
        <v>22</v>
      </c>
      <c r="Y23" s="23">
        <f>SUMPRODUCT(Raw!$BT$3:$CC$3, Raw!BU24:CD24)</f>
        <v>41</v>
      </c>
      <c r="Z23" s="28">
        <f t="shared" si="3"/>
        <v>151</v>
      </c>
      <c r="AA23" s="28">
        <f t="shared" si="4"/>
        <v>7874</v>
      </c>
      <c r="AC23">
        <f t="shared" si="9"/>
        <v>6</v>
      </c>
      <c r="AD23" s="23">
        <f>IF(U23="YES",SUMPRODUCT(Raw!$BT$3:$CC$3,Raw!BT24:CC24)*0.6,SUMPRODUCT(Raw!$BT$3:$CC$3,Raw!BT24:CC24))</f>
        <v>22</v>
      </c>
      <c r="AE23" s="23">
        <f>IF(U23="YES",SUMPRODUCT(Raw!$BT$3:$CC$3,Raw!BU24:CD24)*0.6,SUMPRODUCT(Raw!$BT$3:$CC$3,Raw!BU24:CD24))</f>
        <v>41</v>
      </c>
      <c r="AF23" s="28">
        <f t="shared" si="5"/>
        <v>151</v>
      </c>
      <c r="AG23" s="28">
        <f t="shared" si="6"/>
        <v>7874</v>
      </c>
      <c r="AI23" s="88">
        <f t="shared" si="1"/>
        <v>15</v>
      </c>
      <c r="AJ23" s="88">
        <f t="shared" si="2"/>
        <v>7</v>
      </c>
      <c r="AK23">
        <f t="shared" si="7"/>
        <v>451</v>
      </c>
      <c r="AL23">
        <f t="shared" si="8"/>
        <v>23534.5</v>
      </c>
    </row>
    <row r="24" spans="1:38" x14ac:dyDescent="0.25">
      <c r="A24" s="4">
        <f>Raw!J25</f>
        <v>71</v>
      </c>
      <c r="B24" s="4" t="str">
        <f>Raw!K25</f>
        <v>Broadway</v>
      </c>
      <c r="C24" s="4" t="str">
        <f>Raw!L25</f>
        <v>Capuchino Dr</v>
      </c>
      <c r="D24" s="4" t="str">
        <f>Raw!M25</f>
        <v>Millwood Dr</v>
      </c>
      <c r="E24" s="23" t="str">
        <f>Raw!CG25</f>
        <v>W</v>
      </c>
      <c r="F24" s="7">
        <f>Raw!T25</f>
        <v>8</v>
      </c>
      <c r="G24" s="7">
        <f>Raw!AL25</f>
        <v>3</v>
      </c>
      <c r="H24" s="7">
        <f>Raw!AC25</f>
        <v>3</v>
      </c>
      <c r="I24" s="7">
        <f t="shared" si="0"/>
        <v>6</v>
      </c>
      <c r="J24" s="157" t="str">
        <f>Raw!BT25</f>
        <v>NA</v>
      </c>
      <c r="K24" s="157" t="str">
        <f>Raw!AW25</f>
        <v>NA</v>
      </c>
      <c r="L24" s="42" t="str">
        <f>IF(Raw!CE25 = "NA", "-", Raw!CE25)</f>
        <v>-</v>
      </c>
      <c r="M24" s="42" t="str">
        <f>IF(Raw!BH25 = "NA", "-", Raw!BH25)</f>
        <v>-</v>
      </c>
      <c r="N24" s="46" t="str">
        <f>IF(Raw!CD25 = "NA", "-", Raw!CD25)</f>
        <v>-</v>
      </c>
      <c r="O24" s="46" t="str">
        <f>IF(Raw!BG25 = "NA", "-", Raw!BG25)</f>
        <v>-</v>
      </c>
      <c r="P24" s="32" t="str">
        <f>IF(Raw!AW25 = "NA", "-", SUMPRODUCT(Raw!$BT$2:$CC$2, Raw!BT25:CC25))</f>
        <v>-</v>
      </c>
      <c r="Q24" s="32" t="str">
        <f>IF(Raw!AW25 = "NA", "-", SUMPRODUCT(Raw!$AW$2:$BF$2, Raw!AW25:BF25))</f>
        <v>-</v>
      </c>
      <c r="R24" s="7" t="e" cm="1">
        <f t="array" ref="R24">_xlfn.IFS(S24="YES", "Hourly", T24="YES", "Flat Rate")</f>
        <v>#N/A</v>
      </c>
      <c r="S24" s="8" t="str">
        <f>IF(Raw!CO25=1, "YES", "")</f>
        <v/>
      </c>
      <c r="T24" s="8" t="str">
        <f>IF(Raw!CO25=2, "YES", "")</f>
        <v/>
      </c>
      <c r="U24" s="96" t="str">
        <f>IF(Raw!CP25=1, "YES", "")</f>
        <v/>
      </c>
      <c r="V24" s="96"/>
      <c r="X24" s="23">
        <f>SUMPRODUCT(Raw!$BT$3:$CC$3, Raw!BT25:CC25)</f>
        <v>0</v>
      </c>
      <c r="Y24" s="23">
        <f>SUMPRODUCT(Raw!$BT$3:$CC$3, Raw!BU25:CD25)</f>
        <v>0</v>
      </c>
      <c r="Z24" s="28">
        <f t="shared" si="3"/>
        <v>0</v>
      </c>
      <c r="AA24" s="28">
        <f t="shared" si="4"/>
        <v>0</v>
      </c>
      <c r="AC24">
        <f t="shared" si="9"/>
        <v>8</v>
      </c>
      <c r="AD24" s="23">
        <f>IF(U24="YES",SUMPRODUCT(Raw!$BT$3:$CC$3,Raw!BT25:CC25)*0.6,SUMPRODUCT(Raw!$BT$3:$CC$3,Raw!BT25:CC25))</f>
        <v>0</v>
      </c>
      <c r="AE24" s="23">
        <f>IF(U24="YES",SUMPRODUCT(Raw!$BT$3:$CC$3,Raw!BU25:CD25)*0.6,SUMPRODUCT(Raw!$BT$3:$CC$3,Raw!BU25:CD25))</f>
        <v>0</v>
      </c>
      <c r="AF24" s="28">
        <f t="shared" si="5"/>
        <v>0</v>
      </c>
      <c r="AG24" s="28">
        <f t="shared" si="6"/>
        <v>0</v>
      </c>
      <c r="AI24" s="88" t="str">
        <f t="shared" si="1"/>
        <v>-</v>
      </c>
      <c r="AJ24" s="88" t="str">
        <f t="shared" si="2"/>
        <v>-</v>
      </c>
      <c r="AK24" t="e">
        <f t="shared" si="7"/>
        <v>#VALUE!</v>
      </c>
      <c r="AL24" t="e">
        <f t="shared" si="8"/>
        <v>#VALUE!</v>
      </c>
    </row>
    <row r="25" spans="1:38" x14ac:dyDescent="0.25">
      <c r="A25" s="4">
        <f>Raw!J26</f>
        <v>72</v>
      </c>
      <c r="B25" s="4" t="str">
        <f>Raw!K26</f>
        <v>Broadway</v>
      </c>
      <c r="C25" s="4" t="str">
        <f>Raw!L26</f>
        <v>Millwood Dr</v>
      </c>
      <c r="D25" s="4" t="str">
        <f>Raw!M26</f>
        <v>Capuchino Dr</v>
      </c>
      <c r="E25" s="23" t="str">
        <f>Raw!CG26</f>
        <v>E</v>
      </c>
      <c r="F25" s="7">
        <f>Raw!T26</f>
        <v>9</v>
      </c>
      <c r="G25" s="7">
        <f>Raw!AL26</f>
        <v>2</v>
      </c>
      <c r="H25" s="7">
        <f>Raw!AC26</f>
        <v>3</v>
      </c>
      <c r="I25" s="7">
        <f t="shared" si="0"/>
        <v>5</v>
      </c>
      <c r="J25" s="157" t="str">
        <f>Raw!BT26</f>
        <v>NA</v>
      </c>
      <c r="K25" s="157" t="str">
        <f>Raw!AW26</f>
        <v>NA</v>
      </c>
      <c r="L25" s="42" t="str">
        <f>IF(Raw!CE26 = "NA", "-", Raw!CE26)</f>
        <v>-</v>
      </c>
      <c r="M25" s="42" t="str">
        <f>IF(Raw!BH26 = "NA", "-", Raw!BH26)</f>
        <v>-</v>
      </c>
      <c r="N25" s="46" t="str">
        <f>IF(Raw!CD26 = "NA", "-", Raw!CD26)</f>
        <v>-</v>
      </c>
      <c r="O25" s="46" t="str">
        <f>IF(Raw!BG26 = "NA", "-", Raw!BG26)</f>
        <v>-</v>
      </c>
      <c r="P25" s="32" t="str">
        <f>IF(Raw!AW26 = "NA", "-", SUMPRODUCT(Raw!$BT$2:$CC$2, Raw!BT26:CC26))</f>
        <v>-</v>
      </c>
      <c r="Q25" s="32" t="str">
        <f>IF(Raw!AW26 = "NA", "-", SUMPRODUCT(Raw!$AW$2:$BF$2, Raw!AW26:BF26))</f>
        <v>-</v>
      </c>
      <c r="R25" s="7" t="e" cm="1">
        <f t="array" ref="R25">_xlfn.IFS(S25="YES", "Hourly", T25="YES", "Flat Rate")</f>
        <v>#N/A</v>
      </c>
      <c r="S25" s="8" t="str">
        <f>IF(Raw!CO26=1, "YES", "")</f>
        <v/>
      </c>
      <c r="T25" s="8" t="str">
        <f>IF(Raw!CO26=2, "YES", "")</f>
        <v/>
      </c>
      <c r="U25" s="96" t="str">
        <f>IF(Raw!CP26=1, "YES", "")</f>
        <v/>
      </c>
      <c r="V25" s="96"/>
      <c r="X25" s="23">
        <f>SUMPRODUCT(Raw!$BT$3:$CC$3, Raw!BT26:CC26)</f>
        <v>0</v>
      </c>
      <c r="Y25" s="23">
        <f>SUMPRODUCT(Raw!$BT$3:$CC$3, Raw!BU26:CD26)</f>
        <v>0</v>
      </c>
      <c r="Z25" s="28">
        <f t="shared" si="3"/>
        <v>0</v>
      </c>
      <c r="AA25" s="28">
        <f t="shared" si="4"/>
        <v>0</v>
      </c>
      <c r="AC25">
        <f t="shared" si="9"/>
        <v>9</v>
      </c>
      <c r="AD25" s="23">
        <f>IF(U25="YES",SUMPRODUCT(Raw!$BT$3:$CC$3,Raw!BT26:CC26)*0.6,SUMPRODUCT(Raw!$BT$3:$CC$3,Raw!BT26:CC26))</f>
        <v>0</v>
      </c>
      <c r="AE25" s="23">
        <f>IF(U25="YES",SUMPRODUCT(Raw!$BT$3:$CC$3,Raw!BU26:CD26)*0.6,SUMPRODUCT(Raw!$BT$3:$CC$3,Raw!BU26:CD26))</f>
        <v>0</v>
      </c>
      <c r="AF25" s="28">
        <f t="shared" si="5"/>
        <v>0</v>
      </c>
      <c r="AG25" s="28">
        <f t="shared" si="6"/>
        <v>0</v>
      </c>
      <c r="AI25" s="88" t="str">
        <f t="shared" si="1"/>
        <v>-</v>
      </c>
      <c r="AJ25" s="88" t="str">
        <f t="shared" si="2"/>
        <v>-</v>
      </c>
      <c r="AK25" t="e">
        <f t="shared" si="7"/>
        <v>#VALUE!</v>
      </c>
      <c r="AL25" t="e">
        <f t="shared" si="8"/>
        <v>#VALUE!</v>
      </c>
    </row>
    <row r="26" spans="1:38" x14ac:dyDescent="0.25">
      <c r="A26" s="4">
        <f>Raw!J27</f>
        <v>107</v>
      </c>
      <c r="B26" s="4" t="str">
        <f>Raw!K27</f>
        <v>El Camino Real</v>
      </c>
      <c r="C26" s="4" t="str">
        <f>Raw!L27</f>
        <v>Capuchino Dr</v>
      </c>
      <c r="D26" s="4" t="str">
        <f>Raw!M27</f>
        <v>Millwood Dr</v>
      </c>
      <c r="E26" s="23" t="str">
        <f>Raw!CG27</f>
        <v>W</v>
      </c>
      <c r="F26" s="7">
        <f>Raw!T27</f>
        <v>7</v>
      </c>
      <c r="G26" s="7">
        <f>Raw!AL27</f>
        <v>0</v>
      </c>
      <c r="H26" s="7">
        <f>Raw!AC27</f>
        <v>0</v>
      </c>
      <c r="I26" s="7">
        <f t="shared" si="0"/>
        <v>0</v>
      </c>
      <c r="J26" s="157">
        <f>Raw!BT27</f>
        <v>4</v>
      </c>
      <c r="K26" s="157">
        <f>Raw!AW27</f>
        <v>1</v>
      </c>
      <c r="L26" s="42">
        <f>IF(Raw!CE27 = "NA", "-", Raw!CE27)</f>
        <v>0.6</v>
      </c>
      <c r="M26" s="42">
        <f>IF(Raw!BH27 = "NA", "-", Raw!BH27)</f>
        <v>0.1</v>
      </c>
      <c r="N26" s="46">
        <f>IF(Raw!CD27 = "NA", "-", Raw!CD27)</f>
        <v>4</v>
      </c>
      <c r="O26" s="46">
        <f>IF(Raw!BG27 = "NA", "-", Raw!BG27)</f>
        <v>1</v>
      </c>
      <c r="P26" s="32">
        <f>IF(Raw!AW27 = "NA", "-", SUMPRODUCT(Raw!$BT$2:$CC$2, Raw!BT27:CC27))</f>
        <v>4</v>
      </c>
      <c r="Q26" s="32">
        <f>IF(Raw!AW27 = "NA", "-", SUMPRODUCT(Raw!$AW$2:$BF$2, Raw!AW27:BF27))</f>
        <v>1</v>
      </c>
      <c r="R26" s="7" t="str" cm="1">
        <f t="array" ref="R26">_xlfn.IFS(S26="YES", "Hourly", T26="YES", "Flat Rate")</f>
        <v>Hourly</v>
      </c>
      <c r="S26" s="8" t="str">
        <f>IF(Raw!CO27=1, "YES", "")</f>
        <v>YES</v>
      </c>
      <c r="T26" s="8" t="str">
        <f>IF(Raw!CO27=2, "YES", "")</f>
        <v/>
      </c>
      <c r="U26" s="96" t="str">
        <f>IF(Raw!CP27=1, "YES", "")</f>
        <v/>
      </c>
      <c r="V26" s="96"/>
      <c r="X26" s="23">
        <f>SUMPRODUCT(Raw!$BT$3:$CC$3, Raw!BT27:CC27)</f>
        <v>4</v>
      </c>
      <c r="Y26" s="23">
        <f>SUMPRODUCT(Raw!$BT$3:$CC$3, Raw!BU27:CD27)</f>
        <v>8</v>
      </c>
      <c r="Z26" s="28">
        <f t="shared" si="3"/>
        <v>28</v>
      </c>
      <c r="AA26" s="28">
        <f t="shared" si="4"/>
        <v>1460</v>
      </c>
      <c r="AC26">
        <f t="shared" si="9"/>
        <v>7</v>
      </c>
      <c r="AD26" s="23">
        <f>IF(U26="YES",SUMPRODUCT(Raw!$BT$3:$CC$3,Raw!BT27:CC27)*0.6,SUMPRODUCT(Raw!$BT$3:$CC$3,Raw!BT27:CC27))</f>
        <v>4</v>
      </c>
      <c r="AE26" s="23">
        <f>IF(U26="YES",SUMPRODUCT(Raw!$BT$3:$CC$3,Raw!BU27:CD27)*0.6,SUMPRODUCT(Raw!$BT$3:$CC$3,Raw!BU27:CD27))</f>
        <v>8</v>
      </c>
      <c r="AF26" s="28">
        <f t="shared" si="5"/>
        <v>28</v>
      </c>
      <c r="AG26" s="28">
        <f t="shared" si="6"/>
        <v>1460</v>
      </c>
      <c r="AI26" s="88">
        <f t="shared" si="1"/>
        <v>4</v>
      </c>
      <c r="AJ26" s="88">
        <f t="shared" si="2"/>
        <v>1</v>
      </c>
      <c r="AK26">
        <f t="shared" si="7"/>
        <v>115.5</v>
      </c>
      <c r="AL26">
        <f t="shared" si="8"/>
        <v>6028</v>
      </c>
    </row>
    <row r="27" spans="1:38" x14ac:dyDescent="0.25">
      <c r="A27" s="4">
        <f>Raw!J28</f>
        <v>162</v>
      </c>
      <c r="B27" s="4" t="str">
        <f>Raw!K28</f>
        <v>Milwood Dr</v>
      </c>
      <c r="C27" s="4" t="str">
        <f>Raw!L28</f>
        <v>El Camino Real</v>
      </c>
      <c r="D27" s="4" t="str">
        <f>Raw!M28</f>
        <v>Broadway</v>
      </c>
      <c r="E27" s="23" t="str">
        <f>Raw!CG28</f>
        <v>N</v>
      </c>
      <c r="F27" s="7">
        <f>Raw!T28</f>
        <v>2</v>
      </c>
      <c r="G27" s="7">
        <f>Raw!AL28</f>
        <v>0</v>
      </c>
      <c r="H27" s="7">
        <f>Raw!AC28</f>
        <v>1</v>
      </c>
      <c r="I27" s="7">
        <f t="shared" si="0"/>
        <v>1</v>
      </c>
      <c r="J27" s="157">
        <f>Raw!BT28</f>
        <v>2</v>
      </c>
      <c r="K27" s="157">
        <f>Raw!AW28</f>
        <v>0</v>
      </c>
      <c r="L27" s="42">
        <f>IF(Raw!CE28 = "NA", "-", Raw!CE28)</f>
        <v>1.7</v>
      </c>
      <c r="M27" s="42">
        <f>IF(Raw!BH28 = "NA", "-", Raw!BH28)</f>
        <v>1.1000000000000001</v>
      </c>
      <c r="N27" s="46">
        <f>IF(Raw!CD28 = "NA", "-", Raw!CD28)</f>
        <v>3</v>
      </c>
      <c r="O27" s="46">
        <f>IF(Raw!BG28 = "NA", "-", Raw!BG28)</f>
        <v>2</v>
      </c>
      <c r="P27" s="32">
        <f>IF(Raw!AW28 = "NA", "-", SUMPRODUCT(Raw!$BT$2:$CC$2, Raw!BT28:CC28))</f>
        <v>4</v>
      </c>
      <c r="Q27" s="32">
        <f>IF(Raw!AW28 = "NA", "-", SUMPRODUCT(Raw!$AW$2:$BF$2, Raw!AW28:BF28))</f>
        <v>8</v>
      </c>
      <c r="R27" s="7" t="e" cm="1">
        <f t="array" ref="R27">_xlfn.IFS(S27="YES", "Hourly", T27="YES", "Flat Rate")</f>
        <v>#N/A</v>
      </c>
      <c r="S27" s="8" t="str">
        <f>IF(Raw!CO28=1, "YES", "")</f>
        <v/>
      </c>
      <c r="T27" s="8" t="str">
        <f>IF(Raw!CO28=2, "YES", "")</f>
        <v/>
      </c>
      <c r="U27" s="96" t="str">
        <f>IF(Raw!CP28=1, "YES", "")</f>
        <v/>
      </c>
      <c r="V27" s="96"/>
      <c r="X27" s="23">
        <f>SUMPRODUCT(Raw!$BT$3:$CC$3, Raw!BT28:CC28)</f>
        <v>4</v>
      </c>
      <c r="Y27" s="23">
        <f>SUMPRODUCT(Raw!$BT$3:$CC$3, Raw!BU28:CD28)</f>
        <v>7</v>
      </c>
      <c r="Z27" s="28">
        <f t="shared" si="3"/>
        <v>27</v>
      </c>
      <c r="AA27" s="28">
        <f t="shared" si="4"/>
        <v>1408</v>
      </c>
      <c r="AC27">
        <f t="shared" si="9"/>
        <v>2</v>
      </c>
      <c r="AD27" s="23">
        <f>IF(U27="YES",SUMPRODUCT(Raw!$BT$3:$CC$3,Raw!BT28:CC28)*0.6,SUMPRODUCT(Raw!$BT$3:$CC$3,Raw!BT28:CC28))</f>
        <v>4</v>
      </c>
      <c r="AE27" s="23">
        <f>IF(U27="YES",SUMPRODUCT(Raw!$BT$3:$CC$3,Raw!BU28:CD28)*0.6,SUMPRODUCT(Raw!$BT$3:$CC$3,Raw!BU28:CD28))</f>
        <v>7</v>
      </c>
      <c r="AF27" s="28">
        <f t="shared" si="5"/>
        <v>27</v>
      </c>
      <c r="AG27" s="28">
        <f t="shared" si="6"/>
        <v>1408</v>
      </c>
      <c r="AI27" s="88">
        <f t="shared" si="1"/>
        <v>3</v>
      </c>
      <c r="AJ27" s="88">
        <f t="shared" si="2"/>
        <v>2</v>
      </c>
      <c r="AK27">
        <f t="shared" si="7"/>
        <v>93.5</v>
      </c>
      <c r="AL27">
        <f t="shared" si="8"/>
        <v>4878.5</v>
      </c>
    </row>
    <row r="28" spans="1:38" x14ac:dyDescent="0.25">
      <c r="A28" s="4">
        <f>Raw!J29</f>
        <v>163</v>
      </c>
      <c r="B28" s="4" t="str">
        <f>Raw!K29</f>
        <v>Milwood Dr</v>
      </c>
      <c r="C28" s="4" t="str">
        <f>Raw!L29</f>
        <v>Broadway</v>
      </c>
      <c r="D28" s="4" t="str">
        <f>Raw!M29</f>
        <v>El Camino Real</v>
      </c>
      <c r="E28" s="23" t="str">
        <f>Raw!CG29</f>
        <v>S</v>
      </c>
      <c r="F28" s="7">
        <f>Raw!T29</f>
        <v>6</v>
      </c>
      <c r="G28" s="7">
        <f>Raw!AL29</f>
        <v>2</v>
      </c>
      <c r="H28" s="7">
        <f>Raw!AC29</f>
        <v>2</v>
      </c>
      <c r="I28" s="7">
        <f t="shared" si="0"/>
        <v>4</v>
      </c>
      <c r="J28" s="157">
        <f>Raw!BT29</f>
        <v>6</v>
      </c>
      <c r="K28" s="157">
        <f>Raw!AW29</f>
        <v>10</v>
      </c>
      <c r="L28" s="42">
        <f>IF(Raw!CE29 = "NA", "-", Raw!CE29)</f>
        <v>2.5</v>
      </c>
      <c r="M28" s="42">
        <f>IF(Raw!BH29 = "NA", "-", Raw!BH29)</f>
        <v>3</v>
      </c>
      <c r="N28" s="46">
        <f>IF(Raw!CD29 = "NA", "-", Raw!CD29)</f>
        <v>15</v>
      </c>
      <c r="O28" s="46">
        <f>IF(Raw!BG29 = "NA", "-", Raw!BG29)</f>
        <v>18</v>
      </c>
      <c r="P28" s="32">
        <f>IF(Raw!AW29 = "NA", "-", SUMPRODUCT(Raw!$BT$2:$CC$2, Raw!BT29:CC29))</f>
        <v>47</v>
      </c>
      <c r="Q28" s="32">
        <f>IF(Raw!AW29 = "NA", "-", SUMPRODUCT(Raw!$AW$2:$BF$2, Raw!AW29:BF29))</f>
        <v>29</v>
      </c>
      <c r="R28" s="7" t="e" cm="1">
        <f t="array" ref="R28">_xlfn.IFS(S28="YES", "Hourly", T28="YES", "Flat Rate")</f>
        <v>#N/A</v>
      </c>
      <c r="S28" s="8" t="str">
        <f>IF(Raw!CO29=1, "YES", "")</f>
        <v/>
      </c>
      <c r="T28" s="8" t="str">
        <f>IF(Raw!CO29=2, "YES", "")</f>
        <v/>
      </c>
      <c r="U28" s="96" t="str">
        <f>IF(Raw!CP29=1, "YES", "")</f>
        <v/>
      </c>
      <c r="V28" s="96"/>
      <c r="X28" s="23">
        <f>SUMPRODUCT(Raw!$BT$3:$CC$3, Raw!BT29:CC29)</f>
        <v>24</v>
      </c>
      <c r="Y28" s="23">
        <f>SUMPRODUCT(Raw!$BT$3:$CC$3, Raw!BU29:CD29)</f>
        <v>45</v>
      </c>
      <c r="Z28" s="28">
        <f t="shared" si="3"/>
        <v>165</v>
      </c>
      <c r="AA28" s="28">
        <f t="shared" si="4"/>
        <v>8604</v>
      </c>
      <c r="AC28">
        <f t="shared" si="9"/>
        <v>6</v>
      </c>
      <c r="AD28" s="23">
        <f>IF(U28="YES",SUMPRODUCT(Raw!$BT$3:$CC$3,Raw!BT29:CC29)*0.6,SUMPRODUCT(Raw!$BT$3:$CC$3,Raw!BT29:CC29))</f>
        <v>24</v>
      </c>
      <c r="AE28" s="23">
        <f>IF(U28="YES",SUMPRODUCT(Raw!$BT$3:$CC$3,Raw!BU29:CD29)*0.6,SUMPRODUCT(Raw!$BT$3:$CC$3,Raw!BU29:CD29))</f>
        <v>45</v>
      </c>
      <c r="AF28" s="28">
        <f t="shared" si="5"/>
        <v>165</v>
      </c>
      <c r="AG28" s="28">
        <f t="shared" si="6"/>
        <v>8604</v>
      </c>
      <c r="AI28" s="88">
        <f t="shared" si="1"/>
        <v>15</v>
      </c>
      <c r="AJ28" s="88">
        <f t="shared" si="2"/>
        <v>18</v>
      </c>
      <c r="AK28">
        <f t="shared" si="7"/>
        <v>511.5</v>
      </c>
      <c r="AL28">
        <f t="shared" si="8"/>
        <v>26680.5</v>
      </c>
    </row>
    <row r="29" spans="1:38" x14ac:dyDescent="0.25">
      <c r="A29" s="4">
        <f>Raw!J30</f>
        <v>108</v>
      </c>
      <c r="B29" s="4" t="str">
        <f>Raw!K30</f>
        <v>El Camino Real</v>
      </c>
      <c r="C29" s="4" t="str">
        <f>Raw!L30</f>
        <v>Center St</v>
      </c>
      <c r="D29" s="4" t="str">
        <f>Raw!M30</f>
        <v>San Juan Ave</v>
      </c>
      <c r="E29" s="23" t="str">
        <f>Raw!CG30</f>
        <v>E</v>
      </c>
      <c r="F29" s="7">
        <f>Raw!T30</f>
        <v>35</v>
      </c>
      <c r="G29" s="7">
        <f>Raw!AL30</f>
        <v>2</v>
      </c>
      <c r="H29" s="7">
        <f>Raw!AC30</f>
        <v>1</v>
      </c>
      <c r="I29" s="7">
        <f t="shared" si="0"/>
        <v>3</v>
      </c>
      <c r="J29" s="157">
        <f>Raw!BT30</f>
        <v>63</v>
      </c>
      <c r="K29" s="157">
        <f>Raw!AW30</f>
        <v>58</v>
      </c>
      <c r="L29" s="42">
        <f>IF(Raw!CE30 = "NA", "-", Raw!CE30)</f>
        <v>3.2</v>
      </c>
      <c r="M29" s="42">
        <f>IF(Raw!BH30 = "NA", "-", Raw!BH30)</f>
        <v>2.8</v>
      </c>
      <c r="N29" s="46">
        <f>IF(Raw!CD30 = "NA", "-", Raw!CD30)</f>
        <v>114</v>
      </c>
      <c r="O29" s="46">
        <f>IF(Raw!BG30 = "NA", "-", Raw!BG30)</f>
        <v>100</v>
      </c>
      <c r="P29" s="32">
        <f>IF(Raw!AW30 = "NA", "-", SUMPRODUCT(Raw!$BT$2:$CC$2, Raw!BT30:CC30))</f>
        <v>272</v>
      </c>
      <c r="Q29" s="32">
        <f>IF(Raw!AW30 = "NA", "-", SUMPRODUCT(Raw!$AW$2:$BF$2, Raw!AW30:BF30))</f>
        <v>202</v>
      </c>
      <c r="R29" s="7" t="str" cm="1">
        <f t="array" ref="R29">_xlfn.IFS(S29="YES", "Hourly", T29="YES", "Flat Rate")</f>
        <v>Hourly</v>
      </c>
      <c r="S29" s="8" t="str">
        <f>IF(Raw!CO30=1, "YES", "")</f>
        <v>YES</v>
      </c>
      <c r="T29" s="8" t="str">
        <f>IF(Raw!CO30=2, "YES", "")</f>
        <v/>
      </c>
      <c r="U29" s="96" t="str">
        <f>IF(Raw!CP30=1, "YES", "")</f>
        <v/>
      </c>
      <c r="V29" s="96"/>
      <c r="X29" s="23">
        <f>SUMPRODUCT(Raw!$BT$3:$CC$3, Raw!BT30:CC30)</f>
        <v>165</v>
      </c>
      <c r="Y29" s="23">
        <f>SUMPRODUCT(Raw!$BT$3:$CC$3, Raw!BU30:CD30)</f>
        <v>302</v>
      </c>
      <c r="Z29" s="28">
        <f t="shared" si="3"/>
        <v>1127</v>
      </c>
      <c r="AA29" s="28">
        <f t="shared" si="4"/>
        <v>58769</v>
      </c>
      <c r="AC29">
        <f t="shared" si="9"/>
        <v>35</v>
      </c>
      <c r="AD29" s="23">
        <f>IF(U29="YES",SUMPRODUCT(Raw!$BT$3:$CC$3,Raw!BT30:CC30)*0.6,SUMPRODUCT(Raw!$BT$3:$CC$3,Raw!BT30:CC30))</f>
        <v>165</v>
      </c>
      <c r="AE29" s="23">
        <f>IF(U29="YES",SUMPRODUCT(Raw!$BT$3:$CC$3,Raw!BU30:CD30)*0.6,SUMPRODUCT(Raw!$BT$3:$CC$3,Raw!BU30:CD30))</f>
        <v>302</v>
      </c>
      <c r="AF29" s="28">
        <f t="shared" si="5"/>
        <v>1127</v>
      </c>
      <c r="AG29" s="28">
        <f t="shared" si="6"/>
        <v>58769</v>
      </c>
      <c r="AI29" s="88">
        <f t="shared" si="1"/>
        <v>114</v>
      </c>
      <c r="AJ29" s="88">
        <f t="shared" si="2"/>
        <v>100</v>
      </c>
      <c r="AK29">
        <f t="shared" si="7"/>
        <v>3685</v>
      </c>
      <c r="AL29">
        <f t="shared" si="8"/>
        <v>192247</v>
      </c>
    </row>
    <row r="30" spans="1:38" x14ac:dyDescent="0.25">
      <c r="A30" s="4">
        <f>Raw!J31</f>
        <v>109</v>
      </c>
      <c r="B30" s="4" t="str">
        <f>Raw!K31</f>
        <v>El Camino Real</v>
      </c>
      <c r="C30" s="4" t="str">
        <f>Raw!L31</f>
        <v>Millwood Dr</v>
      </c>
      <c r="D30" s="4" t="str">
        <f>Raw!M31</f>
        <v>Ludeman Ln</v>
      </c>
      <c r="E30" s="23" t="str">
        <f>Raw!CG31</f>
        <v>W</v>
      </c>
      <c r="F30" s="7">
        <f>Raw!T31</f>
        <v>26</v>
      </c>
      <c r="G30" s="7">
        <f>Raw!AL31</f>
        <v>1</v>
      </c>
      <c r="H30" s="7">
        <f>Raw!AC31</f>
        <v>0</v>
      </c>
      <c r="I30" s="7">
        <f t="shared" si="0"/>
        <v>1</v>
      </c>
      <c r="J30" s="157">
        <f>Raw!BT31</f>
        <v>54</v>
      </c>
      <c r="K30" s="157">
        <f>Raw!AW31</f>
        <v>26</v>
      </c>
      <c r="L30" s="42">
        <f>IF(Raw!CE31 = "NA", "-", Raw!CE31)</f>
        <v>3.1</v>
      </c>
      <c r="M30" s="42">
        <f>IF(Raw!BH31 = "NA", "-", Raw!BH31)</f>
        <v>2</v>
      </c>
      <c r="N30" s="46">
        <f>IF(Raw!CD31 = "NA", "-", Raw!CD31)</f>
        <v>79</v>
      </c>
      <c r="O30" s="46">
        <f>IF(Raw!BG31 = "NA", "-", Raw!BG31)</f>
        <v>52</v>
      </c>
      <c r="P30" s="32">
        <f>IF(Raw!AW31 = "NA", "-", SUMPRODUCT(Raw!$BT$2:$CC$2, Raw!BT31:CC31))</f>
        <v>170</v>
      </c>
      <c r="Q30" s="32">
        <f>IF(Raw!AW31 = "NA", "-", SUMPRODUCT(Raw!$AW$2:$BF$2, Raw!AW31:BF31))</f>
        <v>129</v>
      </c>
      <c r="R30" s="7" t="str" cm="1">
        <f t="array" ref="R30">_xlfn.IFS(S30="YES", "Hourly", T30="YES", "Flat Rate")</f>
        <v>Hourly</v>
      </c>
      <c r="S30" s="8" t="str">
        <f>IF(Raw!CO31=1, "YES", "")</f>
        <v>YES</v>
      </c>
      <c r="T30" s="8" t="str">
        <f>IF(Raw!CO31=2, "YES", "")</f>
        <v/>
      </c>
      <c r="U30" s="96" t="str">
        <f>IF(Raw!CP31=1, "YES", "")</f>
        <v/>
      </c>
      <c r="V30" s="96"/>
      <c r="X30" s="23">
        <f>SUMPRODUCT(Raw!$BT$3:$CC$3, Raw!BT31:CC31)</f>
        <v>104</v>
      </c>
      <c r="Y30" s="23">
        <f>SUMPRODUCT(Raw!$BT$3:$CC$3, Raw!BU31:CD31)</f>
        <v>199</v>
      </c>
      <c r="Z30" s="28">
        <f t="shared" si="3"/>
        <v>719</v>
      </c>
      <c r="AA30" s="28">
        <f t="shared" si="4"/>
        <v>37492</v>
      </c>
      <c r="AC30">
        <f t="shared" si="9"/>
        <v>26</v>
      </c>
      <c r="AD30" s="23">
        <f>IF(U30="YES",SUMPRODUCT(Raw!$BT$3:$CC$3,Raw!BT31:CC31)*0.6,SUMPRODUCT(Raw!$BT$3:$CC$3,Raw!BT31:CC31))</f>
        <v>104</v>
      </c>
      <c r="AE30" s="23">
        <f>IF(U30="YES",SUMPRODUCT(Raw!$BT$3:$CC$3,Raw!BU31:CD31)*0.6,SUMPRODUCT(Raw!$BT$3:$CC$3,Raw!BU31:CD31))</f>
        <v>199</v>
      </c>
      <c r="AF30" s="28">
        <f t="shared" si="5"/>
        <v>719</v>
      </c>
      <c r="AG30" s="28">
        <f t="shared" si="6"/>
        <v>37492</v>
      </c>
      <c r="AI30" s="88">
        <f t="shared" si="1"/>
        <v>79</v>
      </c>
      <c r="AJ30" s="88">
        <f t="shared" si="2"/>
        <v>52</v>
      </c>
      <c r="AK30">
        <f t="shared" si="7"/>
        <v>2458.5</v>
      </c>
      <c r="AL30">
        <f t="shared" si="8"/>
        <v>128276.5</v>
      </c>
    </row>
    <row r="31" spans="1:38" x14ac:dyDescent="0.25">
      <c r="A31" s="4">
        <f>Raw!J32</f>
        <v>73</v>
      </c>
      <c r="B31" s="4" t="str">
        <f>Raw!K32</f>
        <v>Broadway</v>
      </c>
      <c r="C31" s="4" t="str">
        <f>Raw!L32</f>
        <v>Millwood Dr</v>
      </c>
      <c r="D31" s="4" t="str">
        <f>Raw!M32</f>
        <v>Paramount Dr</v>
      </c>
      <c r="E31" s="23" t="str">
        <f>Raw!CG32</f>
        <v>W</v>
      </c>
      <c r="F31" s="7">
        <f>Raw!T32</f>
        <v>8</v>
      </c>
      <c r="G31" s="7">
        <f>Raw!AL32</f>
        <v>0</v>
      </c>
      <c r="H31" s="7">
        <f>Raw!AC32</f>
        <v>1</v>
      </c>
      <c r="I31" s="7">
        <f t="shared" si="0"/>
        <v>1</v>
      </c>
      <c r="J31" s="157" t="str">
        <f>Raw!BT32</f>
        <v>NA</v>
      </c>
      <c r="K31" s="157" t="str">
        <f>Raw!AW32</f>
        <v>NA</v>
      </c>
      <c r="L31" s="42" t="str">
        <f>IF(Raw!CE32 = "NA", "-", Raw!CE32)</f>
        <v>-</v>
      </c>
      <c r="M31" s="42" t="str">
        <f>IF(Raw!BH32 = "NA", "-", Raw!BH32)</f>
        <v>-</v>
      </c>
      <c r="N31" s="46" t="str">
        <f>IF(Raw!CD32 = "NA", "-", Raw!CD32)</f>
        <v>-</v>
      </c>
      <c r="O31" s="46" t="str">
        <f>IF(Raw!BG32 = "NA", "-", Raw!BG32)</f>
        <v>-</v>
      </c>
      <c r="P31" s="32" t="str">
        <f>IF(Raw!AW32 = "NA", "-", SUMPRODUCT(Raw!$BT$2:$CC$2, Raw!BT32:CC32))</f>
        <v>-</v>
      </c>
      <c r="Q31" s="32" t="str">
        <f>IF(Raw!AW32 = "NA", "-", SUMPRODUCT(Raw!$AW$2:$BF$2, Raw!AW32:BF32))</f>
        <v>-</v>
      </c>
      <c r="R31" s="7" t="e" cm="1">
        <f t="array" ref="R31">_xlfn.IFS(S31="YES", "Hourly", T31="YES", "Flat Rate")</f>
        <v>#N/A</v>
      </c>
      <c r="S31" s="8" t="str">
        <f>IF(Raw!CO32=1, "YES", "")</f>
        <v/>
      </c>
      <c r="T31" s="8" t="str">
        <f>IF(Raw!CO32=2, "YES", "")</f>
        <v/>
      </c>
      <c r="U31" s="96" t="str">
        <f>IF(Raw!CP32=1, "YES", "")</f>
        <v/>
      </c>
      <c r="V31" s="96"/>
      <c r="X31" s="23">
        <f>SUMPRODUCT(Raw!$BT$3:$CC$3, Raw!BT32:CC32)</f>
        <v>0</v>
      </c>
      <c r="Y31" s="23">
        <f>SUMPRODUCT(Raw!$BT$3:$CC$3, Raw!BU32:CD32)</f>
        <v>0</v>
      </c>
      <c r="Z31" s="28">
        <f t="shared" si="3"/>
        <v>0</v>
      </c>
      <c r="AA31" s="28">
        <f t="shared" si="4"/>
        <v>0</v>
      </c>
      <c r="AC31">
        <f t="shared" si="9"/>
        <v>8</v>
      </c>
      <c r="AD31" s="23">
        <f>IF(U31="YES",SUMPRODUCT(Raw!$BT$3:$CC$3,Raw!BT32:CC32)*0.6,SUMPRODUCT(Raw!$BT$3:$CC$3,Raw!BT32:CC32))</f>
        <v>0</v>
      </c>
      <c r="AE31" s="23">
        <f>IF(U31="YES",SUMPRODUCT(Raw!$BT$3:$CC$3,Raw!BU32:CD32)*0.6,SUMPRODUCT(Raw!$BT$3:$CC$3,Raw!BU32:CD32))</f>
        <v>0</v>
      </c>
      <c r="AF31" s="28">
        <f t="shared" si="5"/>
        <v>0</v>
      </c>
      <c r="AG31" s="28">
        <f t="shared" si="6"/>
        <v>0</v>
      </c>
      <c r="AI31" s="88" t="str">
        <f t="shared" si="1"/>
        <v>-</v>
      </c>
      <c r="AJ31" s="88" t="str">
        <f t="shared" si="2"/>
        <v>-</v>
      </c>
      <c r="AK31" t="e">
        <f t="shared" si="7"/>
        <v>#VALUE!</v>
      </c>
      <c r="AL31" t="e">
        <f t="shared" si="8"/>
        <v>#VALUE!</v>
      </c>
    </row>
    <row r="32" spans="1:38" x14ac:dyDescent="0.25">
      <c r="A32" s="4">
        <f>Raw!J33</f>
        <v>75</v>
      </c>
      <c r="B32" s="4" t="str">
        <f>Raw!K33</f>
        <v>Broadway</v>
      </c>
      <c r="C32" s="4" t="str">
        <f>Raw!L33</f>
        <v>Paramount Dr</v>
      </c>
      <c r="D32" s="4" t="str">
        <f>Raw!M33</f>
        <v>Ludeman Ln</v>
      </c>
      <c r="E32" s="23" t="str">
        <f>Raw!CG33</f>
        <v>W</v>
      </c>
      <c r="F32" s="7">
        <f>Raw!T33</f>
        <v>18</v>
      </c>
      <c r="G32" s="7">
        <f>Raw!AL33</f>
        <v>4</v>
      </c>
      <c r="H32" s="7">
        <f>Raw!AC33</f>
        <v>4</v>
      </c>
      <c r="I32" s="7">
        <f t="shared" si="0"/>
        <v>8</v>
      </c>
      <c r="J32" s="157" t="str">
        <f>Raw!BT33</f>
        <v>NA</v>
      </c>
      <c r="K32" s="157" t="str">
        <f>Raw!AW33</f>
        <v>NA</v>
      </c>
      <c r="L32" s="42" t="str">
        <f>IF(Raw!CE33 = "NA", "-", Raw!CE33)</f>
        <v>-</v>
      </c>
      <c r="M32" s="42" t="str">
        <f>IF(Raw!BH33 = "NA", "-", Raw!BH33)</f>
        <v>-</v>
      </c>
      <c r="N32" s="46" t="str">
        <f>IF(Raw!CD33 = "NA", "-", Raw!CD33)</f>
        <v>-</v>
      </c>
      <c r="O32" s="46" t="str">
        <f>IF(Raw!BG33 = "NA", "-", Raw!BG33)</f>
        <v>-</v>
      </c>
      <c r="P32" s="32" t="str">
        <f>IF(Raw!AW33 = "NA", "-", SUMPRODUCT(Raw!$BT$2:$CC$2, Raw!BT33:CC33))</f>
        <v>-</v>
      </c>
      <c r="Q32" s="32" t="str">
        <f>IF(Raw!AW33 = "NA", "-", SUMPRODUCT(Raw!$AW$2:$BF$2, Raw!AW33:BF33))</f>
        <v>-</v>
      </c>
      <c r="R32" s="7" t="e" cm="1">
        <f t="array" ref="R32">_xlfn.IFS(S32="YES", "Hourly", T32="YES", "Flat Rate")</f>
        <v>#N/A</v>
      </c>
      <c r="S32" s="8" t="str">
        <f>IF(Raw!CO33=1, "YES", "")</f>
        <v/>
      </c>
      <c r="T32" s="8" t="str">
        <f>IF(Raw!CO33=2, "YES", "")</f>
        <v/>
      </c>
      <c r="U32" s="96" t="str">
        <f>IF(Raw!CP33=1, "YES", "")</f>
        <v/>
      </c>
      <c r="V32" s="96"/>
      <c r="X32" s="23">
        <f>SUMPRODUCT(Raw!$BT$3:$CC$3, Raw!BT33:CC33)</f>
        <v>0</v>
      </c>
      <c r="Y32" s="23">
        <f>SUMPRODUCT(Raw!$BT$3:$CC$3, Raw!BU33:CD33)</f>
        <v>0</v>
      </c>
      <c r="Z32" s="28">
        <f t="shared" si="3"/>
        <v>0</v>
      </c>
      <c r="AA32" s="28">
        <f t="shared" si="4"/>
        <v>0</v>
      </c>
      <c r="AC32">
        <f t="shared" si="9"/>
        <v>18</v>
      </c>
      <c r="AD32" s="23">
        <f>IF(U32="YES",SUMPRODUCT(Raw!$BT$3:$CC$3,Raw!BT33:CC33)*0.6,SUMPRODUCT(Raw!$BT$3:$CC$3,Raw!BT33:CC33))</f>
        <v>0</v>
      </c>
      <c r="AE32" s="23">
        <f>IF(U32="YES",SUMPRODUCT(Raw!$BT$3:$CC$3,Raw!BU33:CD33)*0.6,SUMPRODUCT(Raw!$BT$3:$CC$3,Raw!BU33:CD33))</f>
        <v>0</v>
      </c>
      <c r="AF32" s="28">
        <f t="shared" si="5"/>
        <v>0</v>
      </c>
      <c r="AG32" s="28">
        <f t="shared" si="6"/>
        <v>0</v>
      </c>
      <c r="AI32" s="88" t="str">
        <f t="shared" si="1"/>
        <v>-</v>
      </c>
      <c r="AJ32" s="88" t="str">
        <f t="shared" si="2"/>
        <v>-</v>
      </c>
      <c r="AK32" t="e">
        <f t="shared" si="7"/>
        <v>#VALUE!</v>
      </c>
      <c r="AL32" t="e">
        <f t="shared" si="8"/>
        <v>#VALUE!</v>
      </c>
    </row>
    <row r="33" spans="1:38" x14ac:dyDescent="0.25">
      <c r="A33" s="4">
        <f>Raw!J34</f>
        <v>74</v>
      </c>
      <c r="B33" s="4" t="str">
        <f>Raw!K34</f>
        <v>Broadway</v>
      </c>
      <c r="C33" s="4" t="str">
        <f>Raw!L34</f>
        <v>Ludeman Ln</v>
      </c>
      <c r="D33" s="4" t="str">
        <f>Raw!M34</f>
        <v>Millwood Dr</v>
      </c>
      <c r="E33" s="23" t="str">
        <f>Raw!CG34</f>
        <v>E</v>
      </c>
      <c r="F33" s="7">
        <f>Raw!T34</f>
        <v>29</v>
      </c>
      <c r="G33" s="7">
        <f>Raw!AL34</f>
        <v>3</v>
      </c>
      <c r="H33" s="7">
        <f>Raw!AC34</f>
        <v>4</v>
      </c>
      <c r="I33" s="7">
        <f t="shared" si="0"/>
        <v>7</v>
      </c>
      <c r="J33" s="157" t="str">
        <f>Raw!BT34</f>
        <v>NA</v>
      </c>
      <c r="K33" s="157" t="str">
        <f>Raw!AW34</f>
        <v>NA</v>
      </c>
      <c r="L33" s="42" t="str">
        <f>IF(Raw!CE34 = "NA", "-", Raw!CE34)</f>
        <v>-</v>
      </c>
      <c r="M33" s="42" t="str">
        <f>IF(Raw!BH34 = "NA", "-", Raw!BH34)</f>
        <v>-</v>
      </c>
      <c r="N33" s="46" t="str">
        <f>IF(Raw!CD34 = "NA", "-", Raw!CD34)</f>
        <v>-</v>
      </c>
      <c r="O33" s="46" t="str">
        <f>IF(Raw!BG34 = "NA", "-", Raw!BG34)</f>
        <v>-</v>
      </c>
      <c r="P33" s="32" t="str">
        <f>IF(Raw!AW34 = "NA", "-", SUMPRODUCT(Raw!$BT$2:$CC$2, Raw!BT34:CC34))</f>
        <v>-</v>
      </c>
      <c r="Q33" s="32" t="str">
        <f>IF(Raw!AW34 = "NA", "-", SUMPRODUCT(Raw!$AW$2:$BF$2, Raw!AW34:BF34))</f>
        <v>-</v>
      </c>
      <c r="R33" s="7" t="e" cm="1">
        <f t="array" ref="R33">_xlfn.IFS(S33="YES", "Hourly", T33="YES", "Flat Rate")</f>
        <v>#N/A</v>
      </c>
      <c r="S33" s="8" t="str">
        <f>IF(Raw!CO34=1, "YES", "")</f>
        <v/>
      </c>
      <c r="T33" s="8" t="str">
        <f>IF(Raw!CO34=2, "YES", "")</f>
        <v/>
      </c>
      <c r="U33" s="96" t="str">
        <f>IF(Raw!CP34=1, "YES", "")</f>
        <v/>
      </c>
      <c r="V33" s="96"/>
      <c r="X33" s="23">
        <f>SUMPRODUCT(Raw!$BT$3:$CC$3, Raw!BT34:CC34)</f>
        <v>0</v>
      </c>
      <c r="Y33" s="23">
        <f>SUMPRODUCT(Raw!$BT$3:$CC$3, Raw!BU34:CD34)</f>
        <v>0</v>
      </c>
      <c r="Z33" s="28">
        <f t="shared" si="3"/>
        <v>0</v>
      </c>
      <c r="AA33" s="28">
        <f t="shared" si="4"/>
        <v>0</v>
      </c>
      <c r="AC33">
        <f t="shared" si="9"/>
        <v>29</v>
      </c>
      <c r="AD33" s="23">
        <f>IF(U33="YES",SUMPRODUCT(Raw!$BT$3:$CC$3,Raw!BT34:CC34)*0.6,SUMPRODUCT(Raw!$BT$3:$CC$3,Raw!BT34:CC34))</f>
        <v>0</v>
      </c>
      <c r="AE33" s="23">
        <f>IF(U33="YES",SUMPRODUCT(Raw!$BT$3:$CC$3,Raw!BU34:CD34)*0.6,SUMPRODUCT(Raw!$BT$3:$CC$3,Raw!BU34:CD34))</f>
        <v>0</v>
      </c>
      <c r="AF33" s="28">
        <f t="shared" si="5"/>
        <v>0</v>
      </c>
      <c r="AG33" s="28">
        <f t="shared" si="6"/>
        <v>0</v>
      </c>
      <c r="AI33" s="88" t="str">
        <f t="shared" si="1"/>
        <v>-</v>
      </c>
      <c r="AJ33" s="88" t="str">
        <f t="shared" si="2"/>
        <v>-</v>
      </c>
      <c r="AK33" t="e">
        <f t="shared" si="7"/>
        <v>#VALUE!</v>
      </c>
      <c r="AL33" t="e">
        <f t="shared" si="8"/>
        <v>#VALUE!</v>
      </c>
    </row>
    <row r="34" spans="1:38" x14ac:dyDescent="0.25">
      <c r="A34" s="4">
        <f>Raw!J35</f>
        <v>164</v>
      </c>
      <c r="B34" s="4" t="str">
        <f>Raw!K35</f>
        <v>Ludeman Ln</v>
      </c>
      <c r="C34" s="4" t="str">
        <f>Raw!L35</f>
        <v>El Camino Real</v>
      </c>
      <c r="D34" s="4" t="str">
        <f>Raw!M35</f>
        <v>Broadway</v>
      </c>
      <c r="E34" s="23" t="str">
        <f>Raw!CG35</f>
        <v>N</v>
      </c>
      <c r="F34" s="7">
        <f>Raw!T35</f>
        <v>6</v>
      </c>
      <c r="G34" s="7">
        <f>Raw!AL35</f>
        <v>1</v>
      </c>
      <c r="H34" s="7">
        <f>Raw!AC35</f>
        <v>0</v>
      </c>
      <c r="I34" s="7">
        <f t="shared" si="0"/>
        <v>1</v>
      </c>
      <c r="J34" s="157">
        <f>Raw!BT35</f>
        <v>12</v>
      </c>
      <c r="K34" s="157">
        <f>Raw!AW35</f>
        <v>3</v>
      </c>
      <c r="L34" s="42">
        <f>IF(Raw!CE35 = "NA", "-", Raw!CE35)</f>
        <v>2.5</v>
      </c>
      <c r="M34" s="42">
        <f>IF(Raw!BH35 = "NA", "-", Raw!BH35)</f>
        <v>0.6</v>
      </c>
      <c r="N34" s="46">
        <f>IF(Raw!CD35 = "NA", "-", Raw!CD35)</f>
        <v>16</v>
      </c>
      <c r="O34" s="46">
        <f>IF(Raw!BG35 = "NA", "-", Raw!BG35)</f>
        <v>4</v>
      </c>
      <c r="P34" s="32">
        <f>IF(Raw!AW35 = "NA", "-", SUMPRODUCT(Raw!$BT$2:$CC$2, Raw!BT35:CC35))</f>
        <v>24</v>
      </c>
      <c r="Q34" s="32">
        <f>IF(Raw!AW35 = "NA", "-", SUMPRODUCT(Raw!$AW$2:$BF$2, Raw!AW35:BF35))</f>
        <v>5</v>
      </c>
      <c r="R34" s="7" t="e" cm="1">
        <f t="array" ref="R34">_xlfn.IFS(S34="YES", "Hourly", T34="YES", "Flat Rate")</f>
        <v>#N/A</v>
      </c>
      <c r="S34" s="8" t="str">
        <f>IF(Raw!CO35=1, "YES", "")</f>
        <v/>
      </c>
      <c r="T34" s="8" t="str">
        <f>IF(Raw!CO35=2, "YES", "")</f>
        <v/>
      </c>
      <c r="U34" s="96" t="str">
        <f>IF(Raw!CP35=1, "YES", "")</f>
        <v/>
      </c>
      <c r="V34" s="96"/>
      <c r="X34" s="23">
        <f>SUMPRODUCT(Raw!$BT$3:$CC$3, Raw!BT35:CC35)</f>
        <v>20</v>
      </c>
      <c r="Y34" s="23">
        <f>SUMPRODUCT(Raw!$BT$3:$CC$3, Raw!BU35:CD35)</f>
        <v>38</v>
      </c>
      <c r="Z34" s="28">
        <f t="shared" si="3"/>
        <v>138</v>
      </c>
      <c r="AA34" s="28">
        <f t="shared" si="4"/>
        <v>7196</v>
      </c>
      <c r="AC34">
        <f t="shared" si="9"/>
        <v>6</v>
      </c>
      <c r="AD34" s="23">
        <f>IF(U34="YES",SUMPRODUCT(Raw!$BT$3:$CC$3,Raw!BT35:CC35)*0.6,SUMPRODUCT(Raw!$BT$3:$CC$3,Raw!BT35:CC35))</f>
        <v>20</v>
      </c>
      <c r="AE34" s="23">
        <f>IF(U34="YES",SUMPRODUCT(Raw!$BT$3:$CC$3,Raw!BU35:CD35)*0.6,SUMPRODUCT(Raw!$BT$3:$CC$3,Raw!BU35:CD35))</f>
        <v>38</v>
      </c>
      <c r="AF34" s="28">
        <f t="shared" si="5"/>
        <v>138</v>
      </c>
      <c r="AG34" s="28">
        <f t="shared" si="6"/>
        <v>7196</v>
      </c>
      <c r="AI34" s="88">
        <f t="shared" si="1"/>
        <v>16</v>
      </c>
      <c r="AJ34" s="88">
        <f t="shared" si="2"/>
        <v>4</v>
      </c>
      <c r="AK34">
        <f t="shared" si="7"/>
        <v>462</v>
      </c>
      <c r="AL34">
        <f t="shared" si="8"/>
        <v>24112</v>
      </c>
    </row>
    <row r="35" spans="1:38" x14ac:dyDescent="0.25">
      <c r="A35" s="4">
        <f>Raw!J36</f>
        <v>165</v>
      </c>
      <c r="B35" s="4" t="str">
        <f>Raw!K36</f>
        <v>Ludeman Ln</v>
      </c>
      <c r="C35" s="4" t="str">
        <f>Raw!L36</f>
        <v>Broadway</v>
      </c>
      <c r="D35" s="4" t="str">
        <f>Raw!M36</f>
        <v>El Camino Real</v>
      </c>
      <c r="E35" s="23" t="str">
        <f>Raw!CG36</f>
        <v>S</v>
      </c>
      <c r="F35" s="7">
        <f>Raw!T36</f>
        <v>7</v>
      </c>
      <c r="G35" s="7">
        <f>Raw!AL36</f>
        <v>2</v>
      </c>
      <c r="H35" s="7">
        <f>Raw!AC36</f>
        <v>2</v>
      </c>
      <c r="I35" s="7">
        <f t="shared" si="0"/>
        <v>4</v>
      </c>
      <c r="J35" s="157">
        <f>Raw!BT36</f>
        <v>6</v>
      </c>
      <c r="K35" s="157">
        <f>Raw!AW36</f>
        <v>5</v>
      </c>
      <c r="L35" s="42">
        <f>IF(Raw!CE36 = "NA", "-", Raw!CE36)</f>
        <v>1.9</v>
      </c>
      <c r="M35" s="42">
        <f>IF(Raw!BH36 = "NA", "-", Raw!BH36)</f>
        <v>2</v>
      </c>
      <c r="N35" s="46">
        <f>IF(Raw!CD36 = "NA", "-", Raw!CD36)</f>
        <v>14</v>
      </c>
      <c r="O35" s="46">
        <f>IF(Raw!BG36 = "NA", "-", Raw!BG36)</f>
        <v>15</v>
      </c>
      <c r="P35" s="32">
        <f>IF(Raw!AW36 = "NA", "-", SUMPRODUCT(Raw!$BT$2:$CC$2, Raw!BT36:CC36))</f>
        <v>62</v>
      </c>
      <c r="Q35" s="32">
        <f>IF(Raw!AW36 = "NA", "-", SUMPRODUCT(Raw!$AW$2:$BF$2, Raw!AW36:BF36))</f>
        <v>58</v>
      </c>
      <c r="R35" s="7" t="e" cm="1">
        <f t="array" ref="R35">_xlfn.IFS(S35="YES", "Hourly", T35="YES", "Flat Rate")</f>
        <v>#N/A</v>
      </c>
      <c r="S35" s="8" t="str">
        <f>IF(Raw!CO36=1, "YES", "")</f>
        <v/>
      </c>
      <c r="T35" s="8" t="str">
        <f>IF(Raw!CO36=2, "YES", "")</f>
        <v/>
      </c>
      <c r="U35" s="96" t="str">
        <f>IF(Raw!CP36=1, "YES", "")</f>
        <v/>
      </c>
      <c r="V35" s="96"/>
      <c r="X35" s="23">
        <f>SUMPRODUCT(Raw!$BT$3:$CC$3, Raw!BT36:CC36)</f>
        <v>22</v>
      </c>
      <c r="Y35" s="23">
        <f>SUMPRODUCT(Raw!$BT$3:$CC$3, Raw!BU36:CD36)</f>
        <v>43</v>
      </c>
      <c r="Z35" s="28">
        <f t="shared" si="3"/>
        <v>153</v>
      </c>
      <c r="AA35" s="28">
        <f t="shared" si="4"/>
        <v>7978</v>
      </c>
      <c r="AC35">
        <f t="shared" si="9"/>
        <v>7</v>
      </c>
      <c r="AD35" s="23">
        <f>IF(U35="YES",SUMPRODUCT(Raw!$BT$3:$CC$3,Raw!BT36:CC36)*0.6,SUMPRODUCT(Raw!$BT$3:$CC$3,Raw!BT36:CC36))</f>
        <v>22</v>
      </c>
      <c r="AE35" s="23">
        <f>IF(U35="YES",SUMPRODUCT(Raw!$BT$3:$CC$3,Raw!BU36:CD36)*0.6,SUMPRODUCT(Raw!$BT$3:$CC$3,Raw!BU36:CD36))</f>
        <v>43</v>
      </c>
      <c r="AF35" s="28">
        <f t="shared" si="5"/>
        <v>153</v>
      </c>
      <c r="AG35" s="28">
        <f t="shared" si="6"/>
        <v>7978</v>
      </c>
      <c r="AI35" s="88">
        <f t="shared" si="1"/>
        <v>14</v>
      </c>
      <c r="AJ35" s="88">
        <f t="shared" si="2"/>
        <v>15</v>
      </c>
      <c r="AK35">
        <f t="shared" si="7"/>
        <v>467.5</v>
      </c>
      <c r="AL35">
        <f t="shared" si="8"/>
        <v>24387</v>
      </c>
    </row>
    <row r="36" spans="1:38" x14ac:dyDescent="0.25">
      <c r="A36" s="4">
        <f>Raw!J37</f>
        <v>76</v>
      </c>
      <c r="B36" s="4" t="str">
        <f>Raw!K37</f>
        <v>Broadway</v>
      </c>
      <c r="C36" s="4" t="str">
        <f>Raw!L37</f>
        <v>Ludeman Ln</v>
      </c>
      <c r="D36" s="4" t="str">
        <f>Raw!M37</f>
        <v>Parking Lot</v>
      </c>
      <c r="E36" s="23" t="str">
        <f>Raw!CG37</f>
        <v>W</v>
      </c>
      <c r="F36" s="7">
        <f>Raw!T37</f>
        <v>25</v>
      </c>
      <c r="G36" s="7">
        <f>Raw!AL37</f>
        <v>0</v>
      </c>
      <c r="H36" s="7">
        <f>Raw!AC37</f>
        <v>0</v>
      </c>
      <c r="I36" s="7">
        <f t="shared" si="0"/>
        <v>0</v>
      </c>
      <c r="J36" s="157">
        <f>Raw!BT37</f>
        <v>12</v>
      </c>
      <c r="K36" s="157">
        <f>Raw!AW37</f>
        <v>54</v>
      </c>
      <c r="L36" s="42">
        <f>IF(Raw!CE37 = "NA", "-", Raw!CE37)</f>
        <v>1.1000000000000001</v>
      </c>
      <c r="M36" s="42">
        <f>IF(Raw!BH37 = "NA", "-", Raw!BH37)</f>
        <v>3.3</v>
      </c>
      <c r="N36" s="46">
        <f>IF(Raw!CD37 = "NA", "-", Raw!CD37)</f>
        <v>28</v>
      </c>
      <c r="O36" s="46">
        <f>IF(Raw!BG37 = "NA", "-", Raw!BG37)</f>
        <v>85</v>
      </c>
      <c r="P36" s="32">
        <f>IF(Raw!AW37 = "NA", "-", SUMPRODUCT(Raw!$BT$2:$CC$2, Raw!BT37:CC37))</f>
        <v>93</v>
      </c>
      <c r="Q36" s="32">
        <f>IF(Raw!AW37 = "NA", "-", SUMPRODUCT(Raw!$AW$2:$BF$2, Raw!AW37:BF37))</f>
        <v>156</v>
      </c>
      <c r="R36" s="7" t="e" cm="1">
        <f t="array" ref="R36">_xlfn.IFS(S36="YES", "Hourly", T36="YES", "Flat Rate")</f>
        <v>#N/A</v>
      </c>
      <c r="S36" s="8" t="str">
        <f>IF(Raw!CO37=1, "YES", "")</f>
        <v/>
      </c>
      <c r="T36" s="8" t="str">
        <f>IF(Raw!CO37=2, "YES", "")</f>
        <v/>
      </c>
      <c r="U36" s="96" t="str">
        <f>IF(Raw!CP37=1, "YES", "")</f>
        <v/>
      </c>
      <c r="V36" s="96"/>
      <c r="X36" s="23">
        <f>SUMPRODUCT(Raw!$BT$3:$CC$3, Raw!BT37:CC37)</f>
        <v>44</v>
      </c>
      <c r="Y36" s="23">
        <f>SUMPRODUCT(Raw!$BT$3:$CC$3, Raw!BU37:CD37)</f>
        <v>82</v>
      </c>
      <c r="Z36" s="28">
        <f t="shared" si="3"/>
        <v>302</v>
      </c>
      <c r="AA36" s="28">
        <f t="shared" si="4"/>
        <v>15748</v>
      </c>
      <c r="AC36">
        <f t="shared" si="9"/>
        <v>25</v>
      </c>
      <c r="AD36" s="23">
        <f>IF(U36="YES",SUMPRODUCT(Raw!$BT$3:$CC$3,Raw!BT37:CC37)*0.6,SUMPRODUCT(Raw!$BT$3:$CC$3,Raw!BT37:CC37))</f>
        <v>44</v>
      </c>
      <c r="AE36" s="23">
        <f>IF(U36="YES",SUMPRODUCT(Raw!$BT$3:$CC$3,Raw!BU37:CD37)*0.6,SUMPRODUCT(Raw!$BT$3:$CC$3,Raw!BU37:CD37))</f>
        <v>82</v>
      </c>
      <c r="AF36" s="28">
        <f t="shared" si="5"/>
        <v>302</v>
      </c>
      <c r="AG36" s="28">
        <f t="shared" si="6"/>
        <v>15748</v>
      </c>
      <c r="AI36" s="88">
        <f t="shared" si="1"/>
        <v>28</v>
      </c>
      <c r="AJ36" s="88">
        <f t="shared" si="2"/>
        <v>85</v>
      </c>
      <c r="AK36">
        <f t="shared" si="7"/>
        <v>1237.5</v>
      </c>
      <c r="AL36">
        <f t="shared" si="8"/>
        <v>64504</v>
      </c>
    </row>
    <row r="37" spans="1:38" x14ac:dyDescent="0.25">
      <c r="A37" s="4">
        <f>Raw!J38</f>
        <v>77</v>
      </c>
      <c r="B37" s="4" t="str">
        <f>Raw!K38</f>
        <v>Broadway</v>
      </c>
      <c r="C37" s="4" t="str">
        <f>Raw!L38</f>
        <v>Center St</v>
      </c>
      <c r="D37" s="4" t="str">
        <f>Raw!M38</f>
        <v>Ludeman Ln</v>
      </c>
      <c r="E37" s="23" t="str">
        <f>Raw!CG38</f>
        <v>E</v>
      </c>
      <c r="F37" s="7">
        <f>Raw!T38</f>
        <v>9</v>
      </c>
      <c r="G37" s="7">
        <f>Raw!AL38</f>
        <v>2</v>
      </c>
      <c r="H37" s="7">
        <f>Raw!AC38</f>
        <v>1</v>
      </c>
      <c r="I37" s="7">
        <f t="shared" si="0"/>
        <v>3</v>
      </c>
      <c r="J37" s="157">
        <f>Raw!BT38</f>
        <v>4</v>
      </c>
      <c r="K37" s="157">
        <f>Raw!AW38</f>
        <v>7</v>
      </c>
      <c r="L37" s="42">
        <f>IF(Raw!CE38 = "NA", "-", Raw!CE38)</f>
        <v>1.5</v>
      </c>
      <c r="M37" s="42">
        <f>IF(Raw!BH38 = "NA", "-", Raw!BH38)</f>
        <v>2</v>
      </c>
      <c r="N37" s="46">
        <f>IF(Raw!CD38 = "NA", "-", Raw!CD38)</f>
        <v>14</v>
      </c>
      <c r="O37" s="46">
        <f>IF(Raw!BG38 = "NA", "-", Raw!BG38)</f>
        <v>19</v>
      </c>
      <c r="P37" s="32">
        <f>IF(Raw!AW38 = "NA", "-", SUMPRODUCT(Raw!$BT$2:$CC$2, Raw!BT38:CC38))</f>
        <v>66</v>
      </c>
      <c r="Q37" s="32">
        <f>IF(Raw!AW38 = "NA", "-", SUMPRODUCT(Raw!$AW$2:$BF$2, Raw!AW38:BF38))</f>
        <v>72</v>
      </c>
      <c r="R37" s="7" t="e" cm="1">
        <f t="array" ref="R37">_xlfn.IFS(S37="YES", "Hourly", T37="YES", "Flat Rate")</f>
        <v>#N/A</v>
      </c>
      <c r="S37" s="8" t="str">
        <f>IF(Raw!CO38=1, "YES", "")</f>
        <v/>
      </c>
      <c r="T37" s="8" t="str">
        <f>IF(Raw!CO38=2, "YES", "")</f>
        <v/>
      </c>
      <c r="U37" s="96" t="str">
        <f>IF(Raw!CP38=1, "YES", "")</f>
        <v/>
      </c>
      <c r="V37" s="96"/>
      <c r="X37" s="23">
        <f>SUMPRODUCT(Raw!$BT$3:$CC$3, Raw!BT38:CC38)</f>
        <v>24</v>
      </c>
      <c r="Y37" s="23">
        <f>SUMPRODUCT(Raw!$BT$3:$CC$3, Raw!BU38:CD38)</f>
        <v>47</v>
      </c>
      <c r="Z37" s="28">
        <f t="shared" si="3"/>
        <v>167</v>
      </c>
      <c r="AA37" s="28">
        <f t="shared" si="4"/>
        <v>8708</v>
      </c>
      <c r="AC37">
        <f t="shared" si="9"/>
        <v>9</v>
      </c>
      <c r="AD37" s="23">
        <f>IF(U37="YES",SUMPRODUCT(Raw!$BT$3:$CC$3,Raw!BT38:CC38)*0.6,SUMPRODUCT(Raw!$BT$3:$CC$3,Raw!BT38:CC38))</f>
        <v>24</v>
      </c>
      <c r="AE37" s="23">
        <f>IF(U37="YES",SUMPRODUCT(Raw!$BT$3:$CC$3,Raw!BU38:CD38)*0.6,SUMPRODUCT(Raw!$BT$3:$CC$3,Raw!BU38:CD38))</f>
        <v>47</v>
      </c>
      <c r="AF37" s="28">
        <f t="shared" si="5"/>
        <v>167</v>
      </c>
      <c r="AG37" s="28">
        <f t="shared" si="6"/>
        <v>8708</v>
      </c>
      <c r="AI37" s="88">
        <f t="shared" si="1"/>
        <v>14</v>
      </c>
      <c r="AJ37" s="88">
        <f t="shared" si="2"/>
        <v>19</v>
      </c>
      <c r="AK37">
        <f t="shared" si="7"/>
        <v>489.5</v>
      </c>
      <c r="AL37">
        <f t="shared" si="8"/>
        <v>25531</v>
      </c>
    </row>
    <row r="38" spans="1:38" x14ac:dyDescent="0.25">
      <c r="A38" s="4">
        <f>Raw!J39</f>
        <v>78</v>
      </c>
      <c r="B38" s="4" t="str">
        <f>Raw!K39</f>
        <v>Broadway</v>
      </c>
      <c r="C38" s="4" t="str">
        <f>Raw!L39</f>
        <v>Meadow Glen Ave</v>
      </c>
      <c r="D38" s="4" t="str">
        <f>Raw!M39</f>
        <v>Center St</v>
      </c>
      <c r="E38" s="23" t="str">
        <f>Raw!CG39</f>
        <v>E</v>
      </c>
      <c r="F38" s="7">
        <f>Raw!T39</f>
        <v>30</v>
      </c>
      <c r="G38" s="7">
        <f>Raw!AL39</f>
        <v>0</v>
      </c>
      <c r="H38" s="7">
        <f>Raw!AC39</f>
        <v>0</v>
      </c>
      <c r="I38" s="7">
        <f t="shared" si="0"/>
        <v>0</v>
      </c>
      <c r="J38" s="157">
        <f>Raw!BT39</f>
        <v>27</v>
      </c>
      <c r="K38" s="157">
        <f>Raw!AW39</f>
        <v>53</v>
      </c>
      <c r="L38" s="42">
        <f>IF(Raw!CE39 = "NA", "-", Raw!CE39)</f>
        <v>1.6</v>
      </c>
      <c r="M38" s="42">
        <f>IF(Raw!BH39 = "NA", "-", Raw!BH39)</f>
        <v>2.1</v>
      </c>
      <c r="N38" s="46">
        <f>IF(Raw!CD39 = "NA", "-", Raw!CD39)</f>
        <v>49</v>
      </c>
      <c r="O38" s="46">
        <f>IF(Raw!BG39 = "NA", "-", Raw!BG39)</f>
        <v>64</v>
      </c>
      <c r="P38" s="32">
        <f>IF(Raw!AW39 = "NA", "-", SUMPRODUCT(Raw!$BT$2:$CC$2, Raw!BT39:CC39))</f>
        <v>116</v>
      </c>
      <c r="Q38" s="32">
        <f>IF(Raw!AW39 = "NA", "-", SUMPRODUCT(Raw!$AW$2:$BF$2, Raw!AW39:BF39))</f>
        <v>117</v>
      </c>
      <c r="R38" s="7" t="e" cm="1">
        <f t="array" ref="R38">_xlfn.IFS(S38="YES", "Hourly", T38="YES", "Flat Rate")</f>
        <v>#N/A</v>
      </c>
      <c r="S38" s="8" t="str">
        <f>IF(Raw!CO39=1, "YES", "")</f>
        <v/>
      </c>
      <c r="T38" s="8" t="str">
        <f>IF(Raw!CO39=2, "YES", "")</f>
        <v/>
      </c>
      <c r="U38" s="96" t="str">
        <f>IF(Raw!CP39=1, "YES", "")</f>
        <v/>
      </c>
      <c r="V38" s="96"/>
      <c r="X38" s="23">
        <f>SUMPRODUCT(Raw!$BT$3:$CC$3, Raw!BT39:CC39)</f>
        <v>71</v>
      </c>
      <c r="Y38" s="23">
        <f>SUMPRODUCT(Raw!$BT$3:$CC$3, Raw!BU39:CD39)</f>
        <v>131</v>
      </c>
      <c r="Z38" s="28">
        <f t="shared" si="3"/>
        <v>486</v>
      </c>
      <c r="AA38" s="28">
        <f t="shared" si="4"/>
        <v>25343</v>
      </c>
      <c r="AC38">
        <f t="shared" si="9"/>
        <v>30</v>
      </c>
      <c r="AD38" s="23">
        <f>IF(U38="YES",SUMPRODUCT(Raw!$BT$3:$CC$3,Raw!BT39:CC39)*0.6,SUMPRODUCT(Raw!$BT$3:$CC$3,Raw!BT39:CC39))</f>
        <v>71</v>
      </c>
      <c r="AE38" s="23">
        <f>IF(U38="YES",SUMPRODUCT(Raw!$BT$3:$CC$3,Raw!BU39:CD39)*0.6,SUMPRODUCT(Raw!$BT$3:$CC$3,Raw!BU39:CD39))</f>
        <v>131</v>
      </c>
      <c r="AF38" s="28">
        <f t="shared" si="5"/>
        <v>486</v>
      </c>
      <c r="AG38" s="28">
        <f t="shared" si="6"/>
        <v>25343</v>
      </c>
      <c r="AI38" s="88">
        <f t="shared" si="1"/>
        <v>49</v>
      </c>
      <c r="AJ38" s="88">
        <f t="shared" si="2"/>
        <v>64</v>
      </c>
      <c r="AK38">
        <f t="shared" si="7"/>
        <v>1699.5</v>
      </c>
      <c r="AL38">
        <f t="shared" si="8"/>
        <v>88643.5</v>
      </c>
    </row>
    <row r="39" spans="1:38" x14ac:dyDescent="0.25">
      <c r="A39" s="4">
        <f>Raw!J40</f>
        <v>110</v>
      </c>
      <c r="B39" s="4" t="str">
        <f>Raw!K40</f>
        <v>El Camino Real</v>
      </c>
      <c r="C39" s="4" t="str">
        <f>Raw!L40</f>
        <v>Ludeman Ln</v>
      </c>
      <c r="D39" s="4" t="str">
        <f>Raw!M40</f>
        <v>Center St</v>
      </c>
      <c r="E39" s="23" t="str">
        <f>Raw!CG40</f>
        <v>W</v>
      </c>
      <c r="F39" s="7">
        <f>Raw!T40</f>
        <v>11</v>
      </c>
      <c r="G39" s="7">
        <f>Raw!AL40</f>
        <v>0</v>
      </c>
      <c r="H39" s="7">
        <f>Raw!AC40</f>
        <v>0</v>
      </c>
      <c r="I39" s="7">
        <f t="shared" si="0"/>
        <v>0</v>
      </c>
      <c r="J39" s="157">
        <f>Raw!BT40</f>
        <v>11</v>
      </c>
      <c r="K39" s="157">
        <f>Raw!AW40</f>
        <v>8</v>
      </c>
      <c r="L39" s="42">
        <f>IF(Raw!CE40 = "NA", "-", Raw!CE40)</f>
        <v>2</v>
      </c>
      <c r="M39" s="42">
        <f>IF(Raw!BH40 = "NA", "-", Raw!BH40)</f>
        <v>1.1000000000000001</v>
      </c>
      <c r="N39" s="46">
        <f>IF(Raw!CD40 = "NA", "-", Raw!CD40)</f>
        <v>22</v>
      </c>
      <c r="O39" s="46">
        <f>IF(Raw!BG40 = "NA", "-", Raw!BG40)</f>
        <v>12</v>
      </c>
      <c r="P39" s="32">
        <f>IF(Raw!AW40 = "NA", "-", SUMPRODUCT(Raw!$BT$2:$CC$2, Raw!BT40:CC40))</f>
        <v>54</v>
      </c>
      <c r="Q39" s="32">
        <f>IF(Raw!AW40 = "NA", "-", SUMPRODUCT(Raw!$AW$2:$BF$2, Raw!AW40:BF40))</f>
        <v>19</v>
      </c>
      <c r="R39" s="7" t="str" cm="1">
        <f t="array" ref="R39">_xlfn.IFS(S39="YES", "Hourly", T39="YES", "Flat Rate")</f>
        <v>Hourly</v>
      </c>
      <c r="S39" s="8" t="str">
        <f>IF(Raw!CO40=1, "YES", "")</f>
        <v>YES</v>
      </c>
      <c r="T39" s="8" t="str">
        <f>IF(Raw!CO40=2, "YES", "")</f>
        <v/>
      </c>
      <c r="U39" s="96" t="str">
        <f>IF(Raw!CP40=1, "YES", "")</f>
        <v/>
      </c>
      <c r="V39" s="96"/>
      <c r="X39" s="23">
        <f>SUMPRODUCT(Raw!$BT$3:$CC$3, Raw!BT40:CC40)</f>
        <v>33</v>
      </c>
      <c r="Y39" s="23">
        <f>SUMPRODUCT(Raw!$BT$3:$CC$3, Raw!BU40:CD40)</f>
        <v>60</v>
      </c>
      <c r="Z39" s="28">
        <f t="shared" si="3"/>
        <v>225</v>
      </c>
      <c r="AA39" s="28">
        <f t="shared" si="4"/>
        <v>11733</v>
      </c>
      <c r="AC39">
        <f t="shared" si="9"/>
        <v>11</v>
      </c>
      <c r="AD39" s="23">
        <f>IF(U39="YES",SUMPRODUCT(Raw!$BT$3:$CC$3,Raw!BT40:CC40)*0.6,SUMPRODUCT(Raw!$BT$3:$CC$3,Raw!BT40:CC40))</f>
        <v>33</v>
      </c>
      <c r="AE39" s="23">
        <f>IF(U39="YES",SUMPRODUCT(Raw!$BT$3:$CC$3,Raw!BU40:CD40)*0.6,SUMPRODUCT(Raw!$BT$3:$CC$3,Raw!BU40:CD40))</f>
        <v>60</v>
      </c>
      <c r="AF39" s="28">
        <f t="shared" si="5"/>
        <v>225</v>
      </c>
      <c r="AG39" s="28">
        <f t="shared" si="6"/>
        <v>11733</v>
      </c>
      <c r="AI39" s="88">
        <f t="shared" si="1"/>
        <v>22</v>
      </c>
      <c r="AJ39" s="88">
        <f t="shared" si="2"/>
        <v>12</v>
      </c>
      <c r="AK39">
        <f t="shared" si="7"/>
        <v>671</v>
      </c>
      <c r="AL39">
        <f t="shared" si="8"/>
        <v>35013</v>
      </c>
    </row>
    <row r="40" spans="1:38" x14ac:dyDescent="0.25">
      <c r="A40" s="4">
        <f>Raw!J41</f>
        <v>166</v>
      </c>
      <c r="B40" s="4" t="str">
        <f>Raw!K41</f>
        <v>Center St</v>
      </c>
      <c r="C40" s="4" t="str">
        <f>Raw!L41</f>
        <v>El Camino Real</v>
      </c>
      <c r="D40" s="4" t="str">
        <f>Raw!M41</f>
        <v>Broadway</v>
      </c>
      <c r="E40" s="23" t="str">
        <f>Raw!CG41</f>
        <v>N</v>
      </c>
      <c r="F40" s="7">
        <f>Raw!T41</f>
        <v>3</v>
      </c>
      <c r="G40" s="7">
        <f>Raw!AL41</f>
        <v>1</v>
      </c>
      <c r="H40" s="7">
        <f>Raw!AC41</f>
        <v>0</v>
      </c>
      <c r="I40" s="7">
        <f t="shared" si="0"/>
        <v>1</v>
      </c>
      <c r="J40" s="157">
        <f>Raw!BT41</f>
        <v>4</v>
      </c>
      <c r="K40" s="157">
        <f>Raw!AW41</f>
        <v>2</v>
      </c>
      <c r="L40" s="42">
        <f>IF(Raw!CE41 = "NA", "-", Raw!CE41)</f>
        <v>2.2999999999999998</v>
      </c>
      <c r="M40" s="42">
        <f>IF(Raw!BH41 = "NA", "-", Raw!BH41)</f>
        <v>1</v>
      </c>
      <c r="N40" s="46">
        <f>IF(Raw!CD41 = "NA", "-", Raw!CD41)</f>
        <v>7</v>
      </c>
      <c r="O40" s="46">
        <f>IF(Raw!BG41 = "NA", "-", Raw!BG41)</f>
        <v>3</v>
      </c>
      <c r="P40" s="32">
        <f>IF(Raw!AW41 = "NA", "-", SUMPRODUCT(Raw!$BT$2:$CC$2, Raw!BT41:CC41))</f>
        <v>19</v>
      </c>
      <c r="Q40" s="32">
        <f>IF(Raw!AW41 = "NA", "-", SUMPRODUCT(Raw!$AW$2:$BF$2, Raw!AW41:BF41))</f>
        <v>6</v>
      </c>
      <c r="R40" s="7" t="e" cm="1">
        <f t="array" ref="R40">_xlfn.IFS(S40="YES", "Hourly", T40="YES", "Flat Rate")</f>
        <v>#N/A</v>
      </c>
      <c r="S40" s="8" t="str">
        <f>IF(Raw!CO41=1, "YES", "")</f>
        <v/>
      </c>
      <c r="T40" s="8" t="str">
        <f>IF(Raw!CO41=2, "YES", "")</f>
        <v/>
      </c>
      <c r="U40" s="96" t="str">
        <f>IF(Raw!CP41=1, "YES", "")</f>
        <v/>
      </c>
      <c r="V40" s="96"/>
      <c r="X40" s="23">
        <f>SUMPRODUCT(Raw!$BT$3:$CC$3, Raw!BT41:CC41)</f>
        <v>10</v>
      </c>
      <c r="Y40" s="23">
        <f>SUMPRODUCT(Raw!$BT$3:$CC$3, Raw!BU41:CD41)</f>
        <v>20</v>
      </c>
      <c r="Z40" s="28">
        <f t="shared" si="3"/>
        <v>70</v>
      </c>
      <c r="AA40" s="28">
        <f t="shared" si="4"/>
        <v>3650</v>
      </c>
      <c r="AC40">
        <f t="shared" si="9"/>
        <v>3</v>
      </c>
      <c r="AD40" s="23">
        <f>IF(U40="YES",SUMPRODUCT(Raw!$BT$3:$CC$3,Raw!BT41:CC41)*0.6,SUMPRODUCT(Raw!$BT$3:$CC$3,Raw!BT41:CC41))</f>
        <v>10</v>
      </c>
      <c r="AE40" s="23">
        <f>IF(U40="YES",SUMPRODUCT(Raw!$BT$3:$CC$3,Raw!BU41:CD41)*0.6,SUMPRODUCT(Raw!$BT$3:$CC$3,Raw!BU41:CD41))</f>
        <v>20</v>
      </c>
      <c r="AF40" s="28">
        <f t="shared" si="5"/>
        <v>70</v>
      </c>
      <c r="AG40" s="28">
        <f t="shared" si="6"/>
        <v>3650</v>
      </c>
      <c r="AI40" s="88">
        <f t="shared" si="1"/>
        <v>7</v>
      </c>
      <c r="AJ40" s="88">
        <f t="shared" si="2"/>
        <v>3</v>
      </c>
      <c r="AK40">
        <f t="shared" si="7"/>
        <v>209</v>
      </c>
      <c r="AL40">
        <f t="shared" si="8"/>
        <v>10906.5</v>
      </c>
    </row>
    <row r="41" spans="1:38" x14ac:dyDescent="0.25">
      <c r="A41" s="4">
        <f>Raw!J42</f>
        <v>167</v>
      </c>
      <c r="B41" s="4" t="str">
        <f>Raw!K42</f>
        <v>Center St</v>
      </c>
      <c r="C41" s="4" t="str">
        <f>Raw!L42</f>
        <v>Broadway</v>
      </c>
      <c r="D41" s="4" t="str">
        <f>Raw!M42</f>
        <v>El Camino Real</v>
      </c>
      <c r="E41" s="23" t="str">
        <f>Raw!CG42</f>
        <v>S</v>
      </c>
      <c r="F41" s="7">
        <f>Raw!T42</f>
        <v>6</v>
      </c>
      <c r="G41" s="7">
        <f>Raw!AL42</f>
        <v>0</v>
      </c>
      <c r="H41" s="7">
        <f>Raw!AC42</f>
        <v>0</v>
      </c>
      <c r="I41" s="7">
        <f t="shared" si="0"/>
        <v>0</v>
      </c>
      <c r="J41" s="157">
        <f>Raw!BT42</f>
        <v>3</v>
      </c>
      <c r="K41" s="157">
        <f>Raw!AW42</f>
        <v>14</v>
      </c>
      <c r="L41" s="42">
        <f>IF(Raw!CE42 = "NA", "-", Raw!CE42)</f>
        <v>1.3</v>
      </c>
      <c r="M41" s="42">
        <f>IF(Raw!BH42 = "NA", "-", Raw!BH42)</f>
        <v>3.3</v>
      </c>
      <c r="N41" s="46">
        <f>IF(Raw!CD42 = "NA", "-", Raw!CD42)</f>
        <v>8</v>
      </c>
      <c r="O41" s="46">
        <f>IF(Raw!BG42 = "NA", "-", Raw!BG42)</f>
        <v>20</v>
      </c>
      <c r="P41" s="32">
        <f>IF(Raw!AW42 = "NA", "-", SUMPRODUCT(Raw!$BT$2:$CC$2, Raw!BT42:CC42))</f>
        <v>17</v>
      </c>
      <c r="Q41" s="32">
        <f>IF(Raw!AW42 = "NA", "-", SUMPRODUCT(Raw!$AW$2:$BF$2, Raw!AW42:BF42))</f>
        <v>34</v>
      </c>
      <c r="R41" s="7" t="e" cm="1">
        <f t="array" ref="R41">_xlfn.IFS(S41="YES", "Hourly", T41="YES", "Flat Rate")</f>
        <v>#N/A</v>
      </c>
      <c r="S41" s="8" t="str">
        <f>IF(Raw!CO42=1, "YES", "")</f>
        <v/>
      </c>
      <c r="T41" s="8" t="str">
        <f>IF(Raw!CO42=2, "YES", "")</f>
        <v/>
      </c>
      <c r="U41" s="96" t="str">
        <f>IF(Raw!CP42=1, "YES", "")</f>
        <v/>
      </c>
      <c r="V41" s="96"/>
      <c r="X41" s="23">
        <f>SUMPRODUCT(Raw!$BT$3:$CC$3, Raw!BT42:CC42)</f>
        <v>13</v>
      </c>
      <c r="Y41" s="23">
        <f>SUMPRODUCT(Raw!$BT$3:$CC$3, Raw!BU42:CD42)</f>
        <v>24</v>
      </c>
      <c r="Z41" s="28">
        <f t="shared" si="3"/>
        <v>89</v>
      </c>
      <c r="AA41" s="28">
        <f t="shared" si="4"/>
        <v>4641</v>
      </c>
      <c r="AC41">
        <f t="shared" si="9"/>
        <v>6</v>
      </c>
      <c r="AD41" s="23">
        <f>IF(U41="YES",SUMPRODUCT(Raw!$BT$3:$CC$3,Raw!BT42:CC42)*0.6,SUMPRODUCT(Raw!$BT$3:$CC$3,Raw!BT42:CC42))</f>
        <v>13</v>
      </c>
      <c r="AE41" s="23">
        <f>IF(U41="YES",SUMPRODUCT(Raw!$BT$3:$CC$3,Raw!BU42:CD42)*0.6,SUMPRODUCT(Raw!$BT$3:$CC$3,Raw!BU42:CD42))</f>
        <v>24</v>
      </c>
      <c r="AF41" s="28">
        <f t="shared" si="5"/>
        <v>89</v>
      </c>
      <c r="AG41" s="28">
        <f t="shared" si="6"/>
        <v>4641</v>
      </c>
      <c r="AI41" s="88">
        <f t="shared" si="1"/>
        <v>8</v>
      </c>
      <c r="AJ41" s="88">
        <f t="shared" si="2"/>
        <v>20</v>
      </c>
      <c r="AK41">
        <f t="shared" si="7"/>
        <v>330</v>
      </c>
      <c r="AL41">
        <f t="shared" si="8"/>
        <v>17204</v>
      </c>
    </row>
    <row r="42" spans="1:38" x14ac:dyDescent="0.25">
      <c r="A42" s="4">
        <f>Raw!J43</f>
        <v>111</v>
      </c>
      <c r="B42" s="4" t="str">
        <f>Raw!K43</f>
        <v>El Camino Real</v>
      </c>
      <c r="C42" s="4" t="str">
        <f>Raw!L43</f>
        <v>Center St</v>
      </c>
      <c r="D42" s="4" t="str">
        <f>Raw!M43</f>
        <v>Meadow Glen Ave</v>
      </c>
      <c r="E42" s="23" t="str">
        <f>Raw!CG43</f>
        <v>W</v>
      </c>
      <c r="F42" s="7">
        <f>Raw!T43</f>
        <v>23</v>
      </c>
      <c r="G42" s="7">
        <f>Raw!AL43</f>
        <v>0</v>
      </c>
      <c r="H42" s="7">
        <f>Raw!AC43</f>
        <v>0</v>
      </c>
      <c r="I42" s="7">
        <f t="shared" si="0"/>
        <v>0</v>
      </c>
      <c r="J42" s="157">
        <f>Raw!BT43</f>
        <v>6</v>
      </c>
      <c r="K42" s="157">
        <f>Raw!AW43</f>
        <v>7</v>
      </c>
      <c r="L42" s="42">
        <f>IF(Raw!CE43 = "NA", "-", Raw!CE43)</f>
        <v>0.4</v>
      </c>
      <c r="M42" s="42">
        <f>IF(Raw!BH43 = "NA", "-", Raw!BH43)</f>
        <v>0.4</v>
      </c>
      <c r="N42" s="46">
        <f>IF(Raw!CD43 = "NA", "-", Raw!CD43)</f>
        <v>8</v>
      </c>
      <c r="O42" s="46">
        <f>IF(Raw!BG43 = "NA", "-", Raw!BG43)</f>
        <v>9</v>
      </c>
      <c r="P42" s="32">
        <f>IF(Raw!AW43 = "NA", "-", SUMPRODUCT(Raw!$BT$2:$CC$2, Raw!BT43:CC43))</f>
        <v>21</v>
      </c>
      <c r="Q42" s="32">
        <f>IF(Raw!AW43 = "NA", "-", SUMPRODUCT(Raw!$AW$2:$BF$2, Raw!AW43:BF43))</f>
        <v>11</v>
      </c>
      <c r="R42" s="7" t="str" cm="1">
        <f t="array" ref="R42">_xlfn.IFS(S42="YES", "Hourly", T42="YES", "Flat Rate")</f>
        <v>Hourly</v>
      </c>
      <c r="S42" s="8" t="str">
        <f>IF(Raw!CO43=1, "YES", "")</f>
        <v>YES</v>
      </c>
      <c r="T42" s="8" t="str">
        <f>IF(Raw!CO43=2, "YES", "")</f>
        <v/>
      </c>
      <c r="U42" s="96" t="str">
        <f>IF(Raw!CP43=1, "YES", "")</f>
        <v/>
      </c>
      <c r="V42" s="96"/>
      <c r="X42" s="23">
        <f>SUMPRODUCT(Raw!$BT$3:$CC$3, Raw!BT43:CC43)</f>
        <v>10</v>
      </c>
      <c r="Y42" s="23">
        <f>SUMPRODUCT(Raw!$BT$3:$CC$3, Raw!BU43:CD43)</f>
        <v>20</v>
      </c>
      <c r="Z42" s="28">
        <f t="shared" si="3"/>
        <v>70</v>
      </c>
      <c r="AA42" s="28">
        <f t="shared" si="4"/>
        <v>3650</v>
      </c>
      <c r="AC42">
        <f t="shared" si="9"/>
        <v>23</v>
      </c>
      <c r="AD42" s="23">
        <f>IF(U42="YES",SUMPRODUCT(Raw!$BT$3:$CC$3,Raw!BT43:CC43)*0.6,SUMPRODUCT(Raw!$BT$3:$CC$3,Raw!BT43:CC43))</f>
        <v>10</v>
      </c>
      <c r="AE42" s="23">
        <f>IF(U42="YES",SUMPRODUCT(Raw!$BT$3:$CC$3,Raw!BU43:CD43)*0.6,SUMPRODUCT(Raw!$BT$3:$CC$3,Raw!BU43:CD43))</f>
        <v>20</v>
      </c>
      <c r="AF42" s="28">
        <f t="shared" si="5"/>
        <v>70</v>
      </c>
      <c r="AG42" s="28">
        <f t="shared" si="6"/>
        <v>3650</v>
      </c>
      <c r="AI42" s="88">
        <f t="shared" si="1"/>
        <v>8</v>
      </c>
      <c r="AJ42" s="88">
        <f t="shared" si="2"/>
        <v>9</v>
      </c>
      <c r="AK42">
        <f t="shared" si="7"/>
        <v>269.5</v>
      </c>
      <c r="AL42">
        <f t="shared" si="8"/>
        <v>14058</v>
      </c>
    </row>
    <row r="43" spans="1:38" x14ac:dyDescent="0.25">
      <c r="A43" s="4">
        <f>Raw!J44</f>
        <v>112</v>
      </c>
      <c r="B43" s="4" t="str">
        <f>Raw!K44</f>
        <v>El Camino Real</v>
      </c>
      <c r="C43" s="4" t="str">
        <f>Raw!L44</f>
        <v>Meadow Glen Ave</v>
      </c>
      <c r="D43" s="4" t="str">
        <f>Raw!M44</f>
        <v>Center St</v>
      </c>
      <c r="E43" s="23" t="str">
        <f>Raw!CG44</f>
        <v>E</v>
      </c>
      <c r="F43" s="7">
        <f>Raw!T44</f>
        <v>26</v>
      </c>
      <c r="G43" s="7">
        <f>Raw!AL44</f>
        <v>0</v>
      </c>
      <c r="H43" s="7">
        <f>Raw!AC44</f>
        <v>0</v>
      </c>
      <c r="I43" s="7">
        <f t="shared" si="0"/>
        <v>0</v>
      </c>
      <c r="J43" s="157">
        <f>Raw!BT44</f>
        <v>5</v>
      </c>
      <c r="K43" s="157">
        <f>Raw!AW44</f>
        <v>13</v>
      </c>
      <c r="L43" s="42">
        <f>IF(Raw!CE44 = "NA", "-", Raw!CE44)</f>
        <v>0.3</v>
      </c>
      <c r="M43" s="42">
        <f>IF(Raw!BH44 = "NA", "-", Raw!BH44)</f>
        <v>1.2</v>
      </c>
      <c r="N43" s="46">
        <f>IF(Raw!CD44 = "NA", "-", Raw!CD44)</f>
        <v>9</v>
      </c>
      <c r="O43" s="46">
        <f>IF(Raw!BG44 = "NA", "-", Raw!BG44)</f>
        <v>31</v>
      </c>
      <c r="P43" s="32">
        <f>IF(Raw!AW44 = "NA", "-", SUMPRODUCT(Raw!$BT$2:$CC$2, Raw!BT44:CC44))</f>
        <v>21</v>
      </c>
      <c r="Q43" s="32">
        <f>IF(Raw!AW44 = "NA", "-", SUMPRODUCT(Raw!$AW$2:$BF$2, Raw!AW44:BF44))</f>
        <v>50</v>
      </c>
      <c r="R43" s="7" t="str" cm="1">
        <f t="array" ref="R43">_xlfn.IFS(S43="YES", "Hourly", T43="YES", "Flat Rate")</f>
        <v>Hourly</v>
      </c>
      <c r="S43" s="8" t="str">
        <f>IF(Raw!CO44=1, "YES", "")</f>
        <v>YES</v>
      </c>
      <c r="T43" s="8" t="str">
        <f>IF(Raw!CO44=2, "YES", "")</f>
        <v/>
      </c>
      <c r="U43" s="96" t="str">
        <f>IF(Raw!CP44=1, "YES", "")</f>
        <v/>
      </c>
      <c r="V43" s="96"/>
      <c r="X43" s="23">
        <f>SUMPRODUCT(Raw!$BT$3:$CC$3, Raw!BT44:CC44)</f>
        <v>13</v>
      </c>
      <c r="Y43" s="23">
        <f>SUMPRODUCT(Raw!$BT$3:$CC$3, Raw!BU44:CD44)</f>
        <v>24</v>
      </c>
      <c r="Z43" s="28">
        <f t="shared" si="3"/>
        <v>89</v>
      </c>
      <c r="AA43" s="28">
        <f t="shared" si="4"/>
        <v>4641</v>
      </c>
      <c r="AC43">
        <f t="shared" si="9"/>
        <v>26</v>
      </c>
      <c r="AD43" s="23">
        <f>IF(U43="YES",SUMPRODUCT(Raw!$BT$3:$CC$3,Raw!BT44:CC44)*0.6,SUMPRODUCT(Raw!$BT$3:$CC$3,Raw!BT44:CC44))</f>
        <v>13</v>
      </c>
      <c r="AE43" s="23">
        <f>IF(U43="YES",SUMPRODUCT(Raw!$BT$3:$CC$3,Raw!BU44:CD44)*0.6,SUMPRODUCT(Raw!$BT$3:$CC$3,Raw!BU44:CD44))</f>
        <v>24</v>
      </c>
      <c r="AF43" s="28">
        <f t="shared" si="5"/>
        <v>89</v>
      </c>
      <c r="AG43" s="28">
        <f t="shared" si="6"/>
        <v>4641</v>
      </c>
      <c r="AI43" s="88">
        <f t="shared" si="1"/>
        <v>9</v>
      </c>
      <c r="AJ43" s="88">
        <f t="shared" si="2"/>
        <v>31</v>
      </c>
      <c r="AK43">
        <f t="shared" si="7"/>
        <v>418</v>
      </c>
      <c r="AL43">
        <f t="shared" si="8"/>
        <v>21785.5</v>
      </c>
    </row>
    <row r="44" spans="1:38" x14ac:dyDescent="0.25">
      <c r="A44" s="4">
        <f>Raw!J45</f>
        <v>168</v>
      </c>
      <c r="B44" s="4" t="str">
        <f>Raw!K45</f>
        <v>Parking Lot</v>
      </c>
      <c r="C44" s="4" t="str">
        <f>Raw!L45</f>
        <v>Broadway</v>
      </c>
      <c r="D44" s="4" t="str">
        <f>Raw!M45</f>
        <v>Magnolia Ave</v>
      </c>
      <c r="E44" s="23" t="str">
        <f>Raw!CG45</f>
        <v>N</v>
      </c>
      <c r="F44" s="7">
        <f>Raw!T45</f>
        <v>15</v>
      </c>
      <c r="G44" s="7">
        <f>Raw!AL45</f>
        <v>0</v>
      </c>
      <c r="H44" s="7">
        <f>Raw!AC45</f>
        <v>0</v>
      </c>
      <c r="I44" s="7">
        <f t="shared" si="0"/>
        <v>0</v>
      </c>
      <c r="J44" s="157" t="str">
        <f>Raw!BT45</f>
        <v>NA</v>
      </c>
      <c r="K44" s="157" t="str">
        <f>Raw!AW45</f>
        <v>NA</v>
      </c>
      <c r="L44" s="42" t="str">
        <f>IF(Raw!CE45 = "NA", "-", Raw!CE45)</f>
        <v>-</v>
      </c>
      <c r="M44" s="42" t="str">
        <f>IF(Raw!BH45 = "NA", "-", Raw!BH45)</f>
        <v>-</v>
      </c>
      <c r="N44" s="46" t="str">
        <f>IF(Raw!CD45 = "NA", "-", Raw!CD45)</f>
        <v>-</v>
      </c>
      <c r="O44" s="46" t="str">
        <f>IF(Raw!BG45 = "NA", "-", Raw!BG45)</f>
        <v>-</v>
      </c>
      <c r="P44" s="32" t="str">
        <f>IF(Raw!AW45 = "NA", "-", SUMPRODUCT(Raw!$BT$2:$CC$2, Raw!BT45:CC45))</f>
        <v>-</v>
      </c>
      <c r="Q44" s="32" t="str">
        <f>IF(Raw!AW45 = "NA", "-", SUMPRODUCT(Raw!$AW$2:$BF$2, Raw!AW45:BF45))</f>
        <v>-</v>
      </c>
      <c r="R44" s="7" t="e" cm="1">
        <f t="array" ref="R44">_xlfn.IFS(S44="YES", "Hourly", T44="YES", "Flat Rate")</f>
        <v>#N/A</v>
      </c>
      <c r="S44" s="8" t="str">
        <f>IF(Raw!CO45=1, "YES", "")</f>
        <v/>
      </c>
      <c r="T44" s="8" t="str">
        <f>IF(Raw!CO45=2, "YES", "")</f>
        <v/>
      </c>
      <c r="U44" s="96" t="str">
        <f>IF(Raw!CP45=1, "YES", "")</f>
        <v/>
      </c>
      <c r="V44" s="96"/>
      <c r="X44" s="23">
        <f>SUMPRODUCT(Raw!$BT$3:$CC$3, Raw!BT45:CC45)</f>
        <v>0</v>
      </c>
      <c r="Y44" s="23">
        <f>SUMPRODUCT(Raw!$BT$3:$CC$3, Raw!BU45:CD45)</f>
        <v>0</v>
      </c>
      <c r="Z44" s="28">
        <f t="shared" si="3"/>
        <v>0</v>
      </c>
      <c r="AA44" s="28">
        <f t="shared" si="4"/>
        <v>0</v>
      </c>
      <c r="AC44">
        <f t="shared" si="9"/>
        <v>15</v>
      </c>
      <c r="AD44" s="23">
        <f>IF(U44="YES",SUMPRODUCT(Raw!$BT$3:$CC$3,Raw!BT45:CC45)*0.6,SUMPRODUCT(Raw!$BT$3:$CC$3,Raw!BT45:CC45))</f>
        <v>0</v>
      </c>
      <c r="AE44" s="23">
        <f>IF(U44="YES",SUMPRODUCT(Raw!$BT$3:$CC$3,Raw!BU45:CD45)*0.6,SUMPRODUCT(Raw!$BT$3:$CC$3,Raw!BU45:CD45))</f>
        <v>0</v>
      </c>
      <c r="AF44" s="28">
        <f t="shared" si="5"/>
        <v>0</v>
      </c>
      <c r="AG44" s="28">
        <f t="shared" si="6"/>
        <v>0</v>
      </c>
      <c r="AI44" s="88" t="str">
        <f t="shared" si="1"/>
        <v>-</v>
      </c>
      <c r="AJ44" s="88" t="str">
        <f t="shared" si="2"/>
        <v>-</v>
      </c>
      <c r="AK44" t="e">
        <f t="shared" si="7"/>
        <v>#VALUE!</v>
      </c>
      <c r="AL44" t="e">
        <f t="shared" si="8"/>
        <v>#VALUE!</v>
      </c>
    </row>
    <row r="45" spans="1:38" x14ac:dyDescent="0.25">
      <c r="A45" s="4">
        <f>Raw!J46</f>
        <v>169</v>
      </c>
      <c r="B45" s="4" t="str">
        <f>Raw!K46</f>
        <v>Parking Lot</v>
      </c>
      <c r="C45" s="4" t="str">
        <f>Raw!L46</f>
        <v>Magnolia Ave</v>
      </c>
      <c r="D45" s="4" t="str">
        <f>Raw!M46</f>
        <v>Broadway</v>
      </c>
      <c r="E45" s="23" t="str">
        <f>Raw!CG46</f>
        <v>S</v>
      </c>
      <c r="F45" s="7">
        <f>Raw!T46</f>
        <v>12</v>
      </c>
      <c r="G45" s="7">
        <f>Raw!AL46</f>
        <v>0</v>
      </c>
      <c r="H45" s="7">
        <f>Raw!AC46</f>
        <v>1</v>
      </c>
      <c r="I45" s="7">
        <f t="shared" si="0"/>
        <v>1</v>
      </c>
      <c r="J45" s="157" t="str">
        <f>Raw!BT46</f>
        <v>NA</v>
      </c>
      <c r="K45" s="157" t="str">
        <f>Raw!AW46</f>
        <v>NA</v>
      </c>
      <c r="L45" s="42" t="str">
        <f>IF(Raw!CE46 = "NA", "-", Raw!CE46)</f>
        <v>-</v>
      </c>
      <c r="M45" s="42" t="str">
        <f>IF(Raw!BH46 = "NA", "-", Raw!BH46)</f>
        <v>-</v>
      </c>
      <c r="N45" s="46" t="str">
        <f>IF(Raw!CD46 = "NA", "-", Raw!CD46)</f>
        <v>-</v>
      </c>
      <c r="O45" s="46" t="str">
        <f>IF(Raw!BG46 = "NA", "-", Raw!BG46)</f>
        <v>-</v>
      </c>
      <c r="P45" s="32" t="str">
        <f>IF(Raw!AW46 = "NA", "-", SUMPRODUCT(Raw!$BT$2:$CC$2, Raw!BT46:CC46))</f>
        <v>-</v>
      </c>
      <c r="Q45" s="32" t="str">
        <f>IF(Raw!AW46 = "NA", "-", SUMPRODUCT(Raw!$AW$2:$BF$2, Raw!AW46:BF46))</f>
        <v>-</v>
      </c>
      <c r="R45" s="7" t="e" cm="1">
        <f t="array" ref="R45">_xlfn.IFS(S45="YES", "Hourly", T45="YES", "Flat Rate")</f>
        <v>#N/A</v>
      </c>
      <c r="S45" s="8" t="str">
        <f>IF(Raw!CO46=1, "YES", "")</f>
        <v/>
      </c>
      <c r="T45" s="8" t="str">
        <f>IF(Raw!CO46=2, "YES", "")</f>
        <v/>
      </c>
      <c r="U45" s="96" t="str">
        <f>IF(Raw!CP46=1, "YES", "")</f>
        <v/>
      </c>
      <c r="V45" s="96"/>
      <c r="X45" s="23">
        <f>SUMPRODUCT(Raw!$BT$3:$CC$3, Raw!BT46:CC46)</f>
        <v>0</v>
      </c>
      <c r="Y45" s="23">
        <f>SUMPRODUCT(Raw!$BT$3:$CC$3, Raw!BU46:CD46)</f>
        <v>0</v>
      </c>
      <c r="Z45" s="28">
        <f t="shared" si="3"/>
        <v>0</v>
      </c>
      <c r="AA45" s="28">
        <f t="shared" si="4"/>
        <v>0</v>
      </c>
      <c r="AC45">
        <f t="shared" si="9"/>
        <v>12</v>
      </c>
      <c r="AD45" s="23">
        <f>IF(U45="YES",SUMPRODUCT(Raw!$BT$3:$CC$3,Raw!BT46:CC46)*0.6,SUMPRODUCT(Raw!$BT$3:$CC$3,Raw!BT46:CC46))</f>
        <v>0</v>
      </c>
      <c r="AE45" s="23">
        <f>IF(U45="YES",SUMPRODUCT(Raw!$BT$3:$CC$3,Raw!BU46:CD46)*0.6,SUMPRODUCT(Raw!$BT$3:$CC$3,Raw!BU46:CD46))</f>
        <v>0</v>
      </c>
      <c r="AF45" s="28">
        <f t="shared" si="5"/>
        <v>0</v>
      </c>
      <c r="AG45" s="28">
        <f t="shared" si="6"/>
        <v>0</v>
      </c>
      <c r="AI45" s="88" t="str">
        <f t="shared" si="1"/>
        <v>-</v>
      </c>
      <c r="AJ45" s="88" t="str">
        <f t="shared" si="2"/>
        <v>-</v>
      </c>
      <c r="AK45" t="e">
        <f t="shared" si="7"/>
        <v>#VALUE!</v>
      </c>
      <c r="AL45" t="e">
        <f t="shared" si="8"/>
        <v>#VALUE!</v>
      </c>
    </row>
    <row r="46" spans="1:38" x14ac:dyDescent="0.25">
      <c r="A46" s="4">
        <f>Raw!J47</f>
        <v>45</v>
      </c>
      <c r="B46" s="4" t="str">
        <f>Raw!K47</f>
        <v>Magnolia Ave</v>
      </c>
      <c r="C46" s="4" t="str">
        <f>Raw!L47</f>
        <v>Parking Lot Driveway</v>
      </c>
      <c r="D46" s="4" t="str">
        <f>Raw!M47</f>
        <v>Helen Dr</v>
      </c>
      <c r="E46" s="23" t="str">
        <f>Raw!CG47</f>
        <v>W</v>
      </c>
      <c r="F46" s="7">
        <f>Raw!T47</f>
        <v>3</v>
      </c>
      <c r="G46" s="7">
        <f>Raw!AL47</f>
        <v>3</v>
      </c>
      <c r="H46" s="7">
        <f>Raw!AC47</f>
        <v>3</v>
      </c>
      <c r="I46" s="7">
        <f t="shared" si="0"/>
        <v>6</v>
      </c>
      <c r="J46" s="157" t="str">
        <f>Raw!BT47</f>
        <v>NA</v>
      </c>
      <c r="K46" s="157" t="str">
        <f>Raw!AW47</f>
        <v>NA</v>
      </c>
      <c r="L46" s="42" t="str">
        <f>IF(Raw!CE47 = "NA", "-", Raw!CE47)</f>
        <v>-</v>
      </c>
      <c r="M46" s="42" t="str">
        <f>IF(Raw!BH47 = "NA", "-", Raw!BH47)</f>
        <v>-</v>
      </c>
      <c r="N46" s="46" t="str">
        <f>IF(Raw!CD47 = "NA", "-", Raw!CD47)</f>
        <v>-</v>
      </c>
      <c r="O46" s="46" t="str">
        <f>IF(Raw!BG47 = "NA", "-", Raw!BG47)</f>
        <v>-</v>
      </c>
      <c r="P46" s="32" t="str">
        <f>IF(Raw!AW47 = "NA", "-", SUMPRODUCT(Raw!$BT$2:$CC$2, Raw!BT47:CC47))</f>
        <v>-</v>
      </c>
      <c r="Q46" s="32" t="str">
        <f>IF(Raw!AW47 = "NA", "-", SUMPRODUCT(Raw!$AW$2:$BF$2, Raw!AW47:BF47))</f>
        <v>-</v>
      </c>
      <c r="R46" s="7" t="e" cm="1">
        <f t="array" ref="R46">_xlfn.IFS(S46="YES", "Hourly", T46="YES", "Flat Rate")</f>
        <v>#N/A</v>
      </c>
      <c r="S46" s="8" t="str">
        <f>IF(Raw!CO47=1, "YES", "")</f>
        <v/>
      </c>
      <c r="T46" s="8" t="str">
        <f>IF(Raw!CO47=2, "YES", "")</f>
        <v/>
      </c>
      <c r="U46" s="96" t="str">
        <f>IF(Raw!CP47=1, "YES", "")</f>
        <v/>
      </c>
      <c r="V46" s="96"/>
      <c r="X46" s="23">
        <f>SUMPRODUCT(Raw!$BT$3:$CC$3, Raw!BT47:CC47)</f>
        <v>0</v>
      </c>
      <c r="Y46" s="23">
        <f>SUMPRODUCT(Raw!$BT$3:$CC$3, Raw!BU47:CD47)</f>
        <v>0</v>
      </c>
      <c r="Z46" s="28">
        <f t="shared" si="3"/>
        <v>0</v>
      </c>
      <c r="AA46" s="28">
        <f t="shared" si="4"/>
        <v>0</v>
      </c>
      <c r="AC46">
        <f t="shared" si="9"/>
        <v>3</v>
      </c>
      <c r="AD46" s="23">
        <f>IF(U46="YES",SUMPRODUCT(Raw!$BT$3:$CC$3,Raw!BT47:CC47)*0.6,SUMPRODUCT(Raw!$BT$3:$CC$3,Raw!BT47:CC47))</f>
        <v>0</v>
      </c>
      <c r="AE46" s="23">
        <f>IF(U46="YES",SUMPRODUCT(Raw!$BT$3:$CC$3,Raw!BU47:CD47)*0.6,SUMPRODUCT(Raw!$BT$3:$CC$3,Raw!BU47:CD47))</f>
        <v>0</v>
      </c>
      <c r="AF46" s="28">
        <f t="shared" si="5"/>
        <v>0</v>
      </c>
      <c r="AG46" s="28">
        <f t="shared" si="6"/>
        <v>0</v>
      </c>
      <c r="AI46" s="88" t="str">
        <f t="shared" si="1"/>
        <v>-</v>
      </c>
      <c r="AJ46" s="88" t="str">
        <f t="shared" si="2"/>
        <v>-</v>
      </c>
      <c r="AK46" t="e">
        <f t="shared" si="7"/>
        <v>#VALUE!</v>
      </c>
      <c r="AL46" t="e">
        <f t="shared" si="8"/>
        <v>#VALUE!</v>
      </c>
    </row>
    <row r="47" spans="1:38" x14ac:dyDescent="0.25">
      <c r="A47" s="4">
        <f>Raw!J48</f>
        <v>47</v>
      </c>
      <c r="B47" s="4" t="str">
        <f>Raw!K48</f>
        <v>Magnolia Ave</v>
      </c>
      <c r="C47" s="4" t="str">
        <f>Raw!L48</f>
        <v>Helen Dr</v>
      </c>
      <c r="D47" s="4" t="str">
        <f>Raw!M48</f>
        <v>Anita Dr</v>
      </c>
      <c r="E47" s="23" t="str">
        <f>Raw!CG48</f>
        <v>W</v>
      </c>
      <c r="F47" s="7">
        <f>Raw!T48</f>
        <v>14</v>
      </c>
      <c r="G47" s="7">
        <f>Raw!AL48</f>
        <v>2</v>
      </c>
      <c r="H47" s="7">
        <f>Raw!AC48</f>
        <v>3</v>
      </c>
      <c r="I47" s="7">
        <f t="shared" si="0"/>
        <v>5</v>
      </c>
      <c r="J47" s="157" t="str">
        <f>Raw!BT48</f>
        <v>NA</v>
      </c>
      <c r="K47" s="157" t="str">
        <f>Raw!AW48</f>
        <v>NA</v>
      </c>
      <c r="L47" s="42" t="str">
        <f>IF(Raw!CE48 = "NA", "-", Raw!CE48)</f>
        <v>-</v>
      </c>
      <c r="M47" s="42" t="str">
        <f>IF(Raw!BH48 = "NA", "-", Raw!BH48)</f>
        <v>-</v>
      </c>
      <c r="N47" s="46" t="str">
        <f>IF(Raw!CD48 = "NA", "-", Raw!CD48)</f>
        <v>-</v>
      </c>
      <c r="O47" s="46" t="str">
        <f>IF(Raw!BG48 = "NA", "-", Raw!BG48)</f>
        <v>-</v>
      </c>
      <c r="P47" s="32" t="str">
        <f>IF(Raw!AW48 = "NA", "-", SUMPRODUCT(Raw!$BT$2:$CC$2, Raw!BT48:CC48))</f>
        <v>-</v>
      </c>
      <c r="Q47" s="32" t="str">
        <f>IF(Raw!AW48 = "NA", "-", SUMPRODUCT(Raw!$AW$2:$BF$2, Raw!AW48:BF48))</f>
        <v>-</v>
      </c>
      <c r="R47" s="7" t="e" cm="1">
        <f t="array" ref="R47">_xlfn.IFS(S47="YES", "Hourly", T47="YES", "Flat Rate")</f>
        <v>#N/A</v>
      </c>
      <c r="S47" s="8" t="str">
        <f>IF(Raw!CO48=1, "YES", "")</f>
        <v/>
      </c>
      <c r="T47" s="8" t="str">
        <f>IF(Raw!CO48=2, "YES", "")</f>
        <v/>
      </c>
      <c r="U47" s="96" t="str">
        <f>IF(Raw!CP48=1, "YES", "")</f>
        <v/>
      </c>
      <c r="V47" s="96"/>
      <c r="X47" s="23">
        <f>SUMPRODUCT(Raw!$BT$3:$CC$3, Raw!BT48:CC48)</f>
        <v>0</v>
      </c>
      <c r="Y47" s="23">
        <f>SUMPRODUCT(Raw!$BT$3:$CC$3, Raw!BU48:CD48)</f>
        <v>0</v>
      </c>
      <c r="Z47" s="28">
        <f t="shared" si="3"/>
        <v>0</v>
      </c>
      <c r="AA47" s="28">
        <f t="shared" si="4"/>
        <v>0</v>
      </c>
      <c r="AC47">
        <f t="shared" si="9"/>
        <v>14</v>
      </c>
      <c r="AD47" s="23">
        <f>IF(U47="YES",SUMPRODUCT(Raw!$BT$3:$CC$3,Raw!BT48:CC48)*0.6,SUMPRODUCT(Raw!$BT$3:$CC$3,Raw!BT48:CC48))</f>
        <v>0</v>
      </c>
      <c r="AE47" s="23">
        <f>IF(U47="YES",SUMPRODUCT(Raw!$BT$3:$CC$3,Raw!BU48:CD48)*0.6,SUMPRODUCT(Raw!$BT$3:$CC$3,Raw!BU48:CD48))</f>
        <v>0</v>
      </c>
      <c r="AF47" s="28">
        <f t="shared" si="5"/>
        <v>0</v>
      </c>
      <c r="AG47" s="28">
        <f t="shared" si="6"/>
        <v>0</v>
      </c>
      <c r="AI47" s="88" t="str">
        <f t="shared" si="1"/>
        <v>-</v>
      </c>
      <c r="AJ47" s="88" t="str">
        <f t="shared" si="2"/>
        <v>-</v>
      </c>
      <c r="AK47" t="e">
        <f t="shared" si="7"/>
        <v>#VALUE!</v>
      </c>
      <c r="AL47" t="e">
        <f t="shared" si="8"/>
        <v>#VALUE!</v>
      </c>
    </row>
    <row r="48" spans="1:38" x14ac:dyDescent="0.25">
      <c r="A48" s="4">
        <f>Raw!J49</f>
        <v>46</v>
      </c>
      <c r="B48" s="4" t="str">
        <f>Raw!K49</f>
        <v>Magnolia Ave</v>
      </c>
      <c r="C48" s="4" t="str">
        <f>Raw!L49</f>
        <v>Meadow Glen Ave</v>
      </c>
      <c r="D48" s="4" t="str">
        <f>Raw!M49</f>
        <v>Parking Lot Driveway</v>
      </c>
      <c r="E48" s="23" t="str">
        <f>Raw!CG49</f>
        <v>E</v>
      </c>
      <c r="F48" s="7">
        <f>Raw!T49</f>
        <v>12</v>
      </c>
      <c r="G48" s="7">
        <f>Raw!AL49</f>
        <v>0</v>
      </c>
      <c r="H48" s="7">
        <f>Raw!AC49</f>
        <v>3</v>
      </c>
      <c r="I48" s="7">
        <f t="shared" si="0"/>
        <v>3</v>
      </c>
      <c r="J48" s="157" t="str">
        <f>Raw!BT49</f>
        <v>NA</v>
      </c>
      <c r="K48" s="157" t="str">
        <f>Raw!AW49</f>
        <v>NA</v>
      </c>
      <c r="L48" s="42" t="str">
        <f>IF(Raw!CE49 = "NA", "-", Raw!CE49)</f>
        <v>-</v>
      </c>
      <c r="M48" s="42" t="str">
        <f>IF(Raw!BH49 = "NA", "-", Raw!BH49)</f>
        <v>-</v>
      </c>
      <c r="N48" s="46" t="str">
        <f>IF(Raw!CD49 = "NA", "-", Raw!CD49)</f>
        <v>-</v>
      </c>
      <c r="O48" s="46" t="str">
        <f>IF(Raw!BG49 = "NA", "-", Raw!BG49)</f>
        <v>-</v>
      </c>
      <c r="P48" s="32" t="str">
        <f>IF(Raw!AW49 = "NA", "-", SUMPRODUCT(Raw!$BT$2:$CC$2, Raw!BT49:CC49))</f>
        <v>-</v>
      </c>
      <c r="Q48" s="32" t="str">
        <f>IF(Raw!AW49 = "NA", "-", SUMPRODUCT(Raw!$AW$2:$BF$2, Raw!AW49:BF49))</f>
        <v>-</v>
      </c>
      <c r="R48" s="7" t="e" cm="1">
        <f t="array" ref="R48">_xlfn.IFS(S48="YES", "Hourly", T48="YES", "Flat Rate")</f>
        <v>#N/A</v>
      </c>
      <c r="S48" s="8" t="str">
        <f>IF(Raw!CO49=1, "YES", "")</f>
        <v/>
      </c>
      <c r="T48" s="8" t="str">
        <f>IF(Raw!CO49=2, "YES", "")</f>
        <v/>
      </c>
      <c r="U48" s="96" t="str">
        <f>IF(Raw!CP49=1, "YES", "")</f>
        <v/>
      </c>
      <c r="V48" s="96"/>
      <c r="X48" s="23">
        <f>SUMPRODUCT(Raw!$BT$3:$CC$3, Raw!BT49:CC49)</f>
        <v>0</v>
      </c>
      <c r="Y48" s="23">
        <f>SUMPRODUCT(Raw!$BT$3:$CC$3, Raw!BU49:CD49)</f>
        <v>0</v>
      </c>
      <c r="Z48" s="28">
        <f t="shared" si="3"/>
        <v>0</v>
      </c>
      <c r="AA48" s="28">
        <f t="shared" si="4"/>
        <v>0</v>
      </c>
      <c r="AC48">
        <f t="shared" si="9"/>
        <v>12</v>
      </c>
      <c r="AD48" s="23">
        <f>IF(U48="YES",SUMPRODUCT(Raw!$BT$3:$CC$3,Raw!BT49:CC49)*0.6,SUMPRODUCT(Raw!$BT$3:$CC$3,Raw!BT49:CC49))</f>
        <v>0</v>
      </c>
      <c r="AE48" s="23">
        <f>IF(U48="YES",SUMPRODUCT(Raw!$BT$3:$CC$3,Raw!BU49:CD49)*0.6,SUMPRODUCT(Raw!$BT$3:$CC$3,Raw!BU49:CD49))</f>
        <v>0</v>
      </c>
      <c r="AF48" s="28">
        <f t="shared" si="5"/>
        <v>0</v>
      </c>
      <c r="AG48" s="28">
        <f t="shared" si="6"/>
        <v>0</v>
      </c>
      <c r="AI48" s="88" t="str">
        <f t="shared" si="1"/>
        <v>-</v>
      </c>
      <c r="AJ48" s="88" t="str">
        <f t="shared" si="2"/>
        <v>-</v>
      </c>
      <c r="AK48" t="e">
        <f t="shared" si="7"/>
        <v>#VALUE!</v>
      </c>
      <c r="AL48" t="e">
        <f t="shared" si="8"/>
        <v>#VALUE!</v>
      </c>
    </row>
    <row r="49" spans="1:38" x14ac:dyDescent="0.25">
      <c r="A49" s="4">
        <f>Raw!J50</f>
        <v>170</v>
      </c>
      <c r="B49" s="4" t="str">
        <f>Raw!K50</f>
        <v>Meadow Glen Ave</v>
      </c>
      <c r="C49" s="4" t="str">
        <f>Raw!L50</f>
        <v>Broadway</v>
      </c>
      <c r="D49" s="4" t="str">
        <f>Raw!M50</f>
        <v>Magnolia Ave</v>
      </c>
      <c r="E49" s="23" t="str">
        <f>Raw!CG50</f>
        <v>N</v>
      </c>
      <c r="F49" s="7">
        <f>Raw!T50</f>
        <v>8</v>
      </c>
      <c r="G49" s="7">
        <f>Raw!AL50</f>
        <v>3</v>
      </c>
      <c r="H49" s="7">
        <f>Raw!AC50</f>
        <v>1</v>
      </c>
      <c r="I49" s="7">
        <f t="shared" si="0"/>
        <v>4</v>
      </c>
      <c r="J49" s="157" t="str">
        <f>Raw!BT50</f>
        <v>NA</v>
      </c>
      <c r="K49" s="157" t="str">
        <f>Raw!AW50</f>
        <v>NA</v>
      </c>
      <c r="L49" s="42" t="str">
        <f>IF(Raw!CE50 = "NA", "-", Raw!CE50)</f>
        <v>-</v>
      </c>
      <c r="M49" s="42" t="str">
        <f>IF(Raw!BH50 = "NA", "-", Raw!BH50)</f>
        <v>-</v>
      </c>
      <c r="N49" s="46" t="str">
        <f>IF(Raw!CD50 = "NA", "-", Raw!CD50)</f>
        <v>-</v>
      </c>
      <c r="O49" s="46" t="str">
        <f>IF(Raw!BG50 = "NA", "-", Raw!BG50)</f>
        <v>-</v>
      </c>
      <c r="P49" s="32" t="str">
        <f>IF(Raw!AW50 = "NA", "-", SUMPRODUCT(Raw!$BT$2:$CC$2, Raw!BT50:CC50))</f>
        <v>-</v>
      </c>
      <c r="Q49" s="32" t="str">
        <f>IF(Raw!AW50 = "NA", "-", SUMPRODUCT(Raw!$AW$2:$BF$2, Raw!AW50:BF50))</f>
        <v>-</v>
      </c>
      <c r="R49" s="7" t="e" cm="1">
        <f t="array" ref="R49">_xlfn.IFS(S49="YES", "Hourly", T49="YES", "Flat Rate")</f>
        <v>#N/A</v>
      </c>
      <c r="S49" s="8" t="str">
        <f>IF(Raw!CO50=1, "YES", "")</f>
        <v/>
      </c>
      <c r="T49" s="8" t="str">
        <f>IF(Raw!CO50=2, "YES", "")</f>
        <v/>
      </c>
      <c r="U49" s="96" t="str">
        <f>IF(Raw!CP50=1, "YES", "")</f>
        <v/>
      </c>
      <c r="V49" s="96"/>
      <c r="X49" s="23">
        <f>SUMPRODUCT(Raw!$BT$3:$CC$3, Raw!BT50:CC50)</f>
        <v>0</v>
      </c>
      <c r="Y49" s="23">
        <f>SUMPRODUCT(Raw!$BT$3:$CC$3, Raw!BU50:CD50)</f>
        <v>0</v>
      </c>
      <c r="Z49" s="28">
        <f t="shared" si="3"/>
        <v>0</v>
      </c>
      <c r="AA49" s="28">
        <f t="shared" si="4"/>
        <v>0</v>
      </c>
      <c r="AC49">
        <f t="shared" si="9"/>
        <v>8</v>
      </c>
      <c r="AD49" s="23">
        <f>IF(U49="YES",SUMPRODUCT(Raw!$BT$3:$CC$3,Raw!BT50:CC50)*0.6,SUMPRODUCT(Raw!$BT$3:$CC$3,Raw!BT50:CC50))</f>
        <v>0</v>
      </c>
      <c r="AE49" s="23">
        <f>IF(U49="YES",SUMPRODUCT(Raw!$BT$3:$CC$3,Raw!BU50:CD50)*0.6,SUMPRODUCT(Raw!$BT$3:$CC$3,Raw!BU50:CD50))</f>
        <v>0</v>
      </c>
      <c r="AF49" s="28">
        <f t="shared" si="5"/>
        <v>0</v>
      </c>
      <c r="AG49" s="28">
        <f t="shared" si="6"/>
        <v>0</v>
      </c>
      <c r="AI49" s="88" t="str">
        <f t="shared" si="1"/>
        <v>-</v>
      </c>
      <c r="AJ49" s="88" t="str">
        <f t="shared" si="2"/>
        <v>-</v>
      </c>
      <c r="AK49" t="e">
        <f t="shared" si="7"/>
        <v>#VALUE!</v>
      </c>
      <c r="AL49" t="e">
        <f t="shared" si="8"/>
        <v>#VALUE!</v>
      </c>
    </row>
    <row r="50" spans="1:38" x14ac:dyDescent="0.25">
      <c r="A50" s="4">
        <f>Raw!J51</f>
        <v>79</v>
      </c>
      <c r="B50" s="4" t="str">
        <f>Raw!K51</f>
        <v>Broadway</v>
      </c>
      <c r="C50" s="4" t="str">
        <f>Raw!L51</f>
        <v>Parking Lot</v>
      </c>
      <c r="D50" s="4" t="str">
        <f>Raw!M51</f>
        <v>Meadow Glen Ave</v>
      </c>
      <c r="E50" s="23" t="str">
        <f>Raw!CG51</f>
        <v>W</v>
      </c>
      <c r="F50" s="7">
        <f>Raw!T51</f>
        <v>18</v>
      </c>
      <c r="G50" s="7">
        <f>Raw!AL51</f>
        <v>0</v>
      </c>
      <c r="H50" s="7">
        <f>Raw!AC51</f>
        <v>0</v>
      </c>
      <c r="I50" s="7">
        <f t="shared" si="0"/>
        <v>0</v>
      </c>
      <c r="J50" s="157">
        <f>Raw!BT51</f>
        <v>13</v>
      </c>
      <c r="K50" s="157">
        <f>Raw!AW51</f>
        <v>22</v>
      </c>
      <c r="L50" s="42">
        <f>IF(Raw!CE51 = "NA", "-", Raw!CE51)</f>
        <v>1.5</v>
      </c>
      <c r="M50" s="42">
        <f>IF(Raw!BH51 = "NA", "-", Raw!BH51)</f>
        <v>1.8</v>
      </c>
      <c r="N50" s="46">
        <f>IF(Raw!CD51 = "NA", "-", Raw!CD51)</f>
        <v>27</v>
      </c>
      <c r="O50" s="46">
        <f>IF(Raw!BG51 = "NA", "-", Raw!BG51)</f>
        <v>32</v>
      </c>
      <c r="P50" s="32">
        <f>IF(Raw!AW51 = "NA", "-", SUMPRODUCT(Raw!$BT$2:$CC$2, Raw!BT51:CC51))</f>
        <v>63</v>
      </c>
      <c r="Q50" s="32">
        <f>IF(Raw!AW51 = "NA", "-", SUMPRODUCT(Raw!$AW$2:$BF$2, Raw!AW51:BF51))</f>
        <v>54</v>
      </c>
      <c r="R50" s="7" t="e" cm="1">
        <f t="array" ref="R50">_xlfn.IFS(S50="YES", "Hourly", T50="YES", "Flat Rate")</f>
        <v>#N/A</v>
      </c>
      <c r="S50" s="8" t="str">
        <f>IF(Raw!CO51=1, "YES", "")</f>
        <v/>
      </c>
      <c r="T50" s="8" t="str">
        <f>IF(Raw!CO51=2, "YES", "")</f>
        <v/>
      </c>
      <c r="U50" s="96" t="str">
        <f>IF(Raw!CP51=1, "YES", "")</f>
        <v/>
      </c>
      <c r="V50" s="96"/>
      <c r="X50" s="23">
        <f>SUMPRODUCT(Raw!$BT$3:$CC$3, Raw!BT51:CC51)</f>
        <v>41</v>
      </c>
      <c r="Y50" s="23">
        <f>SUMPRODUCT(Raw!$BT$3:$CC$3, Raw!BU51:CD51)</f>
        <v>76</v>
      </c>
      <c r="Z50" s="28">
        <f t="shared" si="3"/>
        <v>281</v>
      </c>
      <c r="AA50" s="28">
        <f t="shared" si="4"/>
        <v>14653</v>
      </c>
      <c r="AC50">
        <f t="shared" si="9"/>
        <v>18</v>
      </c>
      <c r="AD50" s="23">
        <f>IF(U50="YES",SUMPRODUCT(Raw!$BT$3:$CC$3,Raw!BT51:CC51)*0.6,SUMPRODUCT(Raw!$BT$3:$CC$3,Raw!BT51:CC51))</f>
        <v>41</v>
      </c>
      <c r="AE50" s="23">
        <f>IF(U50="YES",SUMPRODUCT(Raw!$BT$3:$CC$3,Raw!BU51:CD51)*0.6,SUMPRODUCT(Raw!$BT$3:$CC$3,Raw!BU51:CD51))</f>
        <v>76</v>
      </c>
      <c r="AF50" s="28">
        <f t="shared" si="5"/>
        <v>281</v>
      </c>
      <c r="AG50" s="28">
        <f t="shared" si="6"/>
        <v>14653</v>
      </c>
      <c r="AI50" s="88">
        <f t="shared" si="1"/>
        <v>27</v>
      </c>
      <c r="AJ50" s="88">
        <f t="shared" si="2"/>
        <v>32</v>
      </c>
      <c r="AK50">
        <f t="shared" si="7"/>
        <v>918.5</v>
      </c>
      <c r="AL50">
        <f t="shared" si="8"/>
        <v>47910.5</v>
      </c>
    </row>
    <row r="51" spans="1:38" x14ac:dyDescent="0.25">
      <c r="A51" s="4">
        <f>Raw!J52</f>
        <v>172</v>
      </c>
      <c r="B51" s="4" t="str">
        <f>Raw!K52</f>
        <v>Meadow Glen Ave</v>
      </c>
      <c r="C51" s="4" t="str">
        <f>Raw!L52</f>
        <v>El Camino Real</v>
      </c>
      <c r="D51" s="4" t="str">
        <f>Raw!M52</f>
        <v>Broadway</v>
      </c>
      <c r="E51" s="23" t="str">
        <f>Raw!CG52</f>
        <v>N</v>
      </c>
      <c r="F51" s="7">
        <f>Raw!T52</f>
        <v>3</v>
      </c>
      <c r="G51" s="7">
        <f>Raw!AL52</f>
        <v>1</v>
      </c>
      <c r="H51" s="7">
        <f>Raw!AC52</f>
        <v>1</v>
      </c>
      <c r="I51" s="7">
        <f t="shared" si="0"/>
        <v>2</v>
      </c>
      <c r="J51" s="157">
        <f>Raw!BT52</f>
        <v>5</v>
      </c>
      <c r="K51" s="157">
        <f>Raw!AW52</f>
        <v>7</v>
      </c>
      <c r="L51" s="42">
        <f>IF(Raw!CE52 = "NA", "-", Raw!CE52)</f>
        <v>2.4</v>
      </c>
      <c r="M51" s="42">
        <f>IF(Raw!BH52 = "NA", "-", Raw!BH52)</f>
        <v>2.6</v>
      </c>
      <c r="N51" s="46">
        <f>IF(Raw!CD52 = "NA", "-", Raw!CD52)</f>
        <v>8</v>
      </c>
      <c r="O51" s="46">
        <f>IF(Raw!BG52 = "NA", "-", Raw!BG52)</f>
        <v>9</v>
      </c>
      <c r="P51" s="32">
        <f>IF(Raw!AW52 = "NA", "-", SUMPRODUCT(Raw!$BT$2:$CC$2, Raw!BT52:CC52))</f>
        <v>17</v>
      </c>
      <c r="Q51" s="32">
        <f>IF(Raw!AW52 = "NA", "-", SUMPRODUCT(Raw!$AW$2:$BF$2, Raw!AW52:BF52))</f>
        <v>13</v>
      </c>
      <c r="R51" s="7" t="str" cm="1">
        <f t="array" ref="R51">_xlfn.IFS(S51="YES", "Hourly", T51="YES", "Flat Rate")</f>
        <v>Hourly</v>
      </c>
      <c r="S51" s="8" t="str">
        <f>IF(Raw!CO52=1, "YES", "")</f>
        <v>YES</v>
      </c>
      <c r="T51" s="8" t="str">
        <f>IF(Raw!CO52=2, "YES", "")</f>
        <v/>
      </c>
      <c r="U51" s="96" t="str">
        <f>IF(Raw!CP52=1, "YES", "")</f>
        <v/>
      </c>
      <c r="V51" s="96"/>
      <c r="X51" s="23">
        <f>SUMPRODUCT(Raw!$BT$3:$CC$3, Raw!BT52:CC52)</f>
        <v>11</v>
      </c>
      <c r="Y51" s="23">
        <f>SUMPRODUCT(Raw!$BT$3:$CC$3, Raw!BU52:CD52)</f>
        <v>21</v>
      </c>
      <c r="Z51" s="28">
        <f t="shared" si="3"/>
        <v>76</v>
      </c>
      <c r="AA51" s="28">
        <f t="shared" si="4"/>
        <v>3963</v>
      </c>
      <c r="AC51">
        <f t="shared" si="9"/>
        <v>3</v>
      </c>
      <c r="AD51" s="23">
        <f>IF(U51="YES",SUMPRODUCT(Raw!$BT$3:$CC$3,Raw!BT52:CC52)*0.6,SUMPRODUCT(Raw!$BT$3:$CC$3,Raw!BT52:CC52))</f>
        <v>11</v>
      </c>
      <c r="AE51" s="23">
        <f>IF(U51="YES",SUMPRODUCT(Raw!$BT$3:$CC$3,Raw!BU52:CD52)*0.6,SUMPRODUCT(Raw!$BT$3:$CC$3,Raw!BU52:CD52))</f>
        <v>21</v>
      </c>
      <c r="AF51" s="28">
        <f t="shared" si="5"/>
        <v>76</v>
      </c>
      <c r="AG51" s="28">
        <f t="shared" si="6"/>
        <v>3963</v>
      </c>
      <c r="AI51" s="88">
        <f t="shared" si="1"/>
        <v>8</v>
      </c>
      <c r="AJ51" s="88">
        <f t="shared" si="2"/>
        <v>9</v>
      </c>
      <c r="AK51">
        <f t="shared" si="7"/>
        <v>269.5</v>
      </c>
      <c r="AL51">
        <f t="shared" si="8"/>
        <v>14058</v>
      </c>
    </row>
    <row r="52" spans="1:38" x14ac:dyDescent="0.25">
      <c r="A52" s="4">
        <f>Raw!J53</f>
        <v>49</v>
      </c>
      <c r="B52" s="4" t="str">
        <f>Raw!K53</f>
        <v>Magnolia Ave</v>
      </c>
      <c r="C52" s="4" t="str">
        <f>Raw!L53</f>
        <v>Anita Dr</v>
      </c>
      <c r="D52" s="4" t="str">
        <f>Raw!M53</f>
        <v>Richmond Dr</v>
      </c>
      <c r="E52" s="23" t="str">
        <f>Raw!CG53</f>
        <v>W</v>
      </c>
      <c r="F52" s="7">
        <f>Raw!T53</f>
        <v>2</v>
      </c>
      <c r="G52" s="7">
        <f>Raw!AL53</f>
        <v>0</v>
      </c>
      <c r="H52" s="7">
        <f>Raw!AC53</f>
        <v>0</v>
      </c>
      <c r="I52" s="7">
        <f t="shared" si="0"/>
        <v>0</v>
      </c>
      <c r="J52" s="157">
        <f>Raw!BT53</f>
        <v>0</v>
      </c>
      <c r="K52" s="157">
        <f>Raw!AW53</f>
        <v>2</v>
      </c>
      <c r="L52" s="42">
        <f>IF(Raw!CE53 = "NA", "-", Raw!CE53)</f>
        <v>2</v>
      </c>
      <c r="M52" s="42">
        <f>IF(Raw!BH53 = "NA", "-", Raw!BH53)</f>
        <v>2</v>
      </c>
      <c r="N52" s="46">
        <f>IF(Raw!CD53 = "NA", "-", Raw!CD53)</f>
        <v>3</v>
      </c>
      <c r="O52" s="46">
        <f>IF(Raw!BG53 = "NA", "-", Raw!BG53)</f>
        <v>3</v>
      </c>
      <c r="P52" s="32">
        <f>IF(Raw!AW53 = "NA", "-", SUMPRODUCT(Raw!$BT$2:$CC$2, Raw!BT53:CC53))</f>
        <v>12</v>
      </c>
      <c r="Q52" s="32">
        <f>IF(Raw!AW53 = "NA", "-", SUMPRODUCT(Raw!$AW$2:$BF$2, Raw!AW53:BF53))</f>
        <v>12</v>
      </c>
      <c r="R52" s="7" t="e" cm="1">
        <f t="array" ref="R52">_xlfn.IFS(S52="YES", "Hourly", T52="YES", "Flat Rate")</f>
        <v>#N/A</v>
      </c>
      <c r="S52" s="8" t="str">
        <f>IF(Raw!CO53=1, "YES", "")</f>
        <v/>
      </c>
      <c r="T52" s="8" t="str">
        <f>IF(Raw!CO53=2, "YES", "")</f>
        <v/>
      </c>
      <c r="U52" s="96" t="str">
        <f>IF(Raw!CP53=1, "YES", "")</f>
        <v/>
      </c>
      <c r="V52" s="96"/>
      <c r="X52" s="23">
        <f>SUMPRODUCT(Raw!$BT$3:$CC$3, Raw!BT53:CC53)</f>
        <v>6</v>
      </c>
      <c r="Y52" s="23">
        <f>SUMPRODUCT(Raw!$BT$3:$CC$3, Raw!BU53:CD53)</f>
        <v>11</v>
      </c>
      <c r="Z52" s="28">
        <f t="shared" si="3"/>
        <v>41</v>
      </c>
      <c r="AA52" s="28">
        <f t="shared" si="4"/>
        <v>2138</v>
      </c>
      <c r="AC52">
        <f t="shared" si="9"/>
        <v>2</v>
      </c>
      <c r="AD52" s="23">
        <f>IF(U52="YES",SUMPRODUCT(Raw!$BT$3:$CC$3,Raw!BT53:CC53)*0.6,SUMPRODUCT(Raw!$BT$3:$CC$3,Raw!BT53:CC53))</f>
        <v>6</v>
      </c>
      <c r="AE52" s="23">
        <f>IF(U52="YES",SUMPRODUCT(Raw!$BT$3:$CC$3,Raw!BU53:CD53)*0.6,SUMPRODUCT(Raw!$BT$3:$CC$3,Raw!BU53:CD53))</f>
        <v>11</v>
      </c>
      <c r="AF52" s="28">
        <f t="shared" si="5"/>
        <v>41</v>
      </c>
      <c r="AG52" s="28">
        <f t="shared" si="6"/>
        <v>2138</v>
      </c>
      <c r="AI52" s="88">
        <f t="shared" si="1"/>
        <v>3</v>
      </c>
      <c r="AJ52" s="88">
        <f t="shared" si="2"/>
        <v>3</v>
      </c>
      <c r="AK52">
        <f t="shared" si="7"/>
        <v>99</v>
      </c>
      <c r="AL52">
        <f t="shared" si="8"/>
        <v>5164.5</v>
      </c>
    </row>
    <row r="53" spans="1:38" x14ac:dyDescent="0.25">
      <c r="A53" s="4">
        <f>Raw!J54</f>
        <v>171</v>
      </c>
      <c r="B53" s="4" t="str">
        <f>Raw!K54</f>
        <v>Meadow Glen Ave</v>
      </c>
      <c r="C53" s="4" t="str">
        <f>Raw!L54</f>
        <v>Magnolia Ave</v>
      </c>
      <c r="D53" s="4" t="str">
        <f>Raw!M54</f>
        <v>Broadway</v>
      </c>
      <c r="E53" s="23" t="str">
        <f>Raw!CG54</f>
        <v>S</v>
      </c>
      <c r="F53" s="7">
        <f>Raw!T54</f>
        <v>10</v>
      </c>
      <c r="G53" s="7">
        <f>Raw!AL54</f>
        <v>2</v>
      </c>
      <c r="H53" s="7">
        <f>Raw!AC54</f>
        <v>0</v>
      </c>
      <c r="I53" s="7">
        <f t="shared" si="0"/>
        <v>2</v>
      </c>
      <c r="J53" s="157" t="str">
        <f>Raw!BT54</f>
        <v>NA</v>
      </c>
      <c r="K53" s="157" t="str">
        <f>Raw!AW54</f>
        <v>NA</v>
      </c>
      <c r="L53" s="42" t="str">
        <f>IF(Raw!CE54 = "NA", "-", Raw!CE54)</f>
        <v>-</v>
      </c>
      <c r="M53" s="42" t="str">
        <f>IF(Raw!BH54 = "NA", "-", Raw!BH54)</f>
        <v>-</v>
      </c>
      <c r="N53" s="46" t="str">
        <f>IF(Raw!CD54 = "NA", "-", Raw!CD54)</f>
        <v>-</v>
      </c>
      <c r="O53" s="46" t="str">
        <f>IF(Raw!BG54 = "NA", "-", Raw!BG54)</f>
        <v>-</v>
      </c>
      <c r="P53" s="32" t="str">
        <f>IF(Raw!AW54 = "NA", "-", SUMPRODUCT(Raw!$BT$2:$CC$2, Raw!BT54:CC54))</f>
        <v>-</v>
      </c>
      <c r="Q53" s="32" t="str">
        <f>IF(Raw!AW54 = "NA", "-", SUMPRODUCT(Raw!$AW$2:$BF$2, Raw!AW54:BF54))</f>
        <v>-</v>
      </c>
      <c r="R53" s="7" t="e" cm="1">
        <f t="array" ref="R53">_xlfn.IFS(S53="YES", "Hourly", T53="YES", "Flat Rate")</f>
        <v>#N/A</v>
      </c>
      <c r="S53" s="8" t="str">
        <f>IF(Raw!CO54=1, "YES", "")</f>
        <v/>
      </c>
      <c r="T53" s="8" t="str">
        <f>IF(Raw!CO54=2, "YES", "")</f>
        <v/>
      </c>
      <c r="U53" s="96" t="str">
        <f>IF(Raw!CP54=1, "YES", "")</f>
        <v/>
      </c>
      <c r="V53" s="96"/>
      <c r="X53" s="23">
        <f>SUMPRODUCT(Raw!$BT$3:$CC$3, Raw!BT54:CC54)</f>
        <v>0</v>
      </c>
      <c r="Y53" s="23">
        <f>SUMPRODUCT(Raw!$BT$3:$CC$3, Raw!BU54:CD54)</f>
        <v>0</v>
      </c>
      <c r="Z53" s="28">
        <f t="shared" si="3"/>
        <v>0</v>
      </c>
      <c r="AA53" s="28">
        <f t="shared" si="4"/>
        <v>0</v>
      </c>
      <c r="AC53">
        <f t="shared" si="9"/>
        <v>10</v>
      </c>
      <c r="AD53" s="23">
        <f>IF(U53="YES",SUMPRODUCT(Raw!$BT$3:$CC$3,Raw!BT54:CC54)*0.6,SUMPRODUCT(Raw!$BT$3:$CC$3,Raw!BT54:CC54))</f>
        <v>0</v>
      </c>
      <c r="AE53" s="23">
        <f>IF(U53="YES",SUMPRODUCT(Raw!$BT$3:$CC$3,Raw!BU54:CD54)*0.6,SUMPRODUCT(Raw!$BT$3:$CC$3,Raw!BU54:CD54))</f>
        <v>0</v>
      </c>
      <c r="AF53" s="28">
        <f t="shared" si="5"/>
        <v>0</v>
      </c>
      <c r="AG53" s="28">
        <f t="shared" si="6"/>
        <v>0</v>
      </c>
      <c r="AI53" s="88" t="str">
        <f t="shared" si="1"/>
        <v>-</v>
      </c>
      <c r="AJ53" s="88" t="str">
        <f t="shared" si="2"/>
        <v>-</v>
      </c>
      <c r="AK53" t="e">
        <f t="shared" si="7"/>
        <v>#VALUE!</v>
      </c>
      <c r="AL53" t="e">
        <f t="shared" si="8"/>
        <v>#VALUE!</v>
      </c>
    </row>
    <row r="54" spans="1:38" x14ac:dyDescent="0.25">
      <c r="A54" s="4">
        <f>Raw!J55</f>
        <v>48</v>
      </c>
      <c r="B54" s="4" t="str">
        <f>Raw!K55</f>
        <v>Magnolia Ave</v>
      </c>
      <c r="C54" s="4" t="str">
        <f>Raw!L55</f>
        <v>Library Ave</v>
      </c>
      <c r="D54" s="4" t="str">
        <f>Raw!M55</f>
        <v>Meadow Glen Ave</v>
      </c>
      <c r="E54" s="23" t="str">
        <f>Raw!CG55</f>
        <v>E</v>
      </c>
      <c r="F54" s="7">
        <f>Raw!T55</f>
        <v>27</v>
      </c>
      <c r="G54" s="7">
        <f>Raw!AL55</f>
        <v>0</v>
      </c>
      <c r="H54" s="7">
        <f>Raw!AC55</f>
        <v>0</v>
      </c>
      <c r="I54" s="7">
        <f t="shared" si="0"/>
        <v>0</v>
      </c>
      <c r="J54" s="157">
        <f>Raw!BT55</f>
        <v>16</v>
      </c>
      <c r="K54" s="157">
        <f>Raw!AW55</f>
        <v>5</v>
      </c>
      <c r="L54" s="42">
        <f>IF(Raw!CE55 = "NA", "-", Raw!CE55)</f>
        <v>1.4</v>
      </c>
      <c r="M54" s="42">
        <f>IF(Raw!BH55 = "NA", "-", Raw!BH55)</f>
        <v>0.9</v>
      </c>
      <c r="N54" s="46">
        <f>IF(Raw!CD55 = "NA", "-", Raw!CD55)</f>
        <v>36</v>
      </c>
      <c r="O54" s="46">
        <f>IF(Raw!BG55 = "NA", "-", Raw!BG55)</f>
        <v>24</v>
      </c>
      <c r="P54" s="32">
        <f>IF(Raw!AW55 = "NA", "-", SUMPRODUCT(Raw!$BT$2:$CC$2, Raw!BT55:CC55))</f>
        <v>75</v>
      </c>
      <c r="Q54" s="32">
        <f>IF(Raw!AW55 = "NA", "-", SUMPRODUCT(Raw!$AW$2:$BF$2, Raw!AW55:BF55))</f>
        <v>137</v>
      </c>
      <c r="R54" s="7" t="e" cm="1">
        <f t="array" ref="R54">_xlfn.IFS(S54="YES", "Hourly", T54="YES", "Flat Rate")</f>
        <v>#N/A</v>
      </c>
      <c r="S54" s="8" t="str">
        <f>IF(Raw!CO55=1, "YES", "")</f>
        <v/>
      </c>
      <c r="T54" s="8" t="str">
        <f>IF(Raw!CO55=2, "YES", "")</f>
        <v/>
      </c>
      <c r="U54" s="96" t="str">
        <f>IF(Raw!CP55=1, "YES", "")</f>
        <v/>
      </c>
      <c r="V54" s="96"/>
      <c r="X54" s="23">
        <f>SUMPRODUCT(Raw!$BT$3:$CC$3, Raw!BT55:CC55)</f>
        <v>56</v>
      </c>
      <c r="Y54" s="23">
        <f>SUMPRODUCT(Raw!$BT$3:$CC$3, Raw!BU55:CD55)</f>
        <v>104</v>
      </c>
      <c r="Z54" s="28">
        <f t="shared" si="3"/>
        <v>384</v>
      </c>
      <c r="AA54" s="28">
        <f t="shared" si="4"/>
        <v>20024</v>
      </c>
      <c r="AC54">
        <f t="shared" si="9"/>
        <v>27</v>
      </c>
      <c r="AD54" s="23">
        <f>IF(U54="YES",SUMPRODUCT(Raw!$BT$3:$CC$3,Raw!BT55:CC55)*0.6,SUMPRODUCT(Raw!$BT$3:$CC$3,Raw!BT55:CC55))</f>
        <v>56</v>
      </c>
      <c r="AE54" s="23">
        <f>IF(U54="YES",SUMPRODUCT(Raw!$BT$3:$CC$3,Raw!BU55:CD55)*0.6,SUMPRODUCT(Raw!$BT$3:$CC$3,Raw!BU55:CD55))</f>
        <v>104</v>
      </c>
      <c r="AF54" s="28">
        <f t="shared" si="5"/>
        <v>384</v>
      </c>
      <c r="AG54" s="28">
        <f t="shared" si="6"/>
        <v>20024</v>
      </c>
      <c r="AI54" s="88">
        <f t="shared" si="1"/>
        <v>36</v>
      </c>
      <c r="AJ54" s="88">
        <f t="shared" si="2"/>
        <v>24</v>
      </c>
      <c r="AK54">
        <f t="shared" si="7"/>
        <v>1122</v>
      </c>
      <c r="AL54">
        <f t="shared" si="8"/>
        <v>58542</v>
      </c>
    </row>
    <row r="55" spans="1:38" x14ac:dyDescent="0.25">
      <c r="A55" s="4">
        <f>Raw!J56</f>
        <v>50</v>
      </c>
      <c r="B55" s="4" t="str">
        <f>Raw!K56</f>
        <v>Magnolia Ave</v>
      </c>
      <c r="C55" s="4" t="str">
        <f>Raw!L56</f>
        <v>Richmond Dr</v>
      </c>
      <c r="D55" s="4" t="str">
        <f>Raw!M56</f>
        <v>Library Ave</v>
      </c>
      <c r="E55" s="23" t="str">
        <f>Raw!CG56</f>
        <v>W</v>
      </c>
      <c r="F55" s="7">
        <f>Raw!T56</f>
        <v>6</v>
      </c>
      <c r="G55" s="7">
        <f>Raw!AL56</f>
        <v>0</v>
      </c>
      <c r="H55" s="7">
        <f>Raw!AC56</f>
        <v>0</v>
      </c>
      <c r="I55" s="7">
        <f t="shared" si="0"/>
        <v>0</v>
      </c>
      <c r="J55" s="157">
        <f>Raw!BT56</f>
        <v>4</v>
      </c>
      <c r="K55" s="157">
        <f>Raw!AW56</f>
        <v>0</v>
      </c>
      <c r="L55" s="42">
        <f>IF(Raw!CE56 = "NA", "-", Raw!CE56)</f>
        <v>1</v>
      </c>
      <c r="M55" s="42">
        <f>IF(Raw!BH56 = "NA", "-", Raw!BH56)</f>
        <v>0</v>
      </c>
      <c r="N55" s="46">
        <f>IF(Raw!CD56 = "NA", "-", Raw!CD56)</f>
        <v>6</v>
      </c>
      <c r="O55" s="46">
        <f>IF(Raw!BG56 = "NA", "-", Raw!BG56)</f>
        <v>0</v>
      </c>
      <c r="P55" s="32">
        <f>IF(Raw!AW56 = "NA", "-", SUMPRODUCT(Raw!$BT$2:$CC$2, Raw!BT56:CC56))</f>
        <v>18</v>
      </c>
      <c r="Q55" s="32">
        <f>IF(Raw!AW56 = "NA", "-", SUMPRODUCT(Raw!$AW$2:$BF$2, Raw!AW56:BF56))</f>
        <v>0</v>
      </c>
      <c r="R55" s="7" t="e" cm="1">
        <f t="array" ref="R55">_xlfn.IFS(S55="YES", "Hourly", T55="YES", "Flat Rate")</f>
        <v>#N/A</v>
      </c>
      <c r="S55" s="8" t="str">
        <f>IF(Raw!CO56=1, "YES", "")</f>
        <v/>
      </c>
      <c r="T55" s="8" t="str">
        <f>IF(Raw!CO56=2, "YES", "")</f>
        <v/>
      </c>
      <c r="U55" s="96" t="str">
        <f>IF(Raw!CP56=1, "YES", "")</f>
        <v/>
      </c>
      <c r="V55" s="96"/>
      <c r="X55" s="23">
        <f>SUMPRODUCT(Raw!$BT$3:$CC$3, Raw!BT56:CC56)</f>
        <v>8</v>
      </c>
      <c r="Y55" s="23">
        <f>SUMPRODUCT(Raw!$BT$3:$CC$3, Raw!BU56:CD56)</f>
        <v>16</v>
      </c>
      <c r="Z55" s="28">
        <f t="shared" si="3"/>
        <v>56</v>
      </c>
      <c r="AA55" s="28">
        <f t="shared" si="4"/>
        <v>2920</v>
      </c>
      <c r="AC55">
        <f t="shared" si="9"/>
        <v>6</v>
      </c>
      <c r="AD55" s="23">
        <f>IF(U55="YES",SUMPRODUCT(Raw!$BT$3:$CC$3,Raw!BT56:CC56)*0.6,SUMPRODUCT(Raw!$BT$3:$CC$3,Raw!BT56:CC56))</f>
        <v>8</v>
      </c>
      <c r="AE55" s="23">
        <f>IF(U55="YES",SUMPRODUCT(Raw!$BT$3:$CC$3,Raw!BU56:CD56)*0.6,SUMPRODUCT(Raw!$BT$3:$CC$3,Raw!BU56:CD56))</f>
        <v>16</v>
      </c>
      <c r="AF55" s="28">
        <f t="shared" si="5"/>
        <v>56</v>
      </c>
      <c r="AG55" s="28">
        <f t="shared" si="6"/>
        <v>2920</v>
      </c>
      <c r="AI55" s="88">
        <f t="shared" si="1"/>
        <v>6</v>
      </c>
      <c r="AJ55" s="88">
        <f t="shared" si="2"/>
        <v>0</v>
      </c>
      <c r="AK55">
        <f t="shared" si="7"/>
        <v>165</v>
      </c>
      <c r="AL55">
        <f t="shared" si="8"/>
        <v>8613</v>
      </c>
    </row>
    <row r="56" spans="1:38" x14ac:dyDescent="0.25">
      <c r="A56" s="4">
        <f>Raw!J57</f>
        <v>177</v>
      </c>
      <c r="B56" s="4" t="str">
        <f>Raw!K57</f>
        <v>Richmond Dr</v>
      </c>
      <c r="C56" s="4" t="str">
        <f>Raw!L57</f>
        <v>Poplar Ave</v>
      </c>
      <c r="D56" s="4" t="str">
        <f>Raw!M57</f>
        <v>Magnolia Ave</v>
      </c>
      <c r="E56" s="23" t="str">
        <f>Raw!CG57</f>
        <v>S</v>
      </c>
      <c r="F56" s="7">
        <f>Raw!T57</f>
        <v>18</v>
      </c>
      <c r="G56" s="7">
        <f>Raw!AL57</f>
        <v>0</v>
      </c>
      <c r="H56" s="7">
        <f>Raw!AC57</f>
        <v>0</v>
      </c>
      <c r="I56" s="7">
        <f t="shared" si="0"/>
        <v>0</v>
      </c>
      <c r="J56" s="157" t="str">
        <f>Raw!BT57</f>
        <v>NA</v>
      </c>
      <c r="K56" s="157" t="str">
        <f>Raw!AW57</f>
        <v>NA</v>
      </c>
      <c r="L56" s="42" t="str">
        <f>IF(Raw!CE57 = "NA", "-", Raw!CE57)</f>
        <v>-</v>
      </c>
      <c r="M56" s="42" t="str">
        <f>IF(Raw!BH57 = "NA", "-", Raw!BH57)</f>
        <v>-</v>
      </c>
      <c r="N56" s="46" t="str">
        <f>IF(Raw!CD57 = "NA", "-", Raw!CD57)</f>
        <v>-</v>
      </c>
      <c r="O56" s="46" t="str">
        <f>IF(Raw!BG57 = "NA", "-", Raw!BG57)</f>
        <v>-</v>
      </c>
      <c r="P56" s="32" t="str">
        <f>IF(Raw!AW57 = "NA", "-", SUMPRODUCT(Raw!$BT$2:$CC$2, Raw!BT57:CC57))</f>
        <v>-</v>
      </c>
      <c r="Q56" s="32" t="str">
        <f>IF(Raw!AW57 = "NA", "-", SUMPRODUCT(Raw!$AW$2:$BF$2, Raw!AW57:BF57))</f>
        <v>-</v>
      </c>
      <c r="R56" s="7" t="e" cm="1">
        <f t="array" ref="R56">_xlfn.IFS(S56="YES", "Hourly", T56="YES", "Flat Rate")</f>
        <v>#N/A</v>
      </c>
      <c r="S56" s="8" t="str">
        <f>IF(Raw!CO57=1, "YES", "")</f>
        <v/>
      </c>
      <c r="T56" s="8" t="str">
        <f>IF(Raw!CO57=2, "YES", "")</f>
        <v/>
      </c>
      <c r="U56" s="96" t="str">
        <f>IF(Raw!CP57=1, "YES", "")</f>
        <v/>
      </c>
      <c r="V56" s="96"/>
      <c r="X56" s="23">
        <f>SUMPRODUCT(Raw!$BT$3:$CC$3, Raw!BT57:CC57)</f>
        <v>0</v>
      </c>
      <c r="Y56" s="23">
        <f>SUMPRODUCT(Raw!$BT$3:$CC$3, Raw!BU57:CD57)</f>
        <v>0</v>
      </c>
      <c r="Z56" s="28">
        <f t="shared" si="3"/>
        <v>0</v>
      </c>
      <c r="AA56" s="28">
        <f t="shared" si="4"/>
        <v>0</v>
      </c>
      <c r="AC56">
        <f t="shared" si="9"/>
        <v>18</v>
      </c>
      <c r="AD56" s="23">
        <f>IF(U56="YES",SUMPRODUCT(Raw!$BT$3:$CC$3,Raw!BT57:CC57)*0.6,SUMPRODUCT(Raw!$BT$3:$CC$3,Raw!BT57:CC57))</f>
        <v>0</v>
      </c>
      <c r="AE56" s="23">
        <f>IF(U56="YES",SUMPRODUCT(Raw!$BT$3:$CC$3,Raw!BU57:CD57)*0.6,SUMPRODUCT(Raw!$BT$3:$CC$3,Raw!BU57:CD57))</f>
        <v>0</v>
      </c>
      <c r="AF56" s="28">
        <f t="shared" si="5"/>
        <v>0</v>
      </c>
      <c r="AG56" s="28">
        <f t="shared" si="6"/>
        <v>0</v>
      </c>
      <c r="AI56" s="88" t="str">
        <f t="shared" si="1"/>
        <v>-</v>
      </c>
      <c r="AJ56" s="88" t="str">
        <f t="shared" si="2"/>
        <v>-</v>
      </c>
      <c r="AK56" t="e">
        <f t="shared" si="7"/>
        <v>#VALUE!</v>
      </c>
      <c r="AL56" t="e">
        <f t="shared" si="8"/>
        <v>#VALUE!</v>
      </c>
    </row>
    <row r="57" spans="1:38" x14ac:dyDescent="0.25">
      <c r="A57" s="4">
        <f>Raw!J58</f>
        <v>176</v>
      </c>
      <c r="B57" s="4" t="str">
        <f>Raw!K58</f>
        <v>Richmond Dr</v>
      </c>
      <c r="C57" s="4" t="str">
        <f>Raw!L58</f>
        <v>Magnolia Ave</v>
      </c>
      <c r="D57" s="4" t="str">
        <f>Raw!M58</f>
        <v>Poplar Ave</v>
      </c>
      <c r="E57" s="23" t="str">
        <f>Raw!CG58</f>
        <v>N</v>
      </c>
      <c r="F57" s="7">
        <f>Raw!T58</f>
        <v>15</v>
      </c>
      <c r="G57" s="7">
        <f>Raw!AL58</f>
        <v>0</v>
      </c>
      <c r="H57" s="7">
        <f>Raw!AC58</f>
        <v>0</v>
      </c>
      <c r="I57" s="7">
        <f t="shared" si="0"/>
        <v>0</v>
      </c>
      <c r="J57" s="157" t="str">
        <f>Raw!BT58</f>
        <v>NA</v>
      </c>
      <c r="K57" s="157" t="str">
        <f>Raw!AW58</f>
        <v>NA</v>
      </c>
      <c r="L57" s="42" t="str">
        <f>IF(Raw!CE58 = "NA", "-", Raw!CE58)</f>
        <v>-</v>
      </c>
      <c r="M57" s="42" t="str">
        <f>IF(Raw!BH58 = "NA", "-", Raw!BH58)</f>
        <v>-</v>
      </c>
      <c r="N57" s="46" t="str">
        <f>IF(Raw!CD58 = "NA", "-", Raw!CD58)</f>
        <v>-</v>
      </c>
      <c r="O57" s="46" t="str">
        <f>IF(Raw!BG58 = "NA", "-", Raw!BG58)</f>
        <v>-</v>
      </c>
      <c r="P57" s="32" t="str">
        <f>IF(Raw!AW58 = "NA", "-", SUMPRODUCT(Raw!$BT$2:$CC$2, Raw!BT58:CC58))</f>
        <v>-</v>
      </c>
      <c r="Q57" s="32" t="str">
        <f>IF(Raw!AW58 = "NA", "-", SUMPRODUCT(Raw!$AW$2:$BF$2, Raw!AW58:BF58))</f>
        <v>-</v>
      </c>
      <c r="R57" s="7" t="e" cm="1">
        <f t="array" ref="R57">_xlfn.IFS(S57="YES", "Hourly", T57="YES", "Flat Rate")</f>
        <v>#N/A</v>
      </c>
      <c r="S57" s="8" t="str">
        <f>IF(Raw!CO58=1, "YES", "")</f>
        <v/>
      </c>
      <c r="T57" s="8" t="str">
        <f>IF(Raw!CO58=2, "YES", "")</f>
        <v/>
      </c>
      <c r="U57" s="96" t="str">
        <f>IF(Raw!CP58=1, "YES", "")</f>
        <v/>
      </c>
      <c r="V57" s="96"/>
      <c r="X57" s="23">
        <f>SUMPRODUCT(Raw!$BT$3:$CC$3, Raw!BT58:CC58)</f>
        <v>0</v>
      </c>
      <c r="Y57" s="23">
        <f>SUMPRODUCT(Raw!$BT$3:$CC$3, Raw!BU58:CD58)</f>
        <v>0</v>
      </c>
      <c r="Z57" s="28">
        <f t="shared" si="3"/>
        <v>0</v>
      </c>
      <c r="AA57" s="28">
        <f t="shared" si="4"/>
        <v>0</v>
      </c>
      <c r="AC57">
        <f t="shared" si="9"/>
        <v>15</v>
      </c>
      <c r="AD57" s="23">
        <f>IF(U57="YES",SUMPRODUCT(Raw!$BT$3:$CC$3,Raw!BT58:CC58)*0.6,SUMPRODUCT(Raw!$BT$3:$CC$3,Raw!BT58:CC58))</f>
        <v>0</v>
      </c>
      <c r="AE57" s="23">
        <f>IF(U57="YES",SUMPRODUCT(Raw!$BT$3:$CC$3,Raw!BU58:CD58)*0.6,SUMPRODUCT(Raw!$BT$3:$CC$3,Raw!BU58:CD58))</f>
        <v>0</v>
      </c>
      <c r="AF57" s="28">
        <f t="shared" si="5"/>
        <v>0</v>
      </c>
      <c r="AG57" s="28">
        <f t="shared" si="6"/>
        <v>0</v>
      </c>
      <c r="AI57" s="88" t="str">
        <f t="shared" si="1"/>
        <v>-</v>
      </c>
      <c r="AJ57" s="88" t="str">
        <f t="shared" si="2"/>
        <v>-</v>
      </c>
      <c r="AK57" t="e">
        <f t="shared" si="7"/>
        <v>#VALUE!</v>
      </c>
      <c r="AL57" t="e">
        <f t="shared" si="8"/>
        <v>#VALUE!</v>
      </c>
    </row>
    <row r="58" spans="1:38" x14ac:dyDescent="0.25">
      <c r="A58" s="4">
        <f>Raw!J59</f>
        <v>22</v>
      </c>
      <c r="B58" s="4" t="str">
        <f>Raw!K59</f>
        <v>Poplar Ave</v>
      </c>
      <c r="C58" s="4" t="str">
        <f>Raw!L59</f>
        <v>Richmond Dr</v>
      </c>
      <c r="D58" s="4" t="str">
        <f>Raw!M59</f>
        <v>Lansdale Ave</v>
      </c>
      <c r="E58" s="23" t="str">
        <f>Raw!CG59</f>
        <v>W</v>
      </c>
      <c r="F58" s="7">
        <f>Raw!T59</f>
        <v>18</v>
      </c>
      <c r="G58" s="7">
        <f>Raw!AL59</f>
        <v>2</v>
      </c>
      <c r="H58" s="7">
        <f>Raw!AC59</f>
        <v>2</v>
      </c>
      <c r="I58" s="7">
        <f t="shared" si="0"/>
        <v>4</v>
      </c>
      <c r="J58" s="157" t="str">
        <f>Raw!BT59</f>
        <v>NA</v>
      </c>
      <c r="K58" s="157" t="str">
        <f>Raw!AW59</f>
        <v>NA</v>
      </c>
      <c r="L58" s="42" t="str">
        <f>IF(Raw!CE59 = "NA", "-", Raw!CE59)</f>
        <v>-</v>
      </c>
      <c r="M58" s="42" t="str">
        <f>IF(Raw!BH59 = "NA", "-", Raw!BH59)</f>
        <v>-</v>
      </c>
      <c r="N58" s="46" t="str">
        <f>IF(Raw!CD59 = "NA", "-", Raw!CD59)</f>
        <v>-</v>
      </c>
      <c r="O58" s="46" t="str">
        <f>IF(Raw!BG59 = "NA", "-", Raw!BG59)</f>
        <v>-</v>
      </c>
      <c r="P58" s="32" t="str">
        <f>IF(Raw!AW59 = "NA", "-", SUMPRODUCT(Raw!$BT$2:$CC$2, Raw!BT59:CC59))</f>
        <v>-</v>
      </c>
      <c r="Q58" s="32" t="str">
        <f>IF(Raw!AW59 = "NA", "-", SUMPRODUCT(Raw!$AW$2:$BF$2, Raw!AW59:BF59))</f>
        <v>-</v>
      </c>
      <c r="R58" s="7" t="e" cm="1">
        <f t="array" ref="R58">_xlfn.IFS(S58="YES", "Hourly", T58="YES", "Flat Rate")</f>
        <v>#N/A</v>
      </c>
      <c r="S58" s="8" t="str">
        <f>IF(Raw!CO59=1, "YES", "")</f>
        <v/>
      </c>
      <c r="T58" s="8" t="str">
        <f>IF(Raw!CO59=2, "YES", "")</f>
        <v/>
      </c>
      <c r="U58" s="96" t="str">
        <f>IF(Raw!CP59=1, "YES", "")</f>
        <v/>
      </c>
      <c r="V58" s="96"/>
      <c r="X58" s="23">
        <f>SUMPRODUCT(Raw!$BT$3:$CC$3, Raw!BT59:CC59)</f>
        <v>0</v>
      </c>
      <c r="Y58" s="23">
        <f>SUMPRODUCT(Raw!$BT$3:$CC$3, Raw!BU59:CD59)</f>
        <v>0</v>
      </c>
      <c r="Z58" s="28">
        <f t="shared" si="3"/>
        <v>0</v>
      </c>
      <c r="AA58" s="28">
        <f t="shared" si="4"/>
        <v>0</v>
      </c>
      <c r="AC58">
        <f t="shared" si="9"/>
        <v>18</v>
      </c>
      <c r="AD58" s="23">
        <f>IF(U58="YES",SUMPRODUCT(Raw!$BT$3:$CC$3,Raw!BT59:CC59)*0.6,SUMPRODUCT(Raw!$BT$3:$CC$3,Raw!BT59:CC59))</f>
        <v>0</v>
      </c>
      <c r="AE58" s="23">
        <f>IF(U58="YES",SUMPRODUCT(Raw!$BT$3:$CC$3,Raw!BU59:CD59)*0.6,SUMPRODUCT(Raw!$BT$3:$CC$3,Raw!BU59:CD59))</f>
        <v>0</v>
      </c>
      <c r="AF58" s="28">
        <f t="shared" si="5"/>
        <v>0</v>
      </c>
      <c r="AG58" s="28">
        <f t="shared" si="6"/>
        <v>0</v>
      </c>
      <c r="AI58" s="88" t="str">
        <f t="shared" si="1"/>
        <v>-</v>
      </c>
      <c r="AJ58" s="88" t="str">
        <f t="shared" si="2"/>
        <v>-</v>
      </c>
      <c r="AK58" t="e">
        <f t="shared" si="7"/>
        <v>#VALUE!</v>
      </c>
      <c r="AL58" t="e">
        <f t="shared" si="8"/>
        <v>#VALUE!</v>
      </c>
    </row>
    <row r="59" spans="1:38" x14ac:dyDescent="0.25">
      <c r="A59" s="4">
        <f>Raw!J60</f>
        <v>23</v>
      </c>
      <c r="B59" s="4" t="str">
        <f>Raw!K60</f>
        <v>Poplar Ave</v>
      </c>
      <c r="C59" s="4" t="str">
        <f>Raw!L60</f>
        <v>Library Ave</v>
      </c>
      <c r="D59" s="4" t="str">
        <f>Raw!M60</f>
        <v>Richmond Dr</v>
      </c>
      <c r="E59" s="23" t="str">
        <f>Raw!CG60</f>
        <v>E</v>
      </c>
      <c r="F59" s="7">
        <f>Raw!T60</f>
        <v>10</v>
      </c>
      <c r="G59" s="7">
        <f>Raw!AL60</f>
        <v>0</v>
      </c>
      <c r="H59" s="7">
        <f>Raw!AC60</f>
        <v>3</v>
      </c>
      <c r="I59" s="7">
        <f t="shared" si="0"/>
        <v>3</v>
      </c>
      <c r="J59" s="157" t="str">
        <f>Raw!BT60</f>
        <v>NA</v>
      </c>
      <c r="K59" s="157" t="str">
        <f>Raw!AW60</f>
        <v>NA</v>
      </c>
      <c r="L59" s="42" t="str">
        <f>IF(Raw!CE60 = "NA", "-", Raw!CE60)</f>
        <v>-</v>
      </c>
      <c r="M59" s="42" t="str">
        <f>IF(Raw!BH60 = "NA", "-", Raw!BH60)</f>
        <v>-</v>
      </c>
      <c r="N59" s="46" t="str">
        <f>IF(Raw!CD60 = "NA", "-", Raw!CD60)</f>
        <v>-</v>
      </c>
      <c r="O59" s="46" t="str">
        <f>IF(Raw!BG60 = "NA", "-", Raw!BG60)</f>
        <v>-</v>
      </c>
      <c r="P59" s="32" t="str">
        <f>IF(Raw!AW60 = "NA", "-", SUMPRODUCT(Raw!$BT$2:$CC$2, Raw!BT60:CC60))</f>
        <v>-</v>
      </c>
      <c r="Q59" s="32" t="str">
        <f>IF(Raw!AW60 = "NA", "-", SUMPRODUCT(Raw!$AW$2:$BF$2, Raw!AW60:BF60))</f>
        <v>-</v>
      </c>
      <c r="R59" s="7" t="e" cm="1">
        <f t="array" ref="R59">_xlfn.IFS(S59="YES", "Hourly", T59="YES", "Flat Rate")</f>
        <v>#N/A</v>
      </c>
      <c r="S59" s="8" t="str">
        <f>IF(Raw!CO60=1, "YES", "")</f>
        <v/>
      </c>
      <c r="T59" s="8" t="str">
        <f>IF(Raw!CO60=2, "YES", "")</f>
        <v/>
      </c>
      <c r="U59" s="96" t="str">
        <f>IF(Raw!CP60=1, "YES", "")</f>
        <v/>
      </c>
      <c r="V59" s="96"/>
      <c r="X59" s="23">
        <f>SUMPRODUCT(Raw!$BT$3:$CC$3, Raw!BT60:CC60)</f>
        <v>0</v>
      </c>
      <c r="Y59" s="23">
        <f>SUMPRODUCT(Raw!$BT$3:$CC$3, Raw!BU60:CD60)</f>
        <v>0</v>
      </c>
      <c r="Z59" s="28">
        <f t="shared" si="3"/>
        <v>0</v>
      </c>
      <c r="AA59" s="28">
        <f t="shared" si="4"/>
        <v>0</v>
      </c>
      <c r="AC59">
        <f t="shared" si="9"/>
        <v>10</v>
      </c>
      <c r="AD59" s="23">
        <f>IF(U59="YES",SUMPRODUCT(Raw!$BT$3:$CC$3,Raw!BT60:CC60)*0.6,SUMPRODUCT(Raw!$BT$3:$CC$3,Raw!BT60:CC60))</f>
        <v>0</v>
      </c>
      <c r="AE59" s="23">
        <f>IF(U59="YES",SUMPRODUCT(Raw!$BT$3:$CC$3,Raw!BU60:CD60)*0.6,SUMPRODUCT(Raw!$BT$3:$CC$3,Raw!BU60:CD60))</f>
        <v>0</v>
      </c>
      <c r="AF59" s="28">
        <f t="shared" si="5"/>
        <v>0</v>
      </c>
      <c r="AG59" s="28">
        <f t="shared" si="6"/>
        <v>0</v>
      </c>
      <c r="AI59" s="88" t="str">
        <f t="shared" si="1"/>
        <v>-</v>
      </c>
      <c r="AJ59" s="88" t="str">
        <f t="shared" si="2"/>
        <v>-</v>
      </c>
      <c r="AK59" t="e">
        <f t="shared" si="7"/>
        <v>#VALUE!</v>
      </c>
      <c r="AL59" t="e">
        <f t="shared" si="8"/>
        <v>#VALUE!</v>
      </c>
    </row>
    <row r="60" spans="1:38" x14ac:dyDescent="0.25">
      <c r="A60" s="4">
        <f>Raw!J61</f>
        <v>178</v>
      </c>
      <c r="B60" s="4" t="str">
        <f>Raw!K61</f>
        <v>Library Ave</v>
      </c>
      <c r="C60" s="4" t="str">
        <f>Raw!L61</f>
        <v>Magnolia Ave</v>
      </c>
      <c r="D60" s="4" t="str">
        <f>Raw!M61</f>
        <v>Poplar Ave</v>
      </c>
      <c r="E60" s="23" t="str">
        <f>Raw!CG61</f>
        <v>N</v>
      </c>
      <c r="F60" s="7">
        <f>Raw!T61</f>
        <v>0</v>
      </c>
      <c r="G60" s="7">
        <f>Raw!AL61</f>
        <v>0</v>
      </c>
      <c r="H60" s="7">
        <f>Raw!AC61</f>
        <v>0</v>
      </c>
      <c r="I60" s="7">
        <f t="shared" si="0"/>
        <v>0</v>
      </c>
      <c r="J60" s="157">
        <f>Raw!BT61</f>
        <v>0</v>
      </c>
      <c r="K60" s="157">
        <f>Raw!AW61</f>
        <v>0</v>
      </c>
      <c r="L60" s="42">
        <f>IF(Raw!CE61 = "NA", "-", Raw!CE61)</f>
        <v>0</v>
      </c>
      <c r="M60" s="42">
        <f>IF(Raw!BH61 = "NA", "-", Raw!BH61)</f>
        <v>0</v>
      </c>
      <c r="N60" s="46">
        <f>IF(Raw!CD61 = "NA", "-", Raw!CD61)</f>
        <v>1</v>
      </c>
      <c r="O60" s="46">
        <f>IF(Raw!BG61 = "NA", "-", Raw!BG61)</f>
        <v>0</v>
      </c>
      <c r="P60" s="32">
        <f>IF(Raw!AW61 = "NA", "-", SUMPRODUCT(Raw!$BT$2:$CC$2, Raw!BT61:CC61))</f>
        <v>9</v>
      </c>
      <c r="Q60" s="32">
        <f>IF(Raw!AW61 = "NA", "-", SUMPRODUCT(Raw!$AW$2:$BF$2, Raw!AW61:BF61))</f>
        <v>0</v>
      </c>
      <c r="R60" s="7" t="e" cm="1">
        <f t="array" ref="R60">_xlfn.IFS(S60="YES", "Hourly", T60="YES", "Flat Rate")</f>
        <v>#N/A</v>
      </c>
      <c r="S60" s="8" t="str">
        <f>IF(Raw!CO61=1, "YES", "")</f>
        <v/>
      </c>
      <c r="T60" s="8" t="str">
        <f>IF(Raw!CO61=2, "YES", "")</f>
        <v/>
      </c>
      <c r="U60" s="96" t="str">
        <f>IF(Raw!CP61=1, "YES", "")</f>
        <v/>
      </c>
      <c r="V60" s="96"/>
      <c r="X60" s="23">
        <f>SUMPRODUCT(Raw!$BT$3:$CC$3, Raw!BT61:CC61)</f>
        <v>2</v>
      </c>
      <c r="Y60" s="23">
        <f>SUMPRODUCT(Raw!$BT$3:$CC$3, Raw!BU61:CD61)</f>
        <v>4</v>
      </c>
      <c r="Z60" s="28">
        <f t="shared" si="3"/>
        <v>14</v>
      </c>
      <c r="AA60" s="28">
        <f t="shared" si="4"/>
        <v>730</v>
      </c>
      <c r="AC60">
        <f t="shared" si="9"/>
        <v>0</v>
      </c>
      <c r="AD60" s="23">
        <f>IF(U60="YES",SUMPRODUCT(Raw!$BT$3:$CC$3,Raw!BT61:CC61)*0.6,SUMPRODUCT(Raw!$BT$3:$CC$3,Raw!BT61:CC61))</f>
        <v>2</v>
      </c>
      <c r="AE60" s="23">
        <f>IF(U60="YES",SUMPRODUCT(Raw!$BT$3:$CC$3,Raw!BU61:CD61)*0.6,SUMPRODUCT(Raw!$BT$3:$CC$3,Raw!BU61:CD61))</f>
        <v>4</v>
      </c>
      <c r="AF60" s="28">
        <f t="shared" si="5"/>
        <v>14</v>
      </c>
      <c r="AG60" s="28">
        <f t="shared" si="6"/>
        <v>730</v>
      </c>
      <c r="AI60" s="88">
        <f t="shared" si="1"/>
        <v>1</v>
      </c>
      <c r="AJ60" s="88">
        <f t="shared" si="2"/>
        <v>0</v>
      </c>
      <c r="AK60">
        <f t="shared" si="7"/>
        <v>27.5</v>
      </c>
      <c r="AL60">
        <f t="shared" si="8"/>
        <v>1435.5</v>
      </c>
    </row>
    <row r="61" spans="1:38" x14ac:dyDescent="0.25">
      <c r="A61" s="4">
        <f>Raw!J62</f>
        <v>179</v>
      </c>
      <c r="B61" s="4" t="str">
        <f>Raw!K62</f>
        <v>Library Ave</v>
      </c>
      <c r="C61" s="4" t="str">
        <f>Raw!L62</f>
        <v>Poplar Ave</v>
      </c>
      <c r="D61" s="4" t="str">
        <f>Raw!M62</f>
        <v>Magnolia Ave</v>
      </c>
      <c r="E61" s="23" t="str">
        <f>Raw!CG62</f>
        <v>S</v>
      </c>
      <c r="F61" s="7">
        <f>Raw!T62</f>
        <v>16</v>
      </c>
      <c r="G61" s="7">
        <f>Raw!AL62</f>
        <v>0</v>
      </c>
      <c r="H61" s="7">
        <f>Raw!AC62</f>
        <v>0</v>
      </c>
      <c r="I61" s="7">
        <f t="shared" si="0"/>
        <v>0</v>
      </c>
      <c r="J61" s="157">
        <f>Raw!BT62</f>
        <v>2</v>
      </c>
      <c r="K61" s="157">
        <f>Raw!AW62</f>
        <v>1</v>
      </c>
      <c r="L61" s="42">
        <f>IF(Raw!CE62 = "NA", "-", Raw!CE62)</f>
        <v>0.9</v>
      </c>
      <c r="M61" s="42">
        <f>IF(Raw!BH62 = "NA", "-", Raw!BH62)</f>
        <v>0.7</v>
      </c>
      <c r="N61" s="46">
        <f>IF(Raw!CD62 = "NA", "-", Raw!CD62)</f>
        <v>14</v>
      </c>
      <c r="O61" s="46">
        <f>IF(Raw!BG62 = "NA", "-", Raw!BG62)</f>
        <v>12</v>
      </c>
      <c r="P61" s="32">
        <f>IF(Raw!AW62 = "NA", "-", SUMPRODUCT(Raw!$BT$2:$CC$2, Raw!BT62:CC62))</f>
        <v>84</v>
      </c>
      <c r="Q61" s="32">
        <f>IF(Raw!AW62 = "NA", "-", SUMPRODUCT(Raw!$AW$2:$BF$2, Raw!AW62:BF62))</f>
        <v>70</v>
      </c>
      <c r="R61" s="7" t="e" cm="1">
        <f t="array" ref="R61">_xlfn.IFS(S61="YES", "Hourly", T61="YES", "Flat Rate")</f>
        <v>#N/A</v>
      </c>
      <c r="S61" s="8" t="str">
        <f>IF(Raw!CO62=1, "YES", "")</f>
        <v/>
      </c>
      <c r="T61" s="8" t="str">
        <f>IF(Raw!CO62=2, "YES", "")</f>
        <v/>
      </c>
      <c r="U61" s="96" t="str">
        <f>IF(Raw!CP62=1, "YES", "")</f>
        <v/>
      </c>
      <c r="V61" s="96"/>
      <c r="X61" s="23">
        <f>SUMPRODUCT(Raw!$BT$3:$CC$3, Raw!BT62:CC62)</f>
        <v>26</v>
      </c>
      <c r="Y61" s="23">
        <f>SUMPRODUCT(Raw!$BT$3:$CC$3, Raw!BU62:CD62)</f>
        <v>52</v>
      </c>
      <c r="Z61" s="28">
        <f t="shared" si="3"/>
        <v>182</v>
      </c>
      <c r="AA61" s="28">
        <f t="shared" si="4"/>
        <v>9490</v>
      </c>
      <c r="AC61">
        <f t="shared" si="9"/>
        <v>16</v>
      </c>
      <c r="AD61" s="23">
        <f>IF(U61="YES",SUMPRODUCT(Raw!$BT$3:$CC$3,Raw!BT62:CC62)*0.6,SUMPRODUCT(Raw!$BT$3:$CC$3,Raw!BT62:CC62))</f>
        <v>26</v>
      </c>
      <c r="AE61" s="23">
        <f>IF(U61="YES",SUMPRODUCT(Raw!$BT$3:$CC$3,Raw!BU62:CD62)*0.6,SUMPRODUCT(Raw!$BT$3:$CC$3,Raw!BU62:CD62))</f>
        <v>52</v>
      </c>
      <c r="AF61" s="28">
        <f t="shared" si="5"/>
        <v>182</v>
      </c>
      <c r="AG61" s="28">
        <f t="shared" si="6"/>
        <v>9490</v>
      </c>
      <c r="AI61" s="88">
        <f t="shared" si="1"/>
        <v>14</v>
      </c>
      <c r="AJ61" s="88">
        <f t="shared" si="2"/>
        <v>12</v>
      </c>
      <c r="AK61">
        <f t="shared" si="7"/>
        <v>451</v>
      </c>
      <c r="AL61">
        <f t="shared" si="8"/>
        <v>23529</v>
      </c>
    </row>
    <row r="62" spans="1:38" x14ac:dyDescent="0.25">
      <c r="A62" s="4">
        <f>Raw!J63</f>
        <v>52</v>
      </c>
      <c r="B62" s="4" t="str">
        <f>Raw!K63</f>
        <v>Magnolia Ave</v>
      </c>
      <c r="C62" s="4" t="str">
        <f>Raw!L63</f>
        <v>Taylor Blvd</v>
      </c>
      <c r="D62" s="4" t="str">
        <f>Raw!M63</f>
        <v>Library Ave</v>
      </c>
      <c r="E62" s="23" t="str">
        <f>Raw!CG63</f>
        <v>E</v>
      </c>
      <c r="F62" s="7">
        <f>Raw!T63</f>
        <v>15</v>
      </c>
      <c r="G62" s="7">
        <f>Raw!AL63</f>
        <v>0</v>
      </c>
      <c r="H62" s="7">
        <f>Raw!AC63</f>
        <v>1</v>
      </c>
      <c r="I62" s="7">
        <f t="shared" si="0"/>
        <v>1</v>
      </c>
      <c r="J62" s="157">
        <f>Raw!BT63</f>
        <v>20</v>
      </c>
      <c r="K62" s="157">
        <f>Raw!AW63</f>
        <v>37</v>
      </c>
      <c r="L62" s="42">
        <f>IF(Raw!CE63 = "NA", "-", Raw!CE63)</f>
        <v>2.2000000000000002</v>
      </c>
      <c r="M62" s="42">
        <f>IF(Raw!BH63 = "NA", "-", Raw!BH63)</f>
        <v>3.3</v>
      </c>
      <c r="N62" s="46">
        <f>IF(Raw!CD63 = "NA", "-", Raw!CD63)</f>
        <v>33</v>
      </c>
      <c r="O62" s="46">
        <f>IF(Raw!BG63 = "NA", "-", Raw!BG63)</f>
        <v>50</v>
      </c>
      <c r="P62" s="32">
        <f>IF(Raw!AW63 = "NA", "-", SUMPRODUCT(Raw!$BT$2:$CC$2, Raw!BT63:CC63))</f>
        <v>63</v>
      </c>
      <c r="Q62" s="32">
        <f>IF(Raw!AW63 = "NA", "-", SUMPRODUCT(Raw!$AW$2:$BF$2, Raw!AW63:BF63))</f>
        <v>76</v>
      </c>
      <c r="R62" s="7" t="e" cm="1">
        <f t="array" ref="R62">_xlfn.IFS(S62="YES", "Hourly", T62="YES", "Flat Rate")</f>
        <v>#N/A</v>
      </c>
      <c r="S62" s="8" t="str">
        <f>IF(Raw!CO63=1, "YES", "")</f>
        <v/>
      </c>
      <c r="T62" s="8" t="str">
        <f>IF(Raw!CO63=2, "YES", "")</f>
        <v/>
      </c>
      <c r="U62" s="96" t="str">
        <f>IF(Raw!CP63=1, "YES", "")</f>
        <v/>
      </c>
      <c r="V62" s="96"/>
      <c r="X62" s="23">
        <f>SUMPRODUCT(Raw!$BT$3:$CC$3, Raw!BT63:CC63)</f>
        <v>46</v>
      </c>
      <c r="Y62" s="23">
        <f>SUMPRODUCT(Raw!$BT$3:$CC$3, Raw!BU63:CD63)</f>
        <v>89</v>
      </c>
      <c r="Z62" s="28">
        <f t="shared" si="3"/>
        <v>319</v>
      </c>
      <c r="AA62" s="28">
        <f t="shared" si="4"/>
        <v>16634</v>
      </c>
      <c r="AC62">
        <f t="shared" si="9"/>
        <v>15</v>
      </c>
      <c r="AD62" s="23">
        <f>IF(U62="YES",SUMPRODUCT(Raw!$BT$3:$CC$3,Raw!BT63:CC63)*0.6,SUMPRODUCT(Raw!$BT$3:$CC$3,Raw!BT63:CC63))</f>
        <v>46</v>
      </c>
      <c r="AE62" s="23">
        <f>IF(U62="YES",SUMPRODUCT(Raw!$BT$3:$CC$3,Raw!BU63:CD63)*0.6,SUMPRODUCT(Raw!$BT$3:$CC$3,Raw!BU63:CD63))</f>
        <v>89</v>
      </c>
      <c r="AF62" s="28">
        <f t="shared" si="5"/>
        <v>319</v>
      </c>
      <c r="AG62" s="28">
        <f t="shared" si="6"/>
        <v>16634</v>
      </c>
      <c r="AI62" s="88">
        <f t="shared" si="1"/>
        <v>33</v>
      </c>
      <c r="AJ62" s="88">
        <f t="shared" si="2"/>
        <v>50</v>
      </c>
      <c r="AK62">
        <f t="shared" si="7"/>
        <v>1182.5</v>
      </c>
      <c r="AL62">
        <f t="shared" si="8"/>
        <v>61671.5</v>
      </c>
    </row>
    <row r="63" spans="1:38" x14ac:dyDescent="0.25">
      <c r="A63" s="4">
        <f>Raw!J64</f>
        <v>174</v>
      </c>
      <c r="B63" s="4" t="str">
        <f>Raw!K64</f>
        <v>Richmond Dr</v>
      </c>
      <c r="C63" s="4" t="str">
        <f>Raw!L64</f>
        <v>Poplar Ave</v>
      </c>
      <c r="D63" s="4" t="str">
        <f>Raw!M64</f>
        <v>Palm Ave</v>
      </c>
      <c r="E63" s="23" t="str">
        <f>Raw!CG64</f>
        <v>N</v>
      </c>
      <c r="F63" s="7">
        <f>Raw!T64</f>
        <v>10</v>
      </c>
      <c r="G63" s="7">
        <f>Raw!AL64</f>
        <v>3</v>
      </c>
      <c r="H63" s="7">
        <f>Raw!AC64</f>
        <v>4</v>
      </c>
      <c r="I63" s="7">
        <f t="shared" si="0"/>
        <v>7</v>
      </c>
      <c r="J63" s="157" t="str">
        <f>Raw!BT64</f>
        <v>NA</v>
      </c>
      <c r="K63" s="157" t="str">
        <f>Raw!AW64</f>
        <v>NA</v>
      </c>
      <c r="L63" s="42" t="str">
        <f>IF(Raw!CE64 = "NA", "-", Raw!CE64)</f>
        <v>-</v>
      </c>
      <c r="M63" s="42" t="str">
        <f>IF(Raw!BH64 = "NA", "-", Raw!BH64)</f>
        <v>-</v>
      </c>
      <c r="N63" s="46" t="str">
        <f>IF(Raw!CD64 = "NA", "-", Raw!CD64)</f>
        <v>-</v>
      </c>
      <c r="O63" s="46" t="str">
        <f>IF(Raw!BG64 = "NA", "-", Raw!BG64)</f>
        <v>-</v>
      </c>
      <c r="P63" s="32" t="str">
        <f>IF(Raw!AW64 = "NA", "-", SUMPRODUCT(Raw!$BT$2:$CC$2, Raw!BT64:CC64))</f>
        <v>-</v>
      </c>
      <c r="Q63" s="32" t="str">
        <f>IF(Raw!AW64 = "NA", "-", SUMPRODUCT(Raw!$AW$2:$BF$2, Raw!AW64:BF64))</f>
        <v>-</v>
      </c>
      <c r="R63" s="7" t="e" cm="1">
        <f t="array" ref="R63">_xlfn.IFS(S63="YES", "Hourly", T63="YES", "Flat Rate")</f>
        <v>#N/A</v>
      </c>
      <c r="S63" s="8" t="str">
        <f>IF(Raw!CO64=1, "YES", "")</f>
        <v/>
      </c>
      <c r="T63" s="8" t="str">
        <f>IF(Raw!CO64=2, "YES", "")</f>
        <v/>
      </c>
      <c r="U63" s="96" t="str">
        <f>IF(Raw!CP64=1, "YES", "")</f>
        <v/>
      </c>
      <c r="V63" s="96"/>
      <c r="X63" s="23">
        <f>SUMPRODUCT(Raw!$BT$3:$CC$3, Raw!BT64:CC64)</f>
        <v>0</v>
      </c>
      <c r="Y63" s="23">
        <f>SUMPRODUCT(Raw!$BT$3:$CC$3, Raw!BU64:CD64)</f>
        <v>0</v>
      </c>
      <c r="Z63" s="28">
        <f t="shared" si="3"/>
        <v>0</v>
      </c>
      <c r="AA63" s="28">
        <f t="shared" si="4"/>
        <v>0</v>
      </c>
      <c r="AC63">
        <f t="shared" si="9"/>
        <v>10</v>
      </c>
      <c r="AD63" s="23">
        <f>IF(U63="YES",SUMPRODUCT(Raw!$BT$3:$CC$3,Raw!BT64:CC64)*0.6,SUMPRODUCT(Raw!$BT$3:$CC$3,Raw!BT64:CC64))</f>
        <v>0</v>
      </c>
      <c r="AE63" s="23">
        <f>IF(U63="YES",SUMPRODUCT(Raw!$BT$3:$CC$3,Raw!BU64:CD64)*0.6,SUMPRODUCT(Raw!$BT$3:$CC$3,Raw!BU64:CD64))</f>
        <v>0</v>
      </c>
      <c r="AF63" s="28">
        <f t="shared" si="5"/>
        <v>0</v>
      </c>
      <c r="AG63" s="28">
        <f t="shared" si="6"/>
        <v>0</v>
      </c>
      <c r="AI63" s="88" t="str">
        <f t="shared" si="1"/>
        <v>-</v>
      </c>
      <c r="AJ63" s="88" t="str">
        <f t="shared" si="2"/>
        <v>-</v>
      </c>
      <c r="AK63" t="e">
        <f t="shared" si="7"/>
        <v>#VALUE!</v>
      </c>
      <c r="AL63" t="e">
        <f t="shared" si="8"/>
        <v>#VALUE!</v>
      </c>
    </row>
    <row r="64" spans="1:38" x14ac:dyDescent="0.25">
      <c r="A64" s="4">
        <f>Raw!J65</f>
        <v>175</v>
      </c>
      <c r="B64" s="4" t="str">
        <f>Raw!K65</f>
        <v>Richmond Dr</v>
      </c>
      <c r="C64" s="4" t="str">
        <f>Raw!L65</f>
        <v>Palm Ave</v>
      </c>
      <c r="D64" s="4" t="str">
        <f>Raw!M65</f>
        <v>Poplar Ave</v>
      </c>
      <c r="E64" s="23" t="str">
        <f>Raw!CG65</f>
        <v>S</v>
      </c>
      <c r="F64" s="7">
        <f>Raw!T65</f>
        <v>21</v>
      </c>
      <c r="G64" s="7">
        <f>Raw!AL65</f>
        <v>2</v>
      </c>
      <c r="H64" s="7">
        <f>Raw!AC65</f>
        <v>4</v>
      </c>
      <c r="I64" s="7">
        <f t="shared" si="0"/>
        <v>6</v>
      </c>
      <c r="J64" s="157" t="str">
        <f>Raw!BT65</f>
        <v>NA</v>
      </c>
      <c r="K64" s="157" t="str">
        <f>Raw!AW65</f>
        <v>NA</v>
      </c>
      <c r="L64" s="42" t="str">
        <f>IF(Raw!CE65 = "NA", "-", Raw!CE65)</f>
        <v>-</v>
      </c>
      <c r="M64" s="42" t="str">
        <f>IF(Raw!BH65 = "NA", "-", Raw!BH65)</f>
        <v>-</v>
      </c>
      <c r="N64" s="46" t="str">
        <f>IF(Raw!CD65 = "NA", "-", Raw!CD65)</f>
        <v>-</v>
      </c>
      <c r="O64" s="46" t="str">
        <f>IF(Raw!BG65 = "NA", "-", Raw!BG65)</f>
        <v>-</v>
      </c>
      <c r="P64" s="32" t="str">
        <f>IF(Raw!AW65 = "NA", "-", SUMPRODUCT(Raw!$BT$2:$CC$2, Raw!BT65:CC65))</f>
        <v>-</v>
      </c>
      <c r="Q64" s="32" t="str">
        <f>IF(Raw!AW65 = "NA", "-", SUMPRODUCT(Raw!$AW$2:$BF$2, Raw!AW65:BF65))</f>
        <v>-</v>
      </c>
      <c r="R64" s="7" t="e" cm="1">
        <f t="array" ref="R64">_xlfn.IFS(S64="YES", "Hourly", T64="YES", "Flat Rate")</f>
        <v>#N/A</v>
      </c>
      <c r="S64" s="8" t="str">
        <f>IF(Raw!CO65=1, "YES", "")</f>
        <v/>
      </c>
      <c r="T64" s="8" t="str">
        <f>IF(Raw!CO65=2, "YES", "")</f>
        <v/>
      </c>
      <c r="U64" s="96" t="str">
        <f>IF(Raw!CP65=1, "YES", "")</f>
        <v/>
      </c>
      <c r="V64" s="96"/>
      <c r="X64" s="23">
        <f>SUMPRODUCT(Raw!$BT$3:$CC$3, Raw!BT65:CC65)</f>
        <v>0</v>
      </c>
      <c r="Y64" s="23">
        <f>SUMPRODUCT(Raw!$BT$3:$CC$3, Raw!BU65:CD65)</f>
        <v>0</v>
      </c>
      <c r="Z64" s="28">
        <f t="shared" si="3"/>
        <v>0</v>
      </c>
      <c r="AA64" s="28">
        <f t="shared" si="4"/>
        <v>0</v>
      </c>
      <c r="AC64">
        <f t="shared" si="9"/>
        <v>21</v>
      </c>
      <c r="AD64" s="23">
        <f>IF(U64="YES",SUMPRODUCT(Raw!$BT$3:$CC$3,Raw!BT65:CC65)*0.6,SUMPRODUCT(Raw!$BT$3:$CC$3,Raw!BT65:CC65))</f>
        <v>0</v>
      </c>
      <c r="AE64" s="23">
        <f>IF(U64="YES",SUMPRODUCT(Raw!$BT$3:$CC$3,Raw!BU65:CD65)*0.6,SUMPRODUCT(Raw!$BT$3:$CC$3,Raw!BU65:CD65))</f>
        <v>0</v>
      </c>
      <c r="AF64" s="28">
        <f t="shared" si="5"/>
        <v>0</v>
      </c>
      <c r="AG64" s="28">
        <f t="shared" si="6"/>
        <v>0</v>
      </c>
      <c r="AI64" s="88" t="str">
        <f t="shared" si="1"/>
        <v>-</v>
      </c>
      <c r="AJ64" s="88" t="str">
        <f t="shared" si="2"/>
        <v>-</v>
      </c>
      <c r="AK64" t="e">
        <f t="shared" si="7"/>
        <v>#VALUE!</v>
      </c>
      <c r="AL64" t="e">
        <f t="shared" si="8"/>
        <v>#VALUE!</v>
      </c>
    </row>
    <row r="65" spans="1:38" x14ac:dyDescent="0.25">
      <c r="A65" s="4">
        <f>Raw!J66</f>
        <v>2</v>
      </c>
      <c r="B65" s="4" t="str">
        <f>Raw!K66</f>
        <v>Palm Ave</v>
      </c>
      <c r="C65" s="4" t="str">
        <f>Raw!L66</f>
        <v>Lansdale Ave</v>
      </c>
      <c r="D65" s="4" t="str">
        <f>Raw!M66</f>
        <v>Richmond Dr</v>
      </c>
      <c r="E65" s="23" t="str">
        <f>Raw!CG66</f>
        <v>E</v>
      </c>
      <c r="F65" s="7">
        <f>Raw!T66</f>
        <v>17</v>
      </c>
      <c r="G65" s="7">
        <f>Raw!AL66</f>
        <v>1</v>
      </c>
      <c r="H65" s="7">
        <f>Raw!AC66</f>
        <v>2</v>
      </c>
      <c r="I65" s="7">
        <f t="shared" si="0"/>
        <v>3</v>
      </c>
      <c r="J65" s="157" t="str">
        <f>Raw!BT66</f>
        <v>NA</v>
      </c>
      <c r="K65" s="157" t="str">
        <f>Raw!AW66</f>
        <v>NA</v>
      </c>
      <c r="L65" s="42" t="str">
        <f>IF(Raw!CE66 = "NA", "-", Raw!CE66)</f>
        <v>-</v>
      </c>
      <c r="M65" s="42" t="str">
        <f>IF(Raw!BH66 = "NA", "-", Raw!BH66)</f>
        <v>-</v>
      </c>
      <c r="N65" s="46" t="str">
        <f>IF(Raw!CD66 = "NA", "-", Raw!CD66)</f>
        <v>-</v>
      </c>
      <c r="O65" s="46" t="str">
        <f>IF(Raw!BG66 = "NA", "-", Raw!BG66)</f>
        <v>-</v>
      </c>
      <c r="P65" s="32" t="str">
        <f>IF(Raw!AW66 = "NA", "-", SUMPRODUCT(Raw!$BT$2:$CC$2, Raw!BT66:CC66))</f>
        <v>-</v>
      </c>
      <c r="Q65" s="32" t="str">
        <f>IF(Raw!AW66 = "NA", "-", SUMPRODUCT(Raw!$AW$2:$BF$2, Raw!AW66:BF66))</f>
        <v>-</v>
      </c>
      <c r="R65" s="7" t="e" cm="1">
        <f t="array" ref="R65">_xlfn.IFS(S65="YES", "Hourly", T65="YES", "Flat Rate")</f>
        <v>#N/A</v>
      </c>
      <c r="S65" s="8" t="str">
        <f>IF(Raw!CO66=1, "YES", "")</f>
        <v/>
      </c>
      <c r="T65" s="8" t="str">
        <f>IF(Raw!CO66=2, "YES", "")</f>
        <v/>
      </c>
      <c r="U65" s="96" t="str">
        <f>IF(Raw!CP66=1, "YES", "")</f>
        <v/>
      </c>
      <c r="V65" s="96"/>
      <c r="X65" s="23">
        <f>SUMPRODUCT(Raw!$BT$3:$CC$3, Raw!BT66:CC66)</f>
        <v>0</v>
      </c>
      <c r="Y65" s="23">
        <f>SUMPRODUCT(Raw!$BT$3:$CC$3, Raw!BU66:CD66)</f>
        <v>0</v>
      </c>
      <c r="Z65" s="28">
        <f t="shared" si="3"/>
        <v>0</v>
      </c>
      <c r="AA65" s="28">
        <f t="shared" si="4"/>
        <v>0</v>
      </c>
      <c r="AC65">
        <f t="shared" si="9"/>
        <v>17</v>
      </c>
      <c r="AD65" s="23">
        <f>IF(U65="YES",SUMPRODUCT(Raw!$BT$3:$CC$3,Raw!BT66:CC66)*0.6,SUMPRODUCT(Raw!$BT$3:$CC$3,Raw!BT66:CC66))</f>
        <v>0</v>
      </c>
      <c r="AE65" s="23">
        <f>IF(U65="YES",SUMPRODUCT(Raw!$BT$3:$CC$3,Raw!BU66:CD66)*0.6,SUMPRODUCT(Raw!$BT$3:$CC$3,Raw!BU66:CD66))</f>
        <v>0</v>
      </c>
      <c r="AF65" s="28">
        <f t="shared" si="5"/>
        <v>0</v>
      </c>
      <c r="AG65" s="28">
        <f t="shared" si="6"/>
        <v>0</v>
      </c>
      <c r="AI65" s="88" t="str">
        <f t="shared" si="1"/>
        <v>-</v>
      </c>
      <c r="AJ65" s="88" t="str">
        <f t="shared" si="2"/>
        <v>-</v>
      </c>
      <c r="AK65" t="e">
        <f t="shared" si="7"/>
        <v>#VALUE!</v>
      </c>
      <c r="AL65" t="e">
        <f t="shared" si="8"/>
        <v>#VALUE!</v>
      </c>
    </row>
    <row r="66" spans="1:38" x14ac:dyDescent="0.25">
      <c r="A66" s="4">
        <f>Raw!J67</f>
        <v>180</v>
      </c>
      <c r="B66" s="4" t="str">
        <f>Raw!K67</f>
        <v>Lansdale Ave</v>
      </c>
      <c r="C66" s="4" t="str">
        <f>Raw!L67</f>
        <v>Palm Ave</v>
      </c>
      <c r="D66" s="4" t="str">
        <f>Raw!M67</f>
        <v>Poplar Ave</v>
      </c>
      <c r="E66" s="23" t="str">
        <f>Raw!CG67</f>
        <v>N</v>
      </c>
      <c r="F66" s="7">
        <f>Raw!T67</f>
        <v>23</v>
      </c>
      <c r="G66" s="7">
        <f>Raw!AL67</f>
        <v>0</v>
      </c>
      <c r="H66" s="7">
        <f>Raw!AC67</f>
        <v>3</v>
      </c>
      <c r="I66" s="7">
        <f t="shared" ref="I66:I129" si="10">SUM(G66:H66)</f>
        <v>3</v>
      </c>
      <c r="J66" s="157" t="str">
        <f>Raw!BT67</f>
        <v>NA</v>
      </c>
      <c r="K66" s="157" t="str">
        <f>Raw!AW67</f>
        <v>NA</v>
      </c>
      <c r="L66" s="42" t="str">
        <f>IF(Raw!CE67 = "NA", "-", Raw!CE67)</f>
        <v>-</v>
      </c>
      <c r="M66" s="42" t="str">
        <f>IF(Raw!BH67 = "NA", "-", Raw!BH67)</f>
        <v>-</v>
      </c>
      <c r="N66" s="46" t="str">
        <f>IF(Raw!CD67 = "NA", "-", Raw!CD67)</f>
        <v>-</v>
      </c>
      <c r="O66" s="46" t="str">
        <f>IF(Raw!BG67 = "NA", "-", Raw!BG67)</f>
        <v>-</v>
      </c>
      <c r="P66" s="32" t="str">
        <f>IF(Raw!AW67 = "NA", "-", SUMPRODUCT(Raw!$BT$2:$CC$2, Raw!BT67:CC67))</f>
        <v>-</v>
      </c>
      <c r="Q66" s="32" t="str">
        <f>IF(Raw!AW67 = "NA", "-", SUMPRODUCT(Raw!$AW$2:$BF$2, Raw!AW67:BF67))</f>
        <v>-</v>
      </c>
      <c r="R66" s="7" t="e" cm="1">
        <f t="array" ref="R66">_xlfn.IFS(S66="YES", "Hourly", T66="YES", "Flat Rate")</f>
        <v>#N/A</v>
      </c>
      <c r="S66" s="8" t="str">
        <f>IF(Raw!CO67=1, "YES", "")</f>
        <v/>
      </c>
      <c r="T66" s="8" t="str">
        <f>IF(Raw!CO67=2, "YES", "")</f>
        <v/>
      </c>
      <c r="U66" s="96" t="str">
        <f>IF(Raw!CP67=1, "YES", "")</f>
        <v/>
      </c>
      <c r="V66" s="96"/>
      <c r="X66" s="23">
        <f>SUMPRODUCT(Raw!$BT$3:$CC$3, Raw!BT67:CC67)</f>
        <v>0</v>
      </c>
      <c r="Y66" s="23">
        <f>SUMPRODUCT(Raw!$BT$3:$CC$3, Raw!BU67:CD67)</f>
        <v>0</v>
      </c>
      <c r="Z66" s="28">
        <f t="shared" si="3"/>
        <v>0</v>
      </c>
      <c r="AA66" s="28">
        <f t="shared" si="4"/>
        <v>0</v>
      </c>
      <c r="AC66">
        <f t="shared" si="9"/>
        <v>23</v>
      </c>
      <c r="AD66" s="23">
        <f>IF(U66="YES",SUMPRODUCT(Raw!$BT$3:$CC$3,Raw!BT67:CC67)*0.6,SUMPRODUCT(Raw!$BT$3:$CC$3,Raw!BT67:CC67))</f>
        <v>0</v>
      </c>
      <c r="AE66" s="23">
        <f>IF(U66="YES",SUMPRODUCT(Raw!$BT$3:$CC$3,Raw!BU67:CD67)*0.6,SUMPRODUCT(Raw!$BT$3:$CC$3,Raw!BU67:CD67))</f>
        <v>0</v>
      </c>
      <c r="AF66" s="28">
        <f t="shared" si="5"/>
        <v>0</v>
      </c>
      <c r="AG66" s="28">
        <f t="shared" si="6"/>
        <v>0</v>
      </c>
      <c r="AI66" s="88" t="str">
        <f t="shared" si="1"/>
        <v>-</v>
      </c>
      <c r="AJ66" s="88" t="str">
        <f t="shared" si="2"/>
        <v>-</v>
      </c>
      <c r="AK66" t="e">
        <f t="shared" si="7"/>
        <v>#VALUE!</v>
      </c>
      <c r="AL66" t="e">
        <f t="shared" si="8"/>
        <v>#VALUE!</v>
      </c>
    </row>
    <row r="67" spans="1:38" x14ac:dyDescent="0.25">
      <c r="A67" s="4">
        <f>Raw!J68</f>
        <v>24</v>
      </c>
      <c r="B67" s="4" t="str">
        <f>Raw!K68</f>
        <v>Poplar Ave</v>
      </c>
      <c r="C67" s="4" t="str">
        <f>Raw!L68</f>
        <v>Taylor Blvd</v>
      </c>
      <c r="D67" s="4" t="str">
        <f>Raw!M68</f>
        <v>Library Ave</v>
      </c>
      <c r="E67" s="23" t="str">
        <f>Raw!CG68</f>
        <v>E</v>
      </c>
      <c r="F67" s="7">
        <f>Raw!T68</f>
        <v>20</v>
      </c>
      <c r="G67" s="7">
        <f>Raw!AL68</f>
        <v>0</v>
      </c>
      <c r="H67" s="7">
        <f>Raw!AC68</f>
        <v>0</v>
      </c>
      <c r="I67" s="7">
        <f t="shared" si="10"/>
        <v>0</v>
      </c>
      <c r="J67" s="157" t="str">
        <f>Raw!BT68</f>
        <v>NA</v>
      </c>
      <c r="K67" s="157" t="str">
        <f>Raw!AW68</f>
        <v>NA</v>
      </c>
      <c r="L67" s="42" t="str">
        <f>IF(Raw!CE68 = "NA", "-", Raw!CE68)</f>
        <v>-</v>
      </c>
      <c r="M67" s="42" t="str">
        <f>IF(Raw!BH68 = "NA", "-", Raw!BH68)</f>
        <v>-</v>
      </c>
      <c r="N67" s="46" t="str">
        <f>IF(Raw!CD68 = "NA", "-", Raw!CD68)</f>
        <v>-</v>
      </c>
      <c r="O67" s="46" t="str">
        <f>IF(Raw!BG68 = "NA", "-", Raw!BG68)</f>
        <v>-</v>
      </c>
      <c r="P67" s="32" t="str">
        <f>IF(Raw!AW68 = "NA", "-", SUMPRODUCT(Raw!$BT$2:$CC$2, Raw!BT68:CC68))</f>
        <v>-</v>
      </c>
      <c r="Q67" s="32" t="str">
        <f>IF(Raw!AW68 = "NA", "-", SUMPRODUCT(Raw!$AW$2:$BF$2, Raw!AW68:BF68))</f>
        <v>-</v>
      </c>
      <c r="R67" s="7" t="e" cm="1">
        <f t="array" ref="R67">_xlfn.IFS(S67="YES", "Hourly", T67="YES", "Flat Rate")</f>
        <v>#N/A</v>
      </c>
      <c r="S67" s="8" t="str">
        <f>IF(Raw!CO68=1, "YES", "")</f>
        <v/>
      </c>
      <c r="T67" s="8" t="str">
        <f>IF(Raw!CO68=2, "YES", "")</f>
        <v/>
      </c>
      <c r="U67" s="96" t="str">
        <f>IF(Raw!CP68=1, "YES", "")</f>
        <v/>
      </c>
      <c r="V67" s="96"/>
      <c r="X67" s="23">
        <f>SUMPRODUCT(Raw!$BT$3:$CC$3, Raw!BT68:CC68)</f>
        <v>0</v>
      </c>
      <c r="Y67" s="23">
        <f>SUMPRODUCT(Raw!$BT$3:$CC$3, Raw!BU68:CD68)</f>
        <v>0</v>
      </c>
      <c r="Z67" s="28">
        <f t="shared" si="3"/>
        <v>0</v>
      </c>
      <c r="AA67" s="28">
        <f t="shared" si="4"/>
        <v>0</v>
      </c>
      <c r="AC67">
        <f t="shared" si="9"/>
        <v>20</v>
      </c>
      <c r="AD67" s="23">
        <f>IF(U67="YES",SUMPRODUCT(Raw!$BT$3:$CC$3,Raw!BT68:CC68)*0.6,SUMPRODUCT(Raw!$BT$3:$CC$3,Raw!BT68:CC68))</f>
        <v>0</v>
      </c>
      <c r="AE67" s="23">
        <f>IF(U67="YES",SUMPRODUCT(Raw!$BT$3:$CC$3,Raw!BU68:CD68)*0.6,SUMPRODUCT(Raw!$BT$3:$CC$3,Raw!BU68:CD68))</f>
        <v>0</v>
      </c>
      <c r="AF67" s="28">
        <f t="shared" si="5"/>
        <v>0</v>
      </c>
      <c r="AG67" s="28">
        <f t="shared" si="6"/>
        <v>0</v>
      </c>
      <c r="AI67" s="88" t="str">
        <f t="shared" ref="AI67:AI130" si="11">N67</f>
        <v>-</v>
      </c>
      <c r="AJ67" s="88" t="str">
        <f t="shared" ref="AJ67:AJ130" si="12">O67</f>
        <v>-</v>
      </c>
      <c r="AK67" t="e">
        <f t="shared" si="7"/>
        <v>#VALUE!</v>
      </c>
      <c r="AL67" t="e">
        <f t="shared" si="8"/>
        <v>#VALUE!</v>
      </c>
    </row>
    <row r="68" spans="1:38" x14ac:dyDescent="0.25">
      <c r="A68" s="4">
        <f>Raw!J69</f>
        <v>51</v>
      </c>
      <c r="B68" s="4" t="str">
        <f>Raw!K69</f>
        <v>Magnolia Ave</v>
      </c>
      <c r="C68" s="4" t="str">
        <f>Raw!L69</f>
        <v>Library Ave</v>
      </c>
      <c r="D68" s="4" t="str">
        <f>Raw!M69</f>
        <v>Taylor Blvd</v>
      </c>
      <c r="E68" s="23" t="str">
        <f>Raw!CG69</f>
        <v>W</v>
      </c>
      <c r="F68" s="7">
        <f>Raw!T69</f>
        <v>10</v>
      </c>
      <c r="G68" s="7">
        <f>Raw!AL69</f>
        <v>0</v>
      </c>
      <c r="H68" s="7">
        <f>Raw!AC69</f>
        <v>0</v>
      </c>
      <c r="I68" s="7">
        <f t="shared" si="10"/>
        <v>0</v>
      </c>
      <c r="J68" s="157">
        <f>Raw!BT69</f>
        <v>2</v>
      </c>
      <c r="K68" s="157">
        <f>Raw!AW69</f>
        <v>1</v>
      </c>
      <c r="L68" s="42">
        <f>IF(Raw!CE69 = "NA", "-", Raw!CE69)</f>
        <v>0.3</v>
      </c>
      <c r="M68" s="42">
        <f>IF(Raw!BH69 = "NA", "-", Raw!BH69)</f>
        <v>0.2</v>
      </c>
      <c r="N68" s="46">
        <f>IF(Raw!CD69 = "NA", "-", Raw!CD69)</f>
        <v>3</v>
      </c>
      <c r="O68" s="46">
        <f>IF(Raw!BG69 = "NA", "-", Raw!BG69)</f>
        <v>2</v>
      </c>
      <c r="P68" s="32">
        <f>IF(Raw!AW69 = "NA", "-", SUMPRODUCT(Raw!$BT$2:$CC$2, Raw!BT69:CC69))</f>
        <v>8</v>
      </c>
      <c r="Q68" s="32">
        <f>IF(Raw!AW69 = "NA", "-", SUMPRODUCT(Raw!$AW$2:$BF$2, Raw!AW69:BF69))</f>
        <v>4</v>
      </c>
      <c r="R68" s="7" t="e" cm="1">
        <f t="array" ref="R68">_xlfn.IFS(S68="YES", "Hourly", T68="YES", "Flat Rate")</f>
        <v>#N/A</v>
      </c>
      <c r="S68" s="8" t="str">
        <f>IF(Raw!CO69=1, "YES", "")</f>
        <v/>
      </c>
      <c r="T68" s="8" t="str">
        <f>IF(Raw!CO69=2, "YES", "")</f>
        <v/>
      </c>
      <c r="U68" s="96" t="str">
        <f>IF(Raw!CP69=1, "YES", "")</f>
        <v/>
      </c>
      <c r="V68" s="96"/>
      <c r="X68" s="23">
        <f>SUMPRODUCT(Raw!$BT$3:$CC$3, Raw!BT69:CC69)</f>
        <v>4</v>
      </c>
      <c r="Y68" s="23">
        <f>SUMPRODUCT(Raw!$BT$3:$CC$3, Raw!BU69:CD69)</f>
        <v>8</v>
      </c>
      <c r="Z68" s="28">
        <f t="shared" ref="Z68:Z131" si="13">X68*5+Y68</f>
        <v>28</v>
      </c>
      <c r="AA68" s="28">
        <f t="shared" ref="AA68:AA131" si="14">X68*261+Y68*52</f>
        <v>1460</v>
      </c>
      <c r="AC68">
        <f t="shared" ref="AC68:AC131" si="15">IF(U68="YES", F68*0.6, F68)</f>
        <v>10</v>
      </c>
      <c r="AD68" s="23">
        <f>IF(U68="YES",SUMPRODUCT(Raw!$BT$3:$CC$3,Raw!BT69:CC69)*0.6,SUMPRODUCT(Raw!$BT$3:$CC$3,Raw!BT69:CC69))</f>
        <v>4</v>
      </c>
      <c r="AE68" s="23">
        <f>IF(U68="YES",SUMPRODUCT(Raw!$BT$3:$CC$3,Raw!BU69:CD69)*0.6,SUMPRODUCT(Raw!$BT$3:$CC$3,Raw!BU69:CD69))</f>
        <v>8</v>
      </c>
      <c r="AF68" s="28">
        <f t="shared" ref="AF68:AF131" si="16">AD68*5+AE68</f>
        <v>28</v>
      </c>
      <c r="AG68" s="28">
        <f t="shared" ref="AG68:AG131" si="17">AD68*261+AE68*52</f>
        <v>1460</v>
      </c>
      <c r="AI68" s="88">
        <f t="shared" si="11"/>
        <v>3</v>
      </c>
      <c r="AJ68" s="88">
        <f t="shared" si="12"/>
        <v>2</v>
      </c>
      <c r="AK68">
        <f t="shared" ref="AK68:AK131" si="18">(AI68*5+AJ68)*5.5</f>
        <v>93.5</v>
      </c>
      <c r="AL68">
        <f t="shared" ref="AL68:AL131" si="19">(AI68*261+AJ68*52)*5.5</f>
        <v>4878.5</v>
      </c>
    </row>
    <row r="69" spans="1:38" x14ac:dyDescent="0.25">
      <c r="A69" s="4">
        <f>Raw!J70</f>
        <v>192</v>
      </c>
      <c r="B69" s="4" t="str">
        <f>Raw!K70</f>
        <v>Taylor Blvd</v>
      </c>
      <c r="C69" s="4" t="str">
        <f>Raw!L70</f>
        <v>Magnolia Ave</v>
      </c>
      <c r="D69" s="4" t="str">
        <f>Raw!M70</f>
        <v>Poplar Ave</v>
      </c>
      <c r="E69" s="23" t="str">
        <f>Raw!CG70</f>
        <v>N</v>
      </c>
      <c r="F69" s="7">
        <f>Raw!T70</f>
        <v>20</v>
      </c>
      <c r="G69" s="7">
        <f>Raw!AL70</f>
        <v>0</v>
      </c>
      <c r="H69" s="7">
        <f>Raw!AC70</f>
        <v>0</v>
      </c>
      <c r="I69" s="7">
        <f t="shared" si="10"/>
        <v>0</v>
      </c>
      <c r="J69" s="157" t="str">
        <f>Raw!BT70</f>
        <v>NA</v>
      </c>
      <c r="K69" s="157" t="str">
        <f>Raw!AW70</f>
        <v>NA</v>
      </c>
      <c r="L69" s="42" t="str">
        <f>IF(Raw!CE70 = "NA", "-", Raw!CE70)</f>
        <v>-</v>
      </c>
      <c r="M69" s="42" t="str">
        <f>IF(Raw!BH70 = "NA", "-", Raw!BH70)</f>
        <v>-</v>
      </c>
      <c r="N69" s="46" t="str">
        <f>IF(Raw!CD70 = "NA", "-", Raw!CD70)</f>
        <v>-</v>
      </c>
      <c r="O69" s="46" t="str">
        <f>IF(Raw!BG70 = "NA", "-", Raw!BG70)</f>
        <v>-</v>
      </c>
      <c r="P69" s="32" t="str">
        <f>IF(Raw!AW70 = "NA", "-", SUMPRODUCT(Raw!$BT$2:$CC$2, Raw!BT70:CC70))</f>
        <v>-</v>
      </c>
      <c r="Q69" s="32" t="str">
        <f>IF(Raw!AW70 = "NA", "-", SUMPRODUCT(Raw!$AW$2:$BF$2, Raw!AW70:BF70))</f>
        <v>-</v>
      </c>
      <c r="R69" s="7" t="e" cm="1">
        <f t="array" ref="R69">_xlfn.IFS(S69="YES", "Hourly", T69="YES", "Flat Rate")</f>
        <v>#N/A</v>
      </c>
      <c r="S69" s="8" t="str">
        <f>IF(Raw!CO70=1, "YES", "")</f>
        <v/>
      </c>
      <c r="T69" s="8" t="str">
        <f>IF(Raw!CO70=2, "YES", "")</f>
        <v/>
      </c>
      <c r="U69" s="96" t="str">
        <f>IF(Raw!CP70=1, "YES", "")</f>
        <v/>
      </c>
      <c r="V69" s="96"/>
      <c r="X69" s="23">
        <f>SUMPRODUCT(Raw!$BT$3:$CC$3, Raw!BT70:CC70)</f>
        <v>0</v>
      </c>
      <c r="Y69" s="23">
        <f>SUMPRODUCT(Raw!$BT$3:$CC$3, Raw!BU70:CD70)</f>
        <v>0</v>
      </c>
      <c r="Z69" s="28">
        <f t="shared" si="13"/>
        <v>0</v>
      </c>
      <c r="AA69" s="28">
        <f t="shared" si="14"/>
        <v>0</v>
      </c>
      <c r="AC69">
        <f t="shared" si="15"/>
        <v>20</v>
      </c>
      <c r="AD69" s="23">
        <f>IF(U69="YES",SUMPRODUCT(Raw!$BT$3:$CC$3,Raw!BT70:CC70)*0.6,SUMPRODUCT(Raw!$BT$3:$CC$3,Raw!BT70:CC70))</f>
        <v>0</v>
      </c>
      <c r="AE69" s="23">
        <f>IF(U69="YES",SUMPRODUCT(Raw!$BT$3:$CC$3,Raw!BU70:CD70)*0.6,SUMPRODUCT(Raw!$BT$3:$CC$3,Raw!BU70:CD70))</f>
        <v>0</v>
      </c>
      <c r="AF69" s="28">
        <f t="shared" si="16"/>
        <v>0</v>
      </c>
      <c r="AG69" s="28">
        <f t="shared" si="17"/>
        <v>0</v>
      </c>
      <c r="AI69" s="88" t="str">
        <f t="shared" si="11"/>
        <v>-</v>
      </c>
      <c r="AJ69" s="88" t="str">
        <f t="shared" si="12"/>
        <v>-</v>
      </c>
      <c r="AK69" t="e">
        <f t="shared" si="18"/>
        <v>#VALUE!</v>
      </c>
      <c r="AL69" t="e">
        <f t="shared" si="19"/>
        <v>#VALUE!</v>
      </c>
    </row>
    <row r="70" spans="1:38" x14ac:dyDescent="0.25">
      <c r="A70" s="4">
        <f>Raw!J71</f>
        <v>173</v>
      </c>
      <c r="B70" s="4" t="str">
        <f>Raw!K71</f>
        <v>Meadow Glen Ave</v>
      </c>
      <c r="C70" s="4" t="str">
        <f>Raw!L71</f>
        <v>Broadway</v>
      </c>
      <c r="D70" s="4" t="str">
        <f>Raw!M71</f>
        <v>El Camino Real</v>
      </c>
      <c r="E70" s="23" t="str">
        <f>Raw!CG71</f>
        <v>S</v>
      </c>
      <c r="F70" s="7">
        <f>Raw!T71</f>
        <v>0</v>
      </c>
      <c r="G70" s="7">
        <f>Raw!AL71</f>
        <v>0</v>
      </c>
      <c r="H70" s="7">
        <f>Raw!AC71</f>
        <v>0</v>
      </c>
      <c r="I70" s="7">
        <f t="shared" si="10"/>
        <v>0</v>
      </c>
      <c r="J70" s="157">
        <f>Raw!BT71</f>
        <v>0</v>
      </c>
      <c r="K70" s="157">
        <f>Raw!AW71</f>
        <v>0</v>
      </c>
      <c r="L70" s="42">
        <f>IF(Raw!CE71 = "NA", "-", Raw!CE71)</f>
        <v>0</v>
      </c>
      <c r="M70" s="42">
        <f>IF(Raw!BH71 = "NA", "-", Raw!BH71)</f>
        <v>0</v>
      </c>
      <c r="N70" s="46">
        <f>IF(Raw!CD71 = "NA", "-", Raw!CD71)</f>
        <v>0</v>
      </c>
      <c r="O70" s="46">
        <f>IF(Raw!BG71 = "NA", "-", Raw!BG71)</f>
        <v>0</v>
      </c>
      <c r="P70" s="32">
        <f>IF(Raw!AW71 = "NA", "-", SUMPRODUCT(Raw!$BT$2:$CC$2, Raw!BT71:CC71))</f>
        <v>0</v>
      </c>
      <c r="Q70" s="32">
        <f>IF(Raw!AW71 = "NA", "-", SUMPRODUCT(Raw!$AW$2:$BF$2, Raw!AW71:BF71))</f>
        <v>0</v>
      </c>
      <c r="R70" s="7" t="str" cm="1">
        <f t="array" ref="R70">_xlfn.IFS(S70="YES", "Hourly", T70="YES", "Flat Rate")</f>
        <v>Hourly</v>
      </c>
      <c r="S70" s="8" t="str">
        <f>IF(Raw!CO71=1, "YES", "")</f>
        <v>YES</v>
      </c>
      <c r="T70" s="8" t="str">
        <f>IF(Raw!CO71=2, "YES", "")</f>
        <v/>
      </c>
      <c r="U70" s="96" t="str">
        <f>IF(Raw!CP71=1, "YES", "")</f>
        <v/>
      </c>
      <c r="V70" s="96"/>
      <c r="X70" s="23">
        <f>SUMPRODUCT(Raw!$BT$3:$CC$3, Raw!BT71:CC71)</f>
        <v>0</v>
      </c>
      <c r="Y70" s="23">
        <f>SUMPRODUCT(Raw!$BT$3:$CC$3, Raw!BU71:CD71)</f>
        <v>0</v>
      </c>
      <c r="Z70" s="28">
        <f t="shared" si="13"/>
        <v>0</v>
      </c>
      <c r="AA70" s="28">
        <f t="shared" si="14"/>
        <v>0</v>
      </c>
      <c r="AC70">
        <f t="shared" si="15"/>
        <v>0</v>
      </c>
      <c r="AD70" s="23">
        <f>IF(U70="YES",SUMPRODUCT(Raw!$BT$3:$CC$3,Raw!BT71:CC71)*0.6,SUMPRODUCT(Raw!$BT$3:$CC$3,Raw!BT71:CC71))</f>
        <v>0</v>
      </c>
      <c r="AE70" s="23">
        <f>IF(U70="YES",SUMPRODUCT(Raw!$BT$3:$CC$3,Raw!BU71:CD71)*0.6,SUMPRODUCT(Raw!$BT$3:$CC$3,Raw!BU71:CD71))</f>
        <v>0</v>
      </c>
      <c r="AF70" s="28">
        <f t="shared" si="16"/>
        <v>0</v>
      </c>
      <c r="AG70" s="28">
        <f t="shared" si="17"/>
        <v>0</v>
      </c>
      <c r="AI70" s="88">
        <f t="shared" si="11"/>
        <v>0</v>
      </c>
      <c r="AJ70" s="88">
        <f t="shared" si="12"/>
        <v>0</v>
      </c>
      <c r="AK70">
        <f t="shared" si="18"/>
        <v>0</v>
      </c>
      <c r="AL70">
        <f t="shared" si="19"/>
        <v>0</v>
      </c>
    </row>
    <row r="71" spans="1:38" x14ac:dyDescent="0.25">
      <c r="A71" s="4">
        <f>Raw!J72</f>
        <v>80</v>
      </c>
      <c r="B71" s="4" t="str">
        <f>Raw!K72</f>
        <v>Broadway</v>
      </c>
      <c r="C71" s="4" t="str">
        <f>Raw!L72</f>
        <v>Meadow Glen Ave</v>
      </c>
      <c r="D71" s="4" t="str">
        <f>Raw!M72</f>
        <v>Parking Lot</v>
      </c>
      <c r="E71" s="23" t="str">
        <f>Raw!CG72</f>
        <v>W</v>
      </c>
      <c r="F71" s="7">
        <f>Raw!T72</f>
        <v>21</v>
      </c>
      <c r="G71" s="7">
        <f>Raw!AL72</f>
        <v>3</v>
      </c>
      <c r="H71" s="7">
        <f>Raw!AC72</f>
        <v>3</v>
      </c>
      <c r="I71" s="7">
        <f t="shared" si="10"/>
        <v>6</v>
      </c>
      <c r="J71" s="157">
        <f>Raw!BT72</f>
        <v>86</v>
      </c>
      <c r="K71" s="157">
        <f>Raw!AW72</f>
        <v>102</v>
      </c>
      <c r="L71" s="42">
        <f>IF(Raw!CE72 = "NA", "-", Raw!CE72)</f>
        <v>6.3</v>
      </c>
      <c r="M71" s="42">
        <f>IF(Raw!BH72 = "NA", "-", Raw!BH72)</f>
        <v>6.4</v>
      </c>
      <c r="N71" s="46">
        <f>IF(Raw!CD72 = "NA", "-", Raw!CD72)</f>
        <v>132</v>
      </c>
      <c r="O71" s="46">
        <f>IF(Raw!BG72 = "NA", "-", Raw!BG72)</f>
        <v>135</v>
      </c>
      <c r="P71" s="32">
        <f>IF(Raw!AW72 = "NA", "-", SUMPRODUCT(Raw!$BT$2:$CC$2, Raw!BT72:CC72))</f>
        <v>190</v>
      </c>
      <c r="Q71" s="32">
        <f>IF(Raw!AW72 = "NA", "-", SUMPRODUCT(Raw!$AW$2:$BF$2, Raw!AW72:BF72))</f>
        <v>185</v>
      </c>
      <c r="R71" s="7" t="str" cm="1">
        <f t="array" ref="R71">_xlfn.IFS(S71="YES", "Hourly", T71="YES", "Flat Rate")</f>
        <v>Hourly</v>
      </c>
      <c r="S71" s="8" t="str">
        <f>IF(Raw!CO72=1, "YES", "")</f>
        <v>YES</v>
      </c>
      <c r="T71" s="8" t="str">
        <f>IF(Raw!CO72=2, "YES", "")</f>
        <v/>
      </c>
      <c r="U71" s="96" t="str">
        <f>IF(Raw!CP72=1, "YES", "")</f>
        <v/>
      </c>
      <c r="V71" s="96"/>
      <c r="X71" s="23">
        <f>SUMPRODUCT(Raw!$BT$3:$CC$3, Raw!BT72:CC72)</f>
        <v>178</v>
      </c>
      <c r="Y71" s="23">
        <f>SUMPRODUCT(Raw!$BT$3:$CC$3, Raw!BU72:CD72)</f>
        <v>322</v>
      </c>
      <c r="Z71" s="28">
        <f t="shared" si="13"/>
        <v>1212</v>
      </c>
      <c r="AA71" s="28">
        <f t="shared" si="14"/>
        <v>63202</v>
      </c>
      <c r="AC71">
        <f t="shared" si="15"/>
        <v>21</v>
      </c>
      <c r="AD71" s="23">
        <f>IF(U71="YES",SUMPRODUCT(Raw!$BT$3:$CC$3,Raw!BT72:CC72)*0.6,SUMPRODUCT(Raw!$BT$3:$CC$3,Raw!BT72:CC72))</f>
        <v>178</v>
      </c>
      <c r="AE71" s="23">
        <f>IF(U71="YES",SUMPRODUCT(Raw!$BT$3:$CC$3,Raw!BU72:CD72)*0.6,SUMPRODUCT(Raw!$BT$3:$CC$3,Raw!BU72:CD72))</f>
        <v>322</v>
      </c>
      <c r="AF71" s="28">
        <f t="shared" si="16"/>
        <v>1212</v>
      </c>
      <c r="AG71" s="28">
        <f t="shared" si="17"/>
        <v>63202</v>
      </c>
      <c r="AI71" s="88">
        <f t="shared" si="11"/>
        <v>132</v>
      </c>
      <c r="AJ71" s="88">
        <f t="shared" si="12"/>
        <v>135</v>
      </c>
      <c r="AK71">
        <f t="shared" si="18"/>
        <v>4372.5</v>
      </c>
      <c r="AL71">
        <f t="shared" si="19"/>
        <v>228096</v>
      </c>
    </row>
    <row r="72" spans="1:38" x14ac:dyDescent="0.25">
      <c r="A72" s="4">
        <f>Raw!J73</f>
        <v>81</v>
      </c>
      <c r="B72" s="4" t="str">
        <f>Raw!K73</f>
        <v>Broadway</v>
      </c>
      <c r="C72" s="4" t="str">
        <f>Raw!L73</f>
        <v>Crosswalk</v>
      </c>
      <c r="D72" s="4" t="str">
        <f>Raw!M73</f>
        <v>Meadow Glen Ave</v>
      </c>
      <c r="E72" s="23" t="str">
        <f>Raw!CG73</f>
        <v>E</v>
      </c>
      <c r="F72" s="7">
        <f>Raw!T73</f>
        <v>18</v>
      </c>
      <c r="G72" s="7">
        <f>Raw!AL73</f>
        <v>1</v>
      </c>
      <c r="H72" s="7">
        <f>Raw!AC73</f>
        <v>0</v>
      </c>
      <c r="I72" s="7">
        <f t="shared" si="10"/>
        <v>1</v>
      </c>
      <c r="J72" s="157">
        <f>Raw!BT73</f>
        <v>47</v>
      </c>
      <c r="K72" s="157">
        <f>Raw!AW73</f>
        <v>62</v>
      </c>
      <c r="L72" s="42">
        <f>IF(Raw!CE73 = "NA", "-", Raw!CE73)</f>
        <v>4.4000000000000004</v>
      </c>
      <c r="M72" s="42">
        <f>IF(Raw!BH73 = "NA", "-", Raw!BH73)</f>
        <v>4.2</v>
      </c>
      <c r="N72" s="46">
        <f>IF(Raw!CD73 = "NA", "-", Raw!CD73)</f>
        <v>80</v>
      </c>
      <c r="O72" s="46">
        <f>IF(Raw!BG73 = "NA", "-", Raw!BG73)</f>
        <v>75</v>
      </c>
      <c r="P72" s="32">
        <f>IF(Raw!AW73 = "NA", "-", SUMPRODUCT(Raw!$BT$2:$CC$2, Raw!BT73:CC73))</f>
        <v>127</v>
      </c>
      <c r="Q72" s="32">
        <f>IF(Raw!AW73 = "NA", "-", SUMPRODUCT(Raw!$AW$2:$BF$2, Raw!AW73:BF73))</f>
        <v>96</v>
      </c>
      <c r="R72" s="7" t="str" cm="1">
        <f t="array" ref="R72">_xlfn.IFS(S72="YES", "Hourly", T72="YES", "Flat Rate")</f>
        <v>Hourly</v>
      </c>
      <c r="S72" s="8" t="str">
        <f>IF(Raw!CO73=1, "YES", "")</f>
        <v>YES</v>
      </c>
      <c r="T72" s="8" t="str">
        <f>IF(Raw!CO73=2, "YES", "")</f>
        <v/>
      </c>
      <c r="U72" s="96" t="str">
        <f>IF(Raw!CP73=1, "YES", "")</f>
        <v/>
      </c>
      <c r="V72" s="96"/>
      <c r="X72" s="23">
        <f>SUMPRODUCT(Raw!$BT$3:$CC$3, Raw!BT73:CC73)</f>
        <v>113</v>
      </c>
      <c r="Y72" s="23">
        <f>SUMPRODUCT(Raw!$BT$3:$CC$3, Raw!BU73:CD73)</f>
        <v>204</v>
      </c>
      <c r="Z72" s="28">
        <f t="shared" si="13"/>
        <v>769</v>
      </c>
      <c r="AA72" s="28">
        <f t="shared" si="14"/>
        <v>40101</v>
      </c>
      <c r="AC72">
        <f t="shared" si="15"/>
        <v>18</v>
      </c>
      <c r="AD72" s="23">
        <f>IF(U72="YES",SUMPRODUCT(Raw!$BT$3:$CC$3,Raw!BT73:CC73)*0.6,SUMPRODUCT(Raw!$BT$3:$CC$3,Raw!BT73:CC73))</f>
        <v>113</v>
      </c>
      <c r="AE72" s="23">
        <f>IF(U72="YES",SUMPRODUCT(Raw!$BT$3:$CC$3,Raw!BU73:CD73)*0.6,SUMPRODUCT(Raw!$BT$3:$CC$3,Raw!BU73:CD73))</f>
        <v>204</v>
      </c>
      <c r="AF72" s="28">
        <f t="shared" si="16"/>
        <v>769</v>
      </c>
      <c r="AG72" s="28">
        <f t="shared" si="17"/>
        <v>40101</v>
      </c>
      <c r="AI72" s="88">
        <f t="shared" si="11"/>
        <v>80</v>
      </c>
      <c r="AJ72" s="88">
        <f t="shared" si="12"/>
        <v>75</v>
      </c>
      <c r="AK72">
        <f t="shared" si="18"/>
        <v>2612.5</v>
      </c>
      <c r="AL72">
        <f t="shared" si="19"/>
        <v>136290</v>
      </c>
    </row>
    <row r="73" spans="1:38" x14ac:dyDescent="0.25">
      <c r="A73" s="4">
        <f>Raw!J74</f>
        <v>82</v>
      </c>
      <c r="B73" s="4" t="str">
        <f>Raw!K74</f>
        <v>Broadway</v>
      </c>
      <c r="C73" s="4" t="str">
        <f>Raw!L74</f>
        <v>Parking Lot</v>
      </c>
      <c r="D73" s="4" t="str">
        <f>Raw!M74</f>
        <v>Silva Ave</v>
      </c>
      <c r="E73" s="23" t="str">
        <f>Raw!CG74</f>
        <v>W</v>
      </c>
      <c r="F73" s="7">
        <f>Raw!T74</f>
        <v>9</v>
      </c>
      <c r="G73" s="7">
        <f>Raw!AL74</f>
        <v>2</v>
      </c>
      <c r="H73" s="7">
        <f>Raw!AC74</f>
        <v>3</v>
      </c>
      <c r="I73" s="7">
        <f t="shared" si="10"/>
        <v>5</v>
      </c>
      <c r="J73" s="157">
        <f>Raw!BT74</f>
        <v>36</v>
      </c>
      <c r="K73" s="157">
        <f>Raw!AW74</f>
        <v>74</v>
      </c>
      <c r="L73" s="42">
        <f>IF(Raw!CE74 = "NA", "-", Raw!CE74)</f>
        <v>5</v>
      </c>
      <c r="M73" s="42">
        <f>IF(Raw!BH74 = "NA", "-", Raw!BH74)</f>
        <v>8.8000000000000007</v>
      </c>
      <c r="N73" s="46">
        <f>IF(Raw!CD74 = "NA", "-", Raw!CD74)</f>
        <v>45</v>
      </c>
      <c r="O73" s="46">
        <f>IF(Raw!BG74 = "NA", "-", Raw!BG74)</f>
        <v>79</v>
      </c>
      <c r="P73" s="32">
        <f>IF(Raw!AW74 = "NA", "-", SUMPRODUCT(Raw!$BT$2:$CC$2, Raw!BT74:CC74))</f>
        <v>70</v>
      </c>
      <c r="Q73" s="32">
        <f>IF(Raw!AW74 = "NA", "-", SUMPRODUCT(Raw!$AW$2:$BF$2, Raw!AW74:BF74))</f>
        <v>85</v>
      </c>
      <c r="R73" s="7" t="str" cm="1">
        <f t="array" ref="R73">_xlfn.IFS(S73="YES", "Hourly", T73="YES", "Flat Rate")</f>
        <v>Hourly</v>
      </c>
      <c r="S73" s="8" t="str">
        <f>IF(Raw!CO74=1, "YES", "")</f>
        <v>YES</v>
      </c>
      <c r="T73" s="8" t="str">
        <f>IF(Raw!CO74=2, "YES", "")</f>
        <v/>
      </c>
      <c r="U73" s="96" t="str">
        <f>IF(Raw!CP74=1, "YES", "")</f>
        <v/>
      </c>
      <c r="V73" s="96"/>
      <c r="X73" s="23">
        <f>SUMPRODUCT(Raw!$BT$3:$CC$3, Raw!BT74:CC74)</f>
        <v>54</v>
      </c>
      <c r="Y73" s="23">
        <f>SUMPRODUCT(Raw!$BT$3:$CC$3, Raw!BU74:CD74)</f>
        <v>107</v>
      </c>
      <c r="Z73" s="28">
        <f t="shared" si="13"/>
        <v>377</v>
      </c>
      <c r="AA73" s="28">
        <f t="shared" si="14"/>
        <v>19658</v>
      </c>
      <c r="AC73">
        <f t="shared" si="15"/>
        <v>9</v>
      </c>
      <c r="AD73" s="23">
        <f>IF(U73="YES",SUMPRODUCT(Raw!$BT$3:$CC$3,Raw!BT74:CC74)*0.6,SUMPRODUCT(Raw!$BT$3:$CC$3,Raw!BT74:CC74))</f>
        <v>54</v>
      </c>
      <c r="AE73" s="23">
        <f>IF(U73="YES",SUMPRODUCT(Raw!$BT$3:$CC$3,Raw!BU74:CD74)*0.6,SUMPRODUCT(Raw!$BT$3:$CC$3,Raw!BU74:CD74))</f>
        <v>107</v>
      </c>
      <c r="AF73" s="28">
        <f t="shared" si="16"/>
        <v>377</v>
      </c>
      <c r="AG73" s="28">
        <f t="shared" si="17"/>
        <v>19658</v>
      </c>
      <c r="AI73" s="88">
        <f t="shared" si="11"/>
        <v>45</v>
      </c>
      <c r="AJ73" s="88">
        <f t="shared" si="12"/>
        <v>79</v>
      </c>
      <c r="AK73">
        <f t="shared" si="18"/>
        <v>1672</v>
      </c>
      <c r="AL73">
        <f t="shared" si="19"/>
        <v>87191.5</v>
      </c>
    </row>
    <row r="74" spans="1:38" x14ac:dyDescent="0.25">
      <c r="A74" s="4">
        <f>Raw!J75</f>
        <v>83</v>
      </c>
      <c r="B74" s="4" t="str">
        <f>Raw!K75</f>
        <v>Broadway</v>
      </c>
      <c r="C74" s="4" t="str">
        <f>Raw!L75</f>
        <v>Silva Ave</v>
      </c>
      <c r="D74" s="4" t="str">
        <f>Raw!M75</f>
        <v>Crosswalk</v>
      </c>
      <c r="E74" s="23" t="str">
        <f>Raw!CG75</f>
        <v>E</v>
      </c>
      <c r="F74" s="7">
        <f>Raw!T75</f>
        <v>24</v>
      </c>
      <c r="G74" s="7">
        <f>Raw!AL75</f>
        <v>0</v>
      </c>
      <c r="H74" s="7">
        <f>Raw!AC75</f>
        <v>0</v>
      </c>
      <c r="I74" s="7">
        <f t="shared" si="10"/>
        <v>0</v>
      </c>
      <c r="J74" s="157">
        <f>Raw!BT75</f>
        <v>75</v>
      </c>
      <c r="K74" s="157">
        <f>Raw!AW75</f>
        <v>117</v>
      </c>
      <c r="L74" s="42">
        <f>IF(Raw!CE75 = "NA", "-", Raw!CE75)</f>
        <v>3.8</v>
      </c>
      <c r="M74" s="42">
        <f>IF(Raw!BH75 = "NA", "-", Raw!BH75)</f>
        <v>5.3</v>
      </c>
      <c r="N74" s="46">
        <f>IF(Raw!CD75 = "NA", "-", Raw!CD75)</f>
        <v>92</v>
      </c>
      <c r="O74" s="46">
        <f>IF(Raw!BG75 = "NA", "-", Raw!BG75)</f>
        <v>127</v>
      </c>
      <c r="P74" s="32">
        <f>IF(Raw!AW75 = "NA", "-", SUMPRODUCT(Raw!$BT$2:$CC$2, Raw!BT75:CC75))</f>
        <v>110</v>
      </c>
      <c r="Q74" s="32">
        <f>IF(Raw!AW75 = "NA", "-", SUMPRODUCT(Raw!$AW$2:$BF$2, Raw!AW75:BF75))</f>
        <v>144</v>
      </c>
      <c r="R74" s="7" t="str" cm="1">
        <f t="array" ref="R74">_xlfn.IFS(S74="YES", "Hourly", T74="YES", "Flat Rate")</f>
        <v>Hourly</v>
      </c>
      <c r="S74" s="8" t="str">
        <f>IF(Raw!CO75=1, "YES", "")</f>
        <v>YES</v>
      </c>
      <c r="T74" s="8" t="str">
        <f>IF(Raw!CO75=2, "YES", "")</f>
        <v/>
      </c>
      <c r="U74" s="96" t="str">
        <f>IF(Raw!CP75=1, "YES", "")</f>
        <v/>
      </c>
      <c r="V74" s="96"/>
      <c r="X74" s="23">
        <f>SUMPRODUCT(Raw!$BT$3:$CC$3, Raw!BT75:CC75)</f>
        <v>109</v>
      </c>
      <c r="Y74" s="23">
        <f>SUMPRODUCT(Raw!$BT$3:$CC$3, Raw!BU75:CD75)</f>
        <v>202</v>
      </c>
      <c r="Z74" s="28">
        <f t="shared" si="13"/>
        <v>747</v>
      </c>
      <c r="AA74" s="28">
        <f t="shared" si="14"/>
        <v>38953</v>
      </c>
      <c r="AC74">
        <f t="shared" si="15"/>
        <v>24</v>
      </c>
      <c r="AD74" s="23">
        <f>IF(U74="YES",SUMPRODUCT(Raw!$BT$3:$CC$3,Raw!BT75:CC75)*0.6,SUMPRODUCT(Raw!$BT$3:$CC$3,Raw!BT75:CC75))</f>
        <v>109</v>
      </c>
      <c r="AE74" s="23">
        <f>IF(U74="YES",SUMPRODUCT(Raw!$BT$3:$CC$3,Raw!BU75:CD75)*0.6,SUMPRODUCT(Raw!$BT$3:$CC$3,Raw!BU75:CD75))</f>
        <v>202</v>
      </c>
      <c r="AF74" s="28">
        <f t="shared" si="16"/>
        <v>747</v>
      </c>
      <c r="AG74" s="28">
        <f t="shared" si="17"/>
        <v>38953</v>
      </c>
      <c r="AI74" s="88">
        <f t="shared" si="11"/>
        <v>92</v>
      </c>
      <c r="AJ74" s="88">
        <f t="shared" si="12"/>
        <v>127</v>
      </c>
      <c r="AK74">
        <f t="shared" si="18"/>
        <v>3228.5</v>
      </c>
      <c r="AL74">
        <f t="shared" si="19"/>
        <v>168388</v>
      </c>
    </row>
    <row r="75" spans="1:38" x14ac:dyDescent="0.25">
      <c r="A75" s="4">
        <f>Raw!J76</f>
        <v>84</v>
      </c>
      <c r="B75" s="4" t="str">
        <f>Raw!K76</f>
        <v>Broadway</v>
      </c>
      <c r="C75" s="4" t="str">
        <f>Raw!L76</f>
        <v>Crosswalk</v>
      </c>
      <c r="D75" s="4" t="str">
        <f>Raw!M76</f>
        <v>Taylor Blvd</v>
      </c>
      <c r="E75" s="23" t="str">
        <f>Raw!CG76</f>
        <v>W</v>
      </c>
      <c r="F75" s="7">
        <f>Raw!T76</f>
        <v>19</v>
      </c>
      <c r="G75" s="7">
        <f>Raw!AL76</f>
        <v>1</v>
      </c>
      <c r="H75" s="7">
        <f>Raw!AC76</f>
        <v>2</v>
      </c>
      <c r="I75" s="7">
        <f t="shared" si="10"/>
        <v>3</v>
      </c>
      <c r="J75" s="157">
        <f>Raw!BT76</f>
        <v>52</v>
      </c>
      <c r="K75" s="157">
        <f>Raw!AW76</f>
        <v>148</v>
      </c>
      <c r="L75" s="42">
        <f>IF(Raw!CE76 = "NA", "-", Raw!CE76)</f>
        <v>4.0999999999999996</v>
      </c>
      <c r="M75" s="42">
        <f>IF(Raw!BH76 = "NA", "-", Raw!BH76)</f>
        <v>8.1999999999999993</v>
      </c>
      <c r="N75" s="46">
        <f>IF(Raw!CD76 = "NA", "-", Raw!CD76)</f>
        <v>77</v>
      </c>
      <c r="O75" s="46">
        <f>IF(Raw!BG76 = "NA", "-", Raw!BG76)</f>
        <v>156</v>
      </c>
      <c r="P75" s="32">
        <f>IF(Raw!AW76 = "NA", "-", SUMPRODUCT(Raw!$BT$2:$CC$2, Raw!BT76:CC76))</f>
        <v>144</v>
      </c>
      <c r="Q75" s="32">
        <f>IF(Raw!AW76 = "NA", "-", SUMPRODUCT(Raw!$AW$2:$BF$2, Raw!AW76:BF76))</f>
        <v>166</v>
      </c>
      <c r="R75" s="7" t="str" cm="1">
        <f t="array" ref="R75">_xlfn.IFS(S75="YES", "Hourly", T75="YES", "Flat Rate")</f>
        <v>Hourly</v>
      </c>
      <c r="S75" s="8" t="str">
        <f>IF(Raw!CO76=1, "YES", "")</f>
        <v>YES</v>
      </c>
      <c r="T75" s="8" t="str">
        <f>IF(Raw!CO76=2, "YES", "")</f>
        <v/>
      </c>
      <c r="U75" s="96" t="str">
        <f>IF(Raw!CP76=1, "YES", "")</f>
        <v/>
      </c>
      <c r="V75" s="96"/>
      <c r="X75" s="23">
        <f>SUMPRODUCT(Raw!$BT$3:$CC$3, Raw!BT76:CC76)</f>
        <v>102</v>
      </c>
      <c r="Y75" s="23">
        <f>SUMPRODUCT(Raw!$BT$3:$CC$3, Raw!BU76:CD76)</f>
        <v>196</v>
      </c>
      <c r="Z75" s="28">
        <f t="shared" si="13"/>
        <v>706</v>
      </c>
      <c r="AA75" s="28">
        <f t="shared" si="14"/>
        <v>36814</v>
      </c>
      <c r="AC75">
        <f t="shared" si="15"/>
        <v>19</v>
      </c>
      <c r="AD75" s="23">
        <f>IF(U75="YES",SUMPRODUCT(Raw!$BT$3:$CC$3,Raw!BT76:CC76)*0.6,SUMPRODUCT(Raw!$BT$3:$CC$3,Raw!BT76:CC76))</f>
        <v>102</v>
      </c>
      <c r="AE75" s="23">
        <f>IF(U75="YES",SUMPRODUCT(Raw!$BT$3:$CC$3,Raw!BU76:CD76)*0.6,SUMPRODUCT(Raw!$BT$3:$CC$3,Raw!BU76:CD76))</f>
        <v>196</v>
      </c>
      <c r="AF75" s="28">
        <f t="shared" si="16"/>
        <v>706</v>
      </c>
      <c r="AG75" s="28">
        <f t="shared" si="17"/>
        <v>36814</v>
      </c>
      <c r="AI75" s="88">
        <f t="shared" si="11"/>
        <v>77</v>
      </c>
      <c r="AJ75" s="88">
        <f t="shared" si="12"/>
        <v>156</v>
      </c>
      <c r="AK75">
        <f t="shared" si="18"/>
        <v>2975.5</v>
      </c>
      <c r="AL75">
        <f t="shared" si="19"/>
        <v>155149.5</v>
      </c>
    </row>
    <row r="76" spans="1:38" x14ac:dyDescent="0.25">
      <c r="A76" s="4">
        <f>Raw!J77</f>
        <v>85</v>
      </c>
      <c r="B76" s="4" t="str">
        <f>Raw!K77</f>
        <v>Broadway</v>
      </c>
      <c r="C76" s="4" t="str">
        <f>Raw!L77</f>
        <v>Taylor Blvd</v>
      </c>
      <c r="D76" s="4" t="str">
        <f>Raw!M77</f>
        <v>Silva Ave</v>
      </c>
      <c r="E76" s="23" t="str">
        <f>Raw!CG77</f>
        <v>E</v>
      </c>
      <c r="F76" s="7">
        <f>Raw!T77</f>
        <v>26</v>
      </c>
      <c r="G76" s="7">
        <f>Raw!AL77</f>
        <v>0</v>
      </c>
      <c r="H76" s="7">
        <f>Raw!AC77</f>
        <v>2</v>
      </c>
      <c r="I76" s="7">
        <f t="shared" si="10"/>
        <v>2</v>
      </c>
      <c r="J76" s="157">
        <f>Raw!BT77</f>
        <v>110</v>
      </c>
      <c r="K76" s="157">
        <f>Raw!AW77</f>
        <v>168</v>
      </c>
      <c r="L76" s="42">
        <f>IF(Raw!CE77 = "NA", "-", Raw!CE77)</f>
        <v>5.2</v>
      </c>
      <c r="M76" s="42">
        <f>IF(Raw!BH77 = "NA", "-", Raw!BH77)</f>
        <v>7.1</v>
      </c>
      <c r="N76" s="46">
        <f>IF(Raw!CD77 = "NA", "-", Raw!CD77)</f>
        <v>136</v>
      </c>
      <c r="O76" s="46">
        <f>IF(Raw!BG77 = "NA", "-", Raw!BG77)</f>
        <v>185</v>
      </c>
      <c r="P76" s="32">
        <f>IF(Raw!AW77 = "NA", "-", SUMPRODUCT(Raw!$BT$2:$CC$2, Raw!BT77:CC77))</f>
        <v>173</v>
      </c>
      <c r="Q76" s="32">
        <f>IF(Raw!AW77 = "NA", "-", SUMPRODUCT(Raw!$AW$2:$BF$2, Raw!AW77:BF77))</f>
        <v>209</v>
      </c>
      <c r="R76" s="7" t="str" cm="1">
        <f t="array" ref="R76">_xlfn.IFS(S76="YES", "Hourly", T76="YES", "Flat Rate")</f>
        <v>Hourly</v>
      </c>
      <c r="S76" s="8" t="str">
        <f>IF(Raw!CO77=1, "YES", "")</f>
        <v>YES</v>
      </c>
      <c r="T76" s="8" t="str">
        <f>IF(Raw!CO77=2, "YES", "")</f>
        <v/>
      </c>
      <c r="U76" s="96" t="str">
        <f>IF(Raw!CP77=1, "YES", "")</f>
        <v/>
      </c>
      <c r="V76" s="96"/>
      <c r="X76" s="23">
        <f>SUMPRODUCT(Raw!$BT$3:$CC$3, Raw!BT77:CC77)</f>
        <v>162</v>
      </c>
      <c r="Y76" s="23">
        <f>SUMPRODUCT(Raw!$BT$3:$CC$3, Raw!BU77:CD77)</f>
        <v>304</v>
      </c>
      <c r="Z76" s="28">
        <f t="shared" si="13"/>
        <v>1114</v>
      </c>
      <c r="AA76" s="28">
        <f t="shared" si="14"/>
        <v>58090</v>
      </c>
      <c r="AC76">
        <f t="shared" si="15"/>
        <v>26</v>
      </c>
      <c r="AD76" s="23">
        <f>IF(U76="YES",SUMPRODUCT(Raw!$BT$3:$CC$3,Raw!BT77:CC77)*0.6,SUMPRODUCT(Raw!$BT$3:$CC$3,Raw!BT77:CC77))</f>
        <v>162</v>
      </c>
      <c r="AE76" s="23">
        <f>IF(U76="YES",SUMPRODUCT(Raw!$BT$3:$CC$3,Raw!BU77:CD77)*0.6,SUMPRODUCT(Raw!$BT$3:$CC$3,Raw!BU77:CD77))</f>
        <v>304</v>
      </c>
      <c r="AF76" s="28">
        <f t="shared" si="16"/>
        <v>1114</v>
      </c>
      <c r="AG76" s="28">
        <f t="shared" si="17"/>
        <v>58090</v>
      </c>
      <c r="AI76" s="88">
        <f t="shared" si="11"/>
        <v>136</v>
      </c>
      <c r="AJ76" s="88">
        <f t="shared" si="12"/>
        <v>185</v>
      </c>
      <c r="AK76">
        <f t="shared" si="18"/>
        <v>4757.5</v>
      </c>
      <c r="AL76">
        <f t="shared" si="19"/>
        <v>248138</v>
      </c>
    </row>
    <row r="77" spans="1:38" x14ac:dyDescent="0.25">
      <c r="A77" s="4">
        <f>Raw!J78</f>
        <v>194</v>
      </c>
      <c r="B77" s="4" t="str">
        <f>Raw!K78</f>
        <v>Taylor Blvd</v>
      </c>
      <c r="C77" s="4" t="str">
        <f>Raw!L78</f>
        <v>Broadway</v>
      </c>
      <c r="D77" s="4" t="str">
        <f>Raw!M78</f>
        <v>Magnolia Ave</v>
      </c>
      <c r="E77" s="23" t="str">
        <f>Raw!CG78</f>
        <v>N</v>
      </c>
      <c r="F77" s="7">
        <f>Raw!T78</f>
        <v>5</v>
      </c>
      <c r="G77" s="7">
        <f>Raw!AL78</f>
        <v>0</v>
      </c>
      <c r="H77" s="7">
        <f>Raw!AC78</f>
        <v>0</v>
      </c>
      <c r="I77" s="7">
        <f t="shared" si="10"/>
        <v>0</v>
      </c>
      <c r="J77" s="157">
        <f>Raw!BT78</f>
        <v>0</v>
      </c>
      <c r="K77" s="157">
        <f>Raw!AW78</f>
        <v>12</v>
      </c>
      <c r="L77" s="42">
        <f>IF(Raw!CE78 = "NA", "-", Raw!CE78)</f>
        <v>0.2</v>
      </c>
      <c r="M77" s="42">
        <f>IF(Raw!BH78 = "NA", "-", Raw!BH78)</f>
        <v>2.7</v>
      </c>
      <c r="N77" s="46">
        <f>IF(Raw!CD78 = "NA", "-", Raw!CD78)</f>
        <v>1</v>
      </c>
      <c r="O77" s="46">
        <f>IF(Raw!BG78 = "NA", "-", Raw!BG78)</f>
        <v>12</v>
      </c>
      <c r="P77" s="32">
        <f>IF(Raw!AW78 = "NA", "-", SUMPRODUCT(Raw!$BT$2:$CC$2, Raw!BT78:CC78))</f>
        <v>9</v>
      </c>
      <c r="Q77" s="32">
        <f>IF(Raw!AW78 = "NA", "-", SUMPRODUCT(Raw!$AW$2:$BF$2, Raw!AW78:BF78))</f>
        <v>12</v>
      </c>
      <c r="R77" s="7" t="str" cm="1">
        <f t="array" ref="R77">_xlfn.IFS(S77="YES", "Hourly", T77="YES", "Flat Rate")</f>
        <v>Hourly</v>
      </c>
      <c r="S77" s="8" t="str">
        <f>IF(Raw!CO78=1, "YES", "")</f>
        <v>YES</v>
      </c>
      <c r="T77" s="8" t="str">
        <f>IF(Raw!CO78=2, "YES", "")</f>
        <v/>
      </c>
      <c r="U77" s="96" t="str">
        <f>IF(Raw!CP78=1, "YES", "")</f>
        <v/>
      </c>
      <c r="V77" s="96"/>
      <c r="X77" s="23">
        <f>SUMPRODUCT(Raw!$BT$3:$CC$3, Raw!BT78:CC78)</f>
        <v>2</v>
      </c>
      <c r="Y77" s="23">
        <f>SUMPRODUCT(Raw!$BT$3:$CC$3, Raw!BU78:CD78)</f>
        <v>4</v>
      </c>
      <c r="Z77" s="28">
        <f t="shared" si="13"/>
        <v>14</v>
      </c>
      <c r="AA77" s="28">
        <f t="shared" si="14"/>
        <v>730</v>
      </c>
      <c r="AC77">
        <f t="shared" si="15"/>
        <v>5</v>
      </c>
      <c r="AD77" s="23">
        <f>IF(U77="YES",SUMPRODUCT(Raw!$BT$3:$CC$3,Raw!BT78:CC78)*0.6,SUMPRODUCT(Raw!$BT$3:$CC$3,Raw!BT78:CC78))</f>
        <v>2</v>
      </c>
      <c r="AE77" s="23">
        <f>IF(U77="YES",SUMPRODUCT(Raw!$BT$3:$CC$3,Raw!BU78:CD78)*0.6,SUMPRODUCT(Raw!$BT$3:$CC$3,Raw!BU78:CD78))</f>
        <v>4</v>
      </c>
      <c r="AF77" s="28">
        <f t="shared" si="16"/>
        <v>14</v>
      </c>
      <c r="AG77" s="28">
        <f t="shared" si="17"/>
        <v>730</v>
      </c>
      <c r="AI77" s="88">
        <f t="shared" si="11"/>
        <v>1</v>
      </c>
      <c r="AJ77" s="88">
        <f t="shared" si="12"/>
        <v>12</v>
      </c>
      <c r="AK77">
        <f t="shared" si="18"/>
        <v>93.5</v>
      </c>
      <c r="AL77">
        <f t="shared" si="19"/>
        <v>4867.5</v>
      </c>
    </row>
    <row r="78" spans="1:38" x14ac:dyDescent="0.25">
      <c r="A78" s="4">
        <f>Raw!J79</f>
        <v>114</v>
      </c>
      <c r="B78" s="4" t="str">
        <f>Raw!K79</f>
        <v>El Camino Real</v>
      </c>
      <c r="C78" s="4" t="str">
        <f>Raw!L79</f>
        <v>970 El Camino Driveway</v>
      </c>
      <c r="D78" s="4" t="str">
        <f>Raw!M79</f>
        <v>Meadow Glen Ave</v>
      </c>
      <c r="E78" s="23" t="str">
        <f>Raw!CG79</f>
        <v>E</v>
      </c>
      <c r="F78" s="7">
        <f>Raw!T79</f>
        <v>0</v>
      </c>
      <c r="G78" s="7">
        <f>Raw!AL79</f>
        <v>0</v>
      </c>
      <c r="H78" s="7">
        <f>Raw!AC79</f>
        <v>0</v>
      </c>
      <c r="I78" s="7">
        <f t="shared" si="10"/>
        <v>0</v>
      </c>
      <c r="J78" s="157">
        <f>Raw!BT79</f>
        <v>0</v>
      </c>
      <c r="K78" s="157">
        <f>Raw!AW79</f>
        <v>0</v>
      </c>
      <c r="L78" s="42">
        <f>IF(Raw!CE79 = "NA", "-", Raw!CE79)</f>
        <v>0</v>
      </c>
      <c r="M78" s="42">
        <f>IF(Raw!BH79 = "NA", "-", Raw!BH79)</f>
        <v>0</v>
      </c>
      <c r="N78" s="46">
        <f>IF(Raw!CD79 = "NA", "-", Raw!CD79)</f>
        <v>0</v>
      </c>
      <c r="O78" s="46">
        <f>IF(Raw!BG79 = "NA", "-", Raw!BG79)</f>
        <v>0</v>
      </c>
      <c r="P78" s="32">
        <f>IF(Raw!AW79 = "NA", "-", SUMPRODUCT(Raw!$BT$2:$CC$2, Raw!BT79:CC79))</f>
        <v>0</v>
      </c>
      <c r="Q78" s="32">
        <f>IF(Raw!AW79 = "NA", "-", SUMPRODUCT(Raw!$AW$2:$BF$2, Raw!AW79:BF79))</f>
        <v>0</v>
      </c>
      <c r="R78" s="7" t="str" cm="1">
        <f t="array" ref="R78">_xlfn.IFS(S78="YES", "Hourly", T78="YES", "Flat Rate")</f>
        <v>Hourly</v>
      </c>
      <c r="S78" s="8" t="str">
        <f>IF(Raw!CO79=1, "YES", "")</f>
        <v>YES</v>
      </c>
      <c r="T78" s="8" t="str">
        <f>IF(Raw!CO79=2, "YES", "")</f>
        <v/>
      </c>
      <c r="U78" s="96" t="str">
        <f>IF(Raw!CP79=1, "YES", "")</f>
        <v/>
      </c>
      <c r="V78" s="96"/>
      <c r="X78" s="23">
        <f>SUMPRODUCT(Raw!$BT$3:$CC$3, Raw!BT79:CC79)</f>
        <v>0</v>
      </c>
      <c r="Y78" s="23">
        <f>SUMPRODUCT(Raw!$BT$3:$CC$3, Raw!BU79:CD79)</f>
        <v>0</v>
      </c>
      <c r="Z78" s="28">
        <f t="shared" si="13"/>
        <v>0</v>
      </c>
      <c r="AA78" s="28">
        <f t="shared" si="14"/>
        <v>0</v>
      </c>
      <c r="AC78">
        <f t="shared" si="15"/>
        <v>0</v>
      </c>
      <c r="AD78" s="23">
        <f>IF(U78="YES",SUMPRODUCT(Raw!$BT$3:$CC$3,Raw!BT79:CC79)*0.6,SUMPRODUCT(Raw!$BT$3:$CC$3,Raw!BT79:CC79))</f>
        <v>0</v>
      </c>
      <c r="AE78" s="23">
        <f>IF(U78="YES",SUMPRODUCT(Raw!$BT$3:$CC$3,Raw!BU79:CD79)*0.6,SUMPRODUCT(Raw!$BT$3:$CC$3,Raw!BU79:CD79))</f>
        <v>0</v>
      </c>
      <c r="AF78" s="28">
        <f t="shared" si="16"/>
        <v>0</v>
      </c>
      <c r="AG78" s="28">
        <f t="shared" si="17"/>
        <v>0</v>
      </c>
      <c r="AI78" s="88">
        <f t="shared" si="11"/>
        <v>0</v>
      </c>
      <c r="AJ78" s="88">
        <f t="shared" si="12"/>
        <v>0</v>
      </c>
      <c r="AK78">
        <f t="shared" si="18"/>
        <v>0</v>
      </c>
      <c r="AL78">
        <f t="shared" si="19"/>
        <v>0</v>
      </c>
    </row>
    <row r="79" spans="1:38" x14ac:dyDescent="0.25">
      <c r="A79" s="4">
        <f>Raw!J80</f>
        <v>115</v>
      </c>
      <c r="B79" s="4" t="str">
        <f>Raw!K80</f>
        <v>El Camino Real</v>
      </c>
      <c r="C79" s="4" t="str">
        <f>Raw!L80</f>
        <v>Mateo Ave</v>
      </c>
      <c r="D79" s="4" t="str">
        <f>Raw!M80</f>
        <v>970 El Camino Driveway</v>
      </c>
      <c r="E79" s="23" t="str">
        <f>Raw!CG80</f>
        <v>E</v>
      </c>
      <c r="F79" s="7">
        <f>Raw!T80</f>
        <v>8</v>
      </c>
      <c r="G79" s="7">
        <f>Raw!AL80</f>
        <v>0</v>
      </c>
      <c r="H79" s="7">
        <f>Raw!AC80</f>
        <v>0</v>
      </c>
      <c r="I79" s="7">
        <f t="shared" si="10"/>
        <v>0</v>
      </c>
      <c r="J79" s="157">
        <f>Raw!BT80</f>
        <v>0</v>
      </c>
      <c r="K79" s="157">
        <f>Raw!AW80</f>
        <v>0</v>
      </c>
      <c r="L79" s="42">
        <f>IF(Raw!CE80 = "NA", "-", Raw!CE80)</f>
        <v>0</v>
      </c>
      <c r="M79" s="42">
        <f>IF(Raw!BH80 = "NA", "-", Raw!BH80)</f>
        <v>0.2</v>
      </c>
      <c r="N79" s="46">
        <f>IF(Raw!CD80 = "NA", "-", Raw!CD80)</f>
        <v>0</v>
      </c>
      <c r="O79" s="46">
        <f>IF(Raw!BG80 = "NA", "-", Raw!BG80)</f>
        <v>2</v>
      </c>
      <c r="P79" s="32">
        <f>IF(Raw!AW80 = "NA", "-", SUMPRODUCT(Raw!$BT$2:$CC$2, Raw!BT80:CC80))</f>
        <v>0</v>
      </c>
      <c r="Q79" s="32">
        <f>IF(Raw!AW80 = "NA", "-", SUMPRODUCT(Raw!$AW$2:$BF$2, Raw!AW80:BF80))</f>
        <v>18</v>
      </c>
      <c r="R79" s="7" t="str" cm="1">
        <f t="array" ref="R79">_xlfn.IFS(S79="YES", "Hourly", T79="YES", "Flat Rate")</f>
        <v>Hourly</v>
      </c>
      <c r="S79" s="8" t="str">
        <f>IF(Raw!CO80=1, "YES", "")</f>
        <v>YES</v>
      </c>
      <c r="T79" s="8" t="str">
        <f>IF(Raw!CO80=2, "YES", "")</f>
        <v/>
      </c>
      <c r="U79" s="96" t="str">
        <f>IF(Raw!CP80=1, "YES", "")</f>
        <v/>
      </c>
      <c r="V79" s="96"/>
      <c r="X79" s="23">
        <f>SUMPRODUCT(Raw!$BT$3:$CC$3, Raw!BT80:CC80)</f>
        <v>0</v>
      </c>
      <c r="Y79" s="23">
        <f>SUMPRODUCT(Raw!$BT$3:$CC$3, Raw!BU80:CD80)</f>
        <v>0</v>
      </c>
      <c r="Z79" s="28">
        <f t="shared" si="13"/>
        <v>0</v>
      </c>
      <c r="AA79" s="28">
        <f t="shared" si="14"/>
        <v>0</v>
      </c>
      <c r="AC79">
        <f t="shared" si="15"/>
        <v>8</v>
      </c>
      <c r="AD79" s="23">
        <f>IF(U79="YES",SUMPRODUCT(Raw!$BT$3:$CC$3,Raw!BT80:CC80)*0.6,SUMPRODUCT(Raw!$BT$3:$CC$3,Raw!BT80:CC80))</f>
        <v>0</v>
      </c>
      <c r="AE79" s="23">
        <f>IF(U79="YES",SUMPRODUCT(Raw!$BT$3:$CC$3,Raw!BU80:CD80)*0.6,SUMPRODUCT(Raw!$BT$3:$CC$3,Raw!BU80:CD80))</f>
        <v>0</v>
      </c>
      <c r="AF79" s="28">
        <f t="shared" si="16"/>
        <v>0</v>
      </c>
      <c r="AG79" s="28">
        <f t="shared" si="17"/>
        <v>0</v>
      </c>
      <c r="AI79" s="88">
        <f t="shared" si="11"/>
        <v>0</v>
      </c>
      <c r="AJ79" s="88">
        <f t="shared" si="12"/>
        <v>2</v>
      </c>
      <c r="AK79">
        <f t="shared" si="18"/>
        <v>11</v>
      </c>
      <c r="AL79">
        <f t="shared" si="19"/>
        <v>572</v>
      </c>
    </row>
    <row r="80" spans="1:38" x14ac:dyDescent="0.25">
      <c r="A80" s="4">
        <f>Raw!J81</f>
        <v>113</v>
      </c>
      <c r="B80" s="4" t="str">
        <f>Raw!K81</f>
        <v>El Camino Real</v>
      </c>
      <c r="C80" s="4" t="str">
        <f>Raw!L81</f>
        <v>Meadow Glen Ave</v>
      </c>
      <c r="D80" s="4" t="str">
        <f>Raw!M81</f>
        <v>Silva Ave</v>
      </c>
      <c r="E80" s="23" t="str">
        <f>Raw!CG81</f>
        <v>W</v>
      </c>
      <c r="F80" s="7">
        <f>Raw!T81</f>
        <v>28</v>
      </c>
      <c r="G80" s="7">
        <f>Raw!AL81</f>
        <v>0</v>
      </c>
      <c r="H80" s="7">
        <f>Raw!AC81</f>
        <v>0</v>
      </c>
      <c r="I80" s="7">
        <f t="shared" si="10"/>
        <v>0</v>
      </c>
      <c r="J80" s="157">
        <f>Raw!BT81</f>
        <v>4</v>
      </c>
      <c r="K80" s="157">
        <f>Raw!AW81</f>
        <v>9</v>
      </c>
      <c r="L80" s="42">
        <f>IF(Raw!CE81 = "NA", "-", Raw!CE81)</f>
        <v>0.4</v>
      </c>
      <c r="M80" s="42">
        <f>IF(Raw!BH81 = "NA", "-", Raw!BH81)</f>
        <v>0.5</v>
      </c>
      <c r="N80" s="46">
        <f>IF(Raw!CD81 = "NA", "-", Raw!CD81)</f>
        <v>10</v>
      </c>
      <c r="O80" s="46">
        <f>IF(Raw!BG81 = "NA", "-", Raw!BG81)</f>
        <v>15</v>
      </c>
      <c r="P80" s="32">
        <f>IF(Raw!AW81 = "NA", "-", SUMPRODUCT(Raw!$BT$2:$CC$2, Raw!BT81:CC81))</f>
        <v>40</v>
      </c>
      <c r="Q80" s="32">
        <f>IF(Raw!AW81 = "NA", "-", SUMPRODUCT(Raw!$AW$2:$BF$2, Raw!AW81:BF81))</f>
        <v>48</v>
      </c>
      <c r="R80" s="7" t="str" cm="1">
        <f t="array" ref="R80">_xlfn.IFS(S80="YES", "Hourly", T80="YES", "Flat Rate")</f>
        <v>Hourly</v>
      </c>
      <c r="S80" s="8" t="str">
        <f>IF(Raw!CO81=1, "YES", "")</f>
        <v>YES</v>
      </c>
      <c r="T80" s="8" t="str">
        <f>IF(Raw!CO81=2, "YES", "")</f>
        <v/>
      </c>
      <c r="U80" s="96" t="str">
        <f>IF(Raw!CP81=1, "YES", "")</f>
        <v/>
      </c>
      <c r="V80" s="96"/>
      <c r="X80" s="23">
        <f>SUMPRODUCT(Raw!$BT$3:$CC$3, Raw!BT81:CC81)</f>
        <v>16</v>
      </c>
      <c r="Y80" s="23">
        <f>SUMPRODUCT(Raw!$BT$3:$CC$3, Raw!BU81:CD81)</f>
        <v>32</v>
      </c>
      <c r="Z80" s="28">
        <f t="shared" si="13"/>
        <v>112</v>
      </c>
      <c r="AA80" s="28">
        <f t="shared" si="14"/>
        <v>5840</v>
      </c>
      <c r="AC80">
        <f t="shared" si="15"/>
        <v>28</v>
      </c>
      <c r="AD80" s="23">
        <f>IF(U80="YES",SUMPRODUCT(Raw!$BT$3:$CC$3,Raw!BT81:CC81)*0.6,SUMPRODUCT(Raw!$BT$3:$CC$3,Raw!BT81:CC81))</f>
        <v>16</v>
      </c>
      <c r="AE80" s="23">
        <f>IF(U80="YES",SUMPRODUCT(Raw!$BT$3:$CC$3,Raw!BU81:CD81)*0.6,SUMPRODUCT(Raw!$BT$3:$CC$3,Raw!BU81:CD81))</f>
        <v>32</v>
      </c>
      <c r="AF80" s="28">
        <f t="shared" si="16"/>
        <v>112</v>
      </c>
      <c r="AG80" s="28">
        <f t="shared" si="17"/>
        <v>5840</v>
      </c>
      <c r="AI80" s="88">
        <f t="shared" si="11"/>
        <v>10</v>
      </c>
      <c r="AJ80" s="88">
        <f t="shared" si="12"/>
        <v>15</v>
      </c>
      <c r="AK80">
        <f t="shared" si="18"/>
        <v>357.5</v>
      </c>
      <c r="AL80">
        <f t="shared" si="19"/>
        <v>18645</v>
      </c>
    </row>
    <row r="81" spans="1:38" x14ac:dyDescent="0.25">
      <c r="A81" s="4">
        <f>Raw!J82</f>
        <v>116</v>
      </c>
      <c r="B81" s="4" t="str">
        <f>Raw!K82</f>
        <v>El Camino Real</v>
      </c>
      <c r="C81" s="4" t="str">
        <f>Raw!L82</f>
        <v>Silva Ave</v>
      </c>
      <c r="D81" s="4" t="str">
        <f>Raw!M82</f>
        <v>Mateo Ave</v>
      </c>
      <c r="E81" s="23" t="str">
        <f>Raw!CG82</f>
        <v>E</v>
      </c>
      <c r="F81" s="7">
        <f>Raw!T82</f>
        <v>8</v>
      </c>
      <c r="G81" s="7">
        <f>Raw!AL82</f>
        <v>1</v>
      </c>
      <c r="H81" s="7">
        <f>Raw!AC82</f>
        <v>0</v>
      </c>
      <c r="I81" s="7">
        <f t="shared" si="10"/>
        <v>1</v>
      </c>
      <c r="J81" s="157">
        <f>Raw!BT82</f>
        <v>3</v>
      </c>
      <c r="K81" s="157">
        <f>Raw!AW82</f>
        <v>5</v>
      </c>
      <c r="L81" s="42">
        <f>IF(Raw!CE82 = "NA", "-", Raw!CE82)</f>
        <v>1.9</v>
      </c>
      <c r="M81" s="42">
        <f>IF(Raw!BH82 = "NA", "-", Raw!BH82)</f>
        <v>0.8</v>
      </c>
      <c r="N81" s="46">
        <f>IF(Raw!CD82 = "NA", "-", Raw!CD82)</f>
        <v>14</v>
      </c>
      <c r="O81" s="46">
        <f>IF(Raw!BG82 = "NA", "-", Raw!BG82)</f>
        <v>6</v>
      </c>
      <c r="P81" s="32">
        <f>IF(Raw!AW82 = "NA", "-", SUMPRODUCT(Raw!$BT$2:$CC$2, Raw!BT82:CC82))</f>
        <v>42</v>
      </c>
      <c r="Q81" s="32">
        <f>IF(Raw!AW82 = "NA", "-", SUMPRODUCT(Raw!$AW$2:$BF$2, Raw!AW82:BF82))</f>
        <v>7</v>
      </c>
      <c r="R81" s="7" t="str" cm="1">
        <f t="array" ref="R81">_xlfn.IFS(S81="YES", "Hourly", T81="YES", "Flat Rate")</f>
        <v>Hourly</v>
      </c>
      <c r="S81" s="8" t="str">
        <f>IF(Raw!CO82=1, "YES", "")</f>
        <v>YES</v>
      </c>
      <c r="T81" s="8" t="str">
        <f>IF(Raw!CO82=2, "YES", "")</f>
        <v/>
      </c>
      <c r="U81" s="96" t="str">
        <f>IF(Raw!CP82=1, "YES", "")</f>
        <v/>
      </c>
      <c r="V81" s="96"/>
      <c r="X81" s="23">
        <f>SUMPRODUCT(Raw!$BT$3:$CC$3, Raw!BT82:CC82)</f>
        <v>25</v>
      </c>
      <c r="Y81" s="23">
        <f>SUMPRODUCT(Raw!$BT$3:$CC$3, Raw!BU82:CD82)</f>
        <v>47</v>
      </c>
      <c r="Z81" s="28">
        <f t="shared" si="13"/>
        <v>172</v>
      </c>
      <c r="AA81" s="28">
        <f t="shared" si="14"/>
        <v>8969</v>
      </c>
      <c r="AC81">
        <f t="shared" si="15"/>
        <v>8</v>
      </c>
      <c r="AD81" s="23">
        <f>IF(U81="YES",SUMPRODUCT(Raw!$BT$3:$CC$3,Raw!BT82:CC82)*0.6,SUMPRODUCT(Raw!$BT$3:$CC$3,Raw!BT82:CC82))</f>
        <v>25</v>
      </c>
      <c r="AE81" s="23">
        <f>IF(U81="YES",SUMPRODUCT(Raw!$BT$3:$CC$3,Raw!BU82:CD82)*0.6,SUMPRODUCT(Raw!$BT$3:$CC$3,Raw!BU82:CD82))</f>
        <v>47</v>
      </c>
      <c r="AF81" s="28">
        <f t="shared" si="16"/>
        <v>172</v>
      </c>
      <c r="AG81" s="28">
        <f t="shared" si="17"/>
        <v>8969</v>
      </c>
      <c r="AI81" s="88">
        <f t="shared" si="11"/>
        <v>14</v>
      </c>
      <c r="AJ81" s="88">
        <f t="shared" si="12"/>
        <v>6</v>
      </c>
      <c r="AK81">
        <f t="shared" si="18"/>
        <v>418</v>
      </c>
      <c r="AL81">
        <f t="shared" si="19"/>
        <v>21813</v>
      </c>
    </row>
    <row r="82" spans="1:38" x14ac:dyDescent="0.25">
      <c r="A82" s="4">
        <f>Raw!J83</f>
        <v>118</v>
      </c>
      <c r="B82" s="4" t="str">
        <f>Raw!K83</f>
        <v>El Camino Real</v>
      </c>
      <c r="C82" s="4" t="str">
        <f>Raw!L83</f>
        <v>Hermosa Ave</v>
      </c>
      <c r="D82" s="4" t="str">
        <f>Raw!M83</f>
        <v>Silva Ave</v>
      </c>
      <c r="E82" s="23" t="str">
        <f>Raw!CG83</f>
        <v>E</v>
      </c>
      <c r="F82" s="7">
        <f>Raw!T83</f>
        <v>6</v>
      </c>
      <c r="G82" s="7">
        <f>Raw!AL83</f>
        <v>1</v>
      </c>
      <c r="H82" s="7">
        <f>Raw!AC83</f>
        <v>1</v>
      </c>
      <c r="I82" s="7">
        <f t="shared" si="10"/>
        <v>2</v>
      </c>
      <c r="J82" s="157">
        <f>Raw!BT83</f>
        <v>2</v>
      </c>
      <c r="K82" s="157">
        <f>Raw!AW83</f>
        <v>6</v>
      </c>
      <c r="L82" s="42">
        <f>IF(Raw!CE83 = "NA", "-", Raw!CE83)</f>
        <v>1.5</v>
      </c>
      <c r="M82" s="42">
        <f>IF(Raw!BH83 = "NA", "-", Raw!BH83)</f>
        <v>2.2999999999999998</v>
      </c>
      <c r="N82" s="46">
        <f>IF(Raw!CD83 = "NA", "-", Raw!CD83)</f>
        <v>9</v>
      </c>
      <c r="O82" s="46">
        <f>IF(Raw!BG83 = "NA", "-", Raw!BG83)</f>
        <v>14</v>
      </c>
      <c r="P82" s="32">
        <f>IF(Raw!AW83 = "NA", "-", SUMPRODUCT(Raw!$BT$2:$CC$2, Raw!BT83:CC83))</f>
        <v>23</v>
      </c>
      <c r="Q82" s="32">
        <f>IF(Raw!AW83 = "NA", "-", SUMPRODUCT(Raw!$AW$2:$BF$2, Raw!AW83:BF83))</f>
        <v>31</v>
      </c>
      <c r="R82" s="7" t="str" cm="1">
        <f t="array" ref="R82">_xlfn.IFS(S82="YES", "Hourly", T82="YES", "Flat Rate")</f>
        <v>Hourly</v>
      </c>
      <c r="S82" s="8" t="str">
        <f>IF(Raw!CO83=1, "YES", "")</f>
        <v>YES</v>
      </c>
      <c r="T82" s="8" t="str">
        <f>IF(Raw!CO83=2, "YES", "")</f>
        <v/>
      </c>
      <c r="U82" s="96" t="str">
        <f>IF(Raw!CP83=1, "YES", "")</f>
        <v/>
      </c>
      <c r="V82" s="96"/>
      <c r="X82" s="23">
        <f>SUMPRODUCT(Raw!$BT$3:$CC$3, Raw!BT83:CC83)</f>
        <v>16</v>
      </c>
      <c r="Y82" s="23">
        <f>SUMPRODUCT(Raw!$BT$3:$CC$3, Raw!BU83:CD83)</f>
        <v>28</v>
      </c>
      <c r="Z82" s="28">
        <f t="shared" si="13"/>
        <v>108</v>
      </c>
      <c r="AA82" s="28">
        <f t="shared" si="14"/>
        <v>5632</v>
      </c>
      <c r="AC82">
        <f t="shared" si="15"/>
        <v>6</v>
      </c>
      <c r="AD82" s="23">
        <f>IF(U82="YES",SUMPRODUCT(Raw!$BT$3:$CC$3,Raw!BT83:CC83)*0.6,SUMPRODUCT(Raw!$BT$3:$CC$3,Raw!BT83:CC83))</f>
        <v>16</v>
      </c>
      <c r="AE82" s="23">
        <f>IF(U82="YES",SUMPRODUCT(Raw!$BT$3:$CC$3,Raw!BU83:CD83)*0.6,SUMPRODUCT(Raw!$BT$3:$CC$3,Raw!BU83:CD83))</f>
        <v>28</v>
      </c>
      <c r="AF82" s="28">
        <f t="shared" si="16"/>
        <v>108</v>
      </c>
      <c r="AG82" s="28">
        <f t="shared" si="17"/>
        <v>5632</v>
      </c>
      <c r="AI82" s="88">
        <f t="shared" si="11"/>
        <v>9</v>
      </c>
      <c r="AJ82" s="88">
        <f t="shared" si="12"/>
        <v>14</v>
      </c>
      <c r="AK82">
        <f t="shared" si="18"/>
        <v>324.5</v>
      </c>
      <c r="AL82">
        <f t="shared" si="19"/>
        <v>16923.5</v>
      </c>
    </row>
    <row r="83" spans="1:38" x14ac:dyDescent="0.25">
      <c r="A83" s="4">
        <f>Raw!J84</f>
        <v>117</v>
      </c>
      <c r="B83" s="4" t="str">
        <f>Raw!K84</f>
        <v>El Camino Real</v>
      </c>
      <c r="C83" s="4" t="str">
        <f>Raw!L84</f>
        <v>Silva Ave</v>
      </c>
      <c r="D83" s="4" t="str">
        <f>Raw!M84</f>
        <v>Taylor Blvd</v>
      </c>
      <c r="E83" s="23" t="str">
        <f>Raw!CG84</f>
        <v>W</v>
      </c>
      <c r="F83" s="7">
        <f>Raw!T84</f>
        <v>6</v>
      </c>
      <c r="G83" s="7">
        <f>Raw!AL84</f>
        <v>0</v>
      </c>
      <c r="H83" s="7">
        <f>Raw!AC84</f>
        <v>0</v>
      </c>
      <c r="I83" s="7">
        <f t="shared" si="10"/>
        <v>0</v>
      </c>
      <c r="J83" s="157">
        <f>Raw!BT84</f>
        <v>0</v>
      </c>
      <c r="K83" s="157">
        <f>Raw!AW84</f>
        <v>0</v>
      </c>
      <c r="L83" s="42">
        <f>IF(Raw!CE84 = "NA", "-", Raw!CE84)</f>
        <v>0.7</v>
      </c>
      <c r="M83" s="42">
        <f>IF(Raw!BH84 = "NA", "-", Raw!BH84)</f>
        <v>0.7</v>
      </c>
      <c r="N83" s="46">
        <f>IF(Raw!CD84 = "NA", "-", Raw!CD84)</f>
        <v>4</v>
      </c>
      <c r="O83" s="46">
        <f>IF(Raw!BG84 = "NA", "-", Raw!BG84)</f>
        <v>4</v>
      </c>
      <c r="P83" s="32">
        <f>IF(Raw!AW84 = "NA", "-", SUMPRODUCT(Raw!$BT$2:$CC$2, Raw!BT84:CC84))</f>
        <v>30</v>
      </c>
      <c r="Q83" s="32">
        <f>IF(Raw!AW84 = "NA", "-", SUMPRODUCT(Raw!$AW$2:$BF$2, Raw!AW84:BF84))</f>
        <v>35</v>
      </c>
      <c r="R83" s="7" t="str" cm="1">
        <f t="array" ref="R83">_xlfn.IFS(S83="YES", "Hourly", T83="YES", "Flat Rate")</f>
        <v>Hourly</v>
      </c>
      <c r="S83" s="8" t="str">
        <f>IF(Raw!CO84=1, "YES", "")</f>
        <v>YES</v>
      </c>
      <c r="T83" s="8" t="str">
        <f>IF(Raw!CO84=2, "YES", "")</f>
        <v/>
      </c>
      <c r="U83" s="96" t="str">
        <f>IF(Raw!CP84=1, "YES", "")</f>
        <v/>
      </c>
      <c r="V83" s="96"/>
      <c r="X83" s="23">
        <f>SUMPRODUCT(Raw!$BT$3:$CC$3, Raw!BT84:CC84)</f>
        <v>8</v>
      </c>
      <c r="Y83" s="23">
        <f>SUMPRODUCT(Raw!$BT$3:$CC$3, Raw!BU84:CD84)</f>
        <v>15</v>
      </c>
      <c r="Z83" s="28">
        <f t="shared" si="13"/>
        <v>55</v>
      </c>
      <c r="AA83" s="28">
        <f t="shared" si="14"/>
        <v>2868</v>
      </c>
      <c r="AC83">
        <f t="shared" si="15"/>
        <v>6</v>
      </c>
      <c r="AD83" s="23">
        <f>IF(U83="YES",SUMPRODUCT(Raw!$BT$3:$CC$3,Raw!BT84:CC84)*0.6,SUMPRODUCT(Raw!$BT$3:$CC$3,Raw!BT84:CC84))</f>
        <v>8</v>
      </c>
      <c r="AE83" s="23">
        <f>IF(U83="YES",SUMPRODUCT(Raw!$BT$3:$CC$3,Raw!BU84:CD84)*0.6,SUMPRODUCT(Raw!$BT$3:$CC$3,Raw!BU84:CD84))</f>
        <v>15</v>
      </c>
      <c r="AF83" s="28">
        <f t="shared" si="16"/>
        <v>55</v>
      </c>
      <c r="AG83" s="28">
        <f t="shared" si="17"/>
        <v>2868</v>
      </c>
      <c r="AI83" s="88">
        <f t="shared" si="11"/>
        <v>4</v>
      </c>
      <c r="AJ83" s="88">
        <f t="shared" si="12"/>
        <v>4</v>
      </c>
      <c r="AK83">
        <f t="shared" si="18"/>
        <v>132</v>
      </c>
      <c r="AL83">
        <f t="shared" si="19"/>
        <v>6886</v>
      </c>
    </row>
    <row r="84" spans="1:38" x14ac:dyDescent="0.25">
      <c r="A84" s="4">
        <f>Raw!J85</f>
        <v>119</v>
      </c>
      <c r="B84" s="4" t="str">
        <f>Raw!K85</f>
        <v>El Camino Real</v>
      </c>
      <c r="C84" s="4" t="str">
        <f>Raw!L85</f>
        <v>Taylor Blvd</v>
      </c>
      <c r="D84" s="4" t="str">
        <f>Raw!M85</f>
        <v>Hermosa Ave</v>
      </c>
      <c r="E84" s="23" t="str">
        <f>Raw!CG85</f>
        <v>E</v>
      </c>
      <c r="F84" s="7">
        <f>Raw!T85</f>
        <v>8</v>
      </c>
      <c r="G84" s="7">
        <f>Raw!AL85</f>
        <v>0</v>
      </c>
      <c r="H84" s="7">
        <f>Raw!AC85</f>
        <v>0</v>
      </c>
      <c r="I84" s="7">
        <f t="shared" si="10"/>
        <v>0</v>
      </c>
      <c r="J84" s="157">
        <f>Raw!BT85</f>
        <v>2</v>
      </c>
      <c r="K84" s="157">
        <f>Raw!AW85</f>
        <v>7</v>
      </c>
      <c r="L84" s="42">
        <f>IF(Raw!CE85 = "NA", "-", Raw!CE85)</f>
        <v>1</v>
      </c>
      <c r="M84" s="42">
        <f>IF(Raw!BH85 = "NA", "-", Raw!BH85)</f>
        <v>1.8</v>
      </c>
      <c r="N84" s="46">
        <f>IF(Raw!CD85 = "NA", "-", Raw!CD85)</f>
        <v>8</v>
      </c>
      <c r="O84" s="46">
        <f>IF(Raw!BG85 = "NA", "-", Raw!BG85)</f>
        <v>15</v>
      </c>
      <c r="P84" s="32">
        <f>IF(Raw!AW85 = "NA", "-", SUMPRODUCT(Raw!$BT$2:$CC$2, Raw!BT85:CC85))</f>
        <v>20</v>
      </c>
      <c r="Q84" s="32">
        <f>IF(Raw!AW85 = "NA", "-", SUMPRODUCT(Raw!$AW$2:$BF$2, Raw!AW85:BF85))</f>
        <v>26</v>
      </c>
      <c r="R84" s="7" t="str" cm="1">
        <f t="array" ref="R84">_xlfn.IFS(S84="YES", "Hourly", T84="YES", "Flat Rate")</f>
        <v>Hourly</v>
      </c>
      <c r="S84" s="8" t="str">
        <f>IF(Raw!CO85=1, "YES", "")</f>
        <v>YES</v>
      </c>
      <c r="T84" s="8" t="str">
        <f>IF(Raw!CO85=2, "YES", "")</f>
        <v/>
      </c>
      <c r="U84" s="96" t="str">
        <f>IF(Raw!CP85=1, "YES", "")</f>
        <v/>
      </c>
      <c r="V84" s="96"/>
      <c r="X84" s="23">
        <f>SUMPRODUCT(Raw!$BT$3:$CC$3, Raw!BT85:CC85)</f>
        <v>14</v>
      </c>
      <c r="Y84" s="23">
        <f>SUMPRODUCT(Raw!$BT$3:$CC$3, Raw!BU85:CD85)</f>
        <v>26</v>
      </c>
      <c r="Z84" s="28">
        <f t="shared" si="13"/>
        <v>96</v>
      </c>
      <c r="AA84" s="28">
        <f t="shared" si="14"/>
        <v>5006</v>
      </c>
      <c r="AC84">
        <f t="shared" si="15"/>
        <v>8</v>
      </c>
      <c r="AD84" s="23">
        <f>IF(U84="YES",SUMPRODUCT(Raw!$BT$3:$CC$3,Raw!BT85:CC85)*0.6,SUMPRODUCT(Raw!$BT$3:$CC$3,Raw!BT85:CC85))</f>
        <v>14</v>
      </c>
      <c r="AE84" s="23">
        <f>IF(U84="YES",SUMPRODUCT(Raw!$BT$3:$CC$3,Raw!BU85:CD85)*0.6,SUMPRODUCT(Raw!$BT$3:$CC$3,Raw!BU85:CD85))</f>
        <v>26</v>
      </c>
      <c r="AF84" s="28">
        <f t="shared" si="16"/>
        <v>96</v>
      </c>
      <c r="AG84" s="28">
        <f t="shared" si="17"/>
        <v>5006</v>
      </c>
      <c r="AI84" s="88">
        <f t="shared" si="11"/>
        <v>8</v>
      </c>
      <c r="AJ84" s="88">
        <f t="shared" si="12"/>
        <v>15</v>
      </c>
      <c r="AK84">
        <f t="shared" si="18"/>
        <v>302.5</v>
      </c>
      <c r="AL84">
        <f t="shared" si="19"/>
        <v>15774</v>
      </c>
    </row>
    <row r="85" spans="1:38" x14ac:dyDescent="0.25">
      <c r="A85" s="4">
        <f>Raw!J86</f>
        <v>182</v>
      </c>
      <c r="B85" s="4" t="str">
        <f>Raw!K86</f>
        <v>Mateo Ave</v>
      </c>
      <c r="C85" s="4" t="str">
        <f>Raw!L86</f>
        <v>Hemlock Ave</v>
      </c>
      <c r="D85" s="4" t="str">
        <f>Raw!M86</f>
        <v>El Camino Real</v>
      </c>
      <c r="E85" s="23" t="str">
        <f>Raw!CG86</f>
        <v>N</v>
      </c>
      <c r="F85" s="7">
        <f>Raw!T86</f>
        <v>11</v>
      </c>
      <c r="G85" s="7">
        <f>Raw!AL86</f>
        <v>3</v>
      </c>
      <c r="H85" s="7">
        <f>Raw!AC86</f>
        <v>4</v>
      </c>
      <c r="I85" s="7">
        <f t="shared" si="10"/>
        <v>7</v>
      </c>
      <c r="J85" s="157" t="str">
        <f>Raw!BT86</f>
        <v>NA</v>
      </c>
      <c r="K85" s="157" t="str">
        <f>Raw!AW86</f>
        <v>NA</v>
      </c>
      <c r="L85" s="42" t="str">
        <f>IF(Raw!CE86 = "NA", "-", Raw!CE86)</f>
        <v>-</v>
      </c>
      <c r="M85" s="42" t="str">
        <f>IF(Raw!BH86 = "NA", "-", Raw!BH86)</f>
        <v>-</v>
      </c>
      <c r="N85" s="46" t="str">
        <f>IF(Raw!CD86 = "NA", "-", Raw!CD86)</f>
        <v>-</v>
      </c>
      <c r="O85" s="46" t="str">
        <f>IF(Raw!BG86 = "NA", "-", Raw!BG86)</f>
        <v>-</v>
      </c>
      <c r="P85" s="32" t="str">
        <f>IF(Raw!AW86 = "NA", "-", SUMPRODUCT(Raw!$BT$2:$CC$2, Raw!BT86:CC86))</f>
        <v>-</v>
      </c>
      <c r="Q85" s="32" t="str">
        <f>IF(Raw!AW86 = "NA", "-", SUMPRODUCT(Raw!$AW$2:$BF$2, Raw!AW86:BF86))</f>
        <v>-</v>
      </c>
      <c r="R85" s="7" t="e" cm="1">
        <f t="array" ref="R85">_xlfn.IFS(S85="YES", "Hourly", T85="YES", "Flat Rate")</f>
        <v>#N/A</v>
      </c>
      <c r="S85" s="8" t="str">
        <f>IF(Raw!CO86=1, "YES", "")</f>
        <v/>
      </c>
      <c r="T85" s="8" t="str">
        <f>IF(Raw!CO86=2, "YES", "")</f>
        <v/>
      </c>
      <c r="U85" s="96" t="str">
        <f>IF(Raw!CP86=1, "YES", "")</f>
        <v/>
      </c>
      <c r="V85" s="96"/>
      <c r="X85" s="23">
        <f>SUMPRODUCT(Raw!$BT$3:$CC$3, Raw!BT86:CC86)</f>
        <v>0</v>
      </c>
      <c r="Y85" s="23">
        <f>SUMPRODUCT(Raw!$BT$3:$CC$3, Raw!BU86:CD86)</f>
        <v>0</v>
      </c>
      <c r="Z85" s="28">
        <f t="shared" si="13"/>
        <v>0</v>
      </c>
      <c r="AA85" s="28">
        <f t="shared" si="14"/>
        <v>0</v>
      </c>
      <c r="AC85">
        <f t="shared" si="15"/>
        <v>11</v>
      </c>
      <c r="AD85" s="23">
        <f>IF(U85="YES",SUMPRODUCT(Raw!$BT$3:$CC$3,Raw!BT86:CC86)*0.6,SUMPRODUCT(Raw!$BT$3:$CC$3,Raw!BT86:CC86))</f>
        <v>0</v>
      </c>
      <c r="AE85" s="23">
        <f>IF(U85="YES",SUMPRODUCT(Raw!$BT$3:$CC$3,Raw!BU86:CD86)*0.6,SUMPRODUCT(Raw!$BT$3:$CC$3,Raw!BU86:CD86))</f>
        <v>0</v>
      </c>
      <c r="AF85" s="28">
        <f t="shared" si="16"/>
        <v>0</v>
      </c>
      <c r="AG85" s="28">
        <f t="shared" si="17"/>
        <v>0</v>
      </c>
      <c r="AI85" s="88" t="str">
        <f t="shared" si="11"/>
        <v>-</v>
      </c>
      <c r="AJ85" s="88" t="str">
        <f t="shared" si="12"/>
        <v>-</v>
      </c>
      <c r="AK85" t="e">
        <f t="shared" si="18"/>
        <v>#VALUE!</v>
      </c>
      <c r="AL85" t="e">
        <f t="shared" si="19"/>
        <v>#VALUE!</v>
      </c>
    </row>
    <row r="86" spans="1:38" x14ac:dyDescent="0.25">
      <c r="A86" s="4">
        <f>Raw!J87</f>
        <v>183</v>
      </c>
      <c r="B86" s="4" t="str">
        <f>Raw!K87</f>
        <v>Mateo Ave</v>
      </c>
      <c r="C86" s="4" t="str">
        <f>Raw!L87</f>
        <v>El Camino Real</v>
      </c>
      <c r="D86" s="4" t="str">
        <f>Raw!M87</f>
        <v>Hemlock Ave</v>
      </c>
      <c r="E86" s="23" t="str">
        <f>Raw!CG87</f>
        <v>S</v>
      </c>
      <c r="F86" s="7">
        <f>Raw!T87</f>
        <v>19</v>
      </c>
      <c r="G86" s="7">
        <f>Raw!AL87</f>
        <v>4</v>
      </c>
      <c r="H86" s="7">
        <f>Raw!AC87</f>
        <v>4</v>
      </c>
      <c r="I86" s="7">
        <f t="shared" si="10"/>
        <v>8</v>
      </c>
      <c r="J86" s="157" t="str">
        <f>Raw!BT87</f>
        <v>NA</v>
      </c>
      <c r="K86" s="157" t="str">
        <f>Raw!AW87</f>
        <v>NA</v>
      </c>
      <c r="L86" s="42" t="str">
        <f>IF(Raw!CE87 = "NA", "-", Raw!CE87)</f>
        <v>-</v>
      </c>
      <c r="M86" s="42" t="str">
        <f>IF(Raw!BH87 = "NA", "-", Raw!BH87)</f>
        <v>-</v>
      </c>
      <c r="N86" s="46" t="str">
        <f>IF(Raw!CD87 = "NA", "-", Raw!CD87)</f>
        <v>-</v>
      </c>
      <c r="O86" s="46" t="str">
        <f>IF(Raw!BG87 = "NA", "-", Raw!BG87)</f>
        <v>-</v>
      </c>
      <c r="P86" s="32" t="str">
        <f>IF(Raw!AW87 = "NA", "-", SUMPRODUCT(Raw!$BT$2:$CC$2, Raw!BT87:CC87))</f>
        <v>-</v>
      </c>
      <c r="Q86" s="32" t="str">
        <f>IF(Raw!AW87 = "NA", "-", SUMPRODUCT(Raw!$AW$2:$BF$2, Raw!AW87:BF87))</f>
        <v>-</v>
      </c>
      <c r="R86" s="7" t="e" cm="1">
        <f t="array" ref="R86">_xlfn.IFS(S86="YES", "Hourly", T86="YES", "Flat Rate")</f>
        <v>#N/A</v>
      </c>
      <c r="S86" s="8" t="str">
        <f>IF(Raw!CO87=1, "YES", "")</f>
        <v/>
      </c>
      <c r="T86" s="8" t="str">
        <f>IF(Raw!CO87=2, "YES", "")</f>
        <v/>
      </c>
      <c r="U86" s="96" t="str">
        <f>IF(Raw!CP87=1, "YES", "")</f>
        <v/>
      </c>
      <c r="V86" s="96"/>
      <c r="X86" s="23">
        <f>SUMPRODUCT(Raw!$BT$3:$CC$3, Raw!BT87:CC87)</f>
        <v>0</v>
      </c>
      <c r="Y86" s="23">
        <f>SUMPRODUCT(Raw!$BT$3:$CC$3, Raw!BU87:CD87)</f>
        <v>0</v>
      </c>
      <c r="Z86" s="28">
        <f t="shared" si="13"/>
        <v>0</v>
      </c>
      <c r="AA86" s="28">
        <f t="shared" si="14"/>
        <v>0</v>
      </c>
      <c r="AC86">
        <f t="shared" si="15"/>
        <v>19</v>
      </c>
      <c r="AD86" s="23">
        <f>IF(U86="YES",SUMPRODUCT(Raw!$BT$3:$CC$3,Raw!BT87:CC87)*0.6,SUMPRODUCT(Raw!$BT$3:$CC$3,Raw!BT87:CC87))</f>
        <v>0</v>
      </c>
      <c r="AE86" s="23">
        <f>IF(U86="YES",SUMPRODUCT(Raw!$BT$3:$CC$3,Raw!BU87:CD87)*0.6,SUMPRODUCT(Raw!$BT$3:$CC$3,Raw!BU87:CD87))</f>
        <v>0</v>
      </c>
      <c r="AF86" s="28">
        <f t="shared" si="16"/>
        <v>0</v>
      </c>
      <c r="AG86" s="28">
        <f t="shared" si="17"/>
        <v>0</v>
      </c>
      <c r="AI86" s="88" t="str">
        <f t="shared" si="11"/>
        <v>-</v>
      </c>
      <c r="AJ86" s="88" t="str">
        <f t="shared" si="12"/>
        <v>-</v>
      </c>
      <c r="AK86" t="e">
        <f t="shared" si="18"/>
        <v>#VALUE!</v>
      </c>
      <c r="AL86" t="e">
        <f t="shared" si="19"/>
        <v>#VALUE!</v>
      </c>
    </row>
    <row r="87" spans="1:38" x14ac:dyDescent="0.25">
      <c r="A87" s="4">
        <f>Raw!J88</f>
        <v>184</v>
      </c>
      <c r="B87" s="4" t="str">
        <f>Raw!K88</f>
        <v>Silva Ave</v>
      </c>
      <c r="C87" s="4" t="str">
        <f>Raw!L88</f>
        <v>Hemlock Ave</v>
      </c>
      <c r="D87" s="4" t="str">
        <f>Raw!M88</f>
        <v>El Camino Real</v>
      </c>
      <c r="E87" s="23" t="str">
        <f>Raw!CG88</f>
        <v>N</v>
      </c>
      <c r="F87" s="7">
        <f>Raw!T88</f>
        <v>15</v>
      </c>
      <c r="G87" s="7">
        <f>Raw!AL88</f>
        <v>3</v>
      </c>
      <c r="H87" s="7">
        <f>Raw!AC88</f>
        <v>2</v>
      </c>
      <c r="I87" s="7">
        <f t="shared" si="10"/>
        <v>5</v>
      </c>
      <c r="J87" s="157" t="str">
        <f>Raw!BT88</f>
        <v>NA</v>
      </c>
      <c r="K87" s="157" t="str">
        <f>Raw!AW88</f>
        <v>NA</v>
      </c>
      <c r="L87" s="42" t="str">
        <f>IF(Raw!CE88 = "NA", "-", Raw!CE88)</f>
        <v>-</v>
      </c>
      <c r="M87" s="42" t="str">
        <f>IF(Raw!BH88 = "NA", "-", Raw!BH88)</f>
        <v>-</v>
      </c>
      <c r="N87" s="46" t="str">
        <f>IF(Raw!CD88 = "NA", "-", Raw!CD88)</f>
        <v>-</v>
      </c>
      <c r="O87" s="46" t="str">
        <f>IF(Raw!BG88 = "NA", "-", Raw!BG88)</f>
        <v>-</v>
      </c>
      <c r="P87" s="32" t="str">
        <f>IF(Raw!AW88 = "NA", "-", SUMPRODUCT(Raw!$BT$2:$CC$2, Raw!BT88:CC88))</f>
        <v>-</v>
      </c>
      <c r="Q87" s="32" t="str">
        <f>IF(Raw!AW88 = "NA", "-", SUMPRODUCT(Raw!$AW$2:$BF$2, Raw!AW88:BF88))</f>
        <v>-</v>
      </c>
      <c r="R87" s="7" t="e" cm="1">
        <f t="array" ref="R87">_xlfn.IFS(S87="YES", "Hourly", T87="YES", "Flat Rate")</f>
        <v>#N/A</v>
      </c>
      <c r="S87" s="8" t="str">
        <f>IF(Raw!CO88=1, "YES", "")</f>
        <v/>
      </c>
      <c r="T87" s="8" t="str">
        <f>IF(Raw!CO88=2, "YES", "")</f>
        <v/>
      </c>
      <c r="U87" s="96" t="str">
        <f>IF(Raw!CP88=1, "YES", "")</f>
        <v/>
      </c>
      <c r="V87" s="96"/>
      <c r="X87" s="23">
        <f>SUMPRODUCT(Raw!$BT$3:$CC$3, Raw!BT88:CC88)</f>
        <v>0</v>
      </c>
      <c r="Y87" s="23">
        <f>SUMPRODUCT(Raw!$BT$3:$CC$3, Raw!BU88:CD88)</f>
        <v>0</v>
      </c>
      <c r="Z87" s="28">
        <f t="shared" si="13"/>
        <v>0</v>
      </c>
      <c r="AA87" s="28">
        <f t="shared" si="14"/>
        <v>0</v>
      </c>
      <c r="AC87">
        <f t="shared" si="15"/>
        <v>15</v>
      </c>
      <c r="AD87" s="23">
        <f>IF(U87="YES",SUMPRODUCT(Raw!$BT$3:$CC$3,Raw!BT88:CC88)*0.6,SUMPRODUCT(Raw!$BT$3:$CC$3,Raw!BT88:CC88))</f>
        <v>0</v>
      </c>
      <c r="AE87" s="23">
        <f>IF(U87="YES",SUMPRODUCT(Raw!$BT$3:$CC$3,Raw!BU88:CD88)*0.6,SUMPRODUCT(Raw!$BT$3:$CC$3,Raw!BU88:CD88))</f>
        <v>0</v>
      </c>
      <c r="AF87" s="28">
        <f t="shared" si="16"/>
        <v>0</v>
      </c>
      <c r="AG87" s="28">
        <f t="shared" si="17"/>
        <v>0</v>
      </c>
      <c r="AI87" s="88" t="str">
        <f t="shared" si="11"/>
        <v>-</v>
      </c>
      <c r="AJ87" s="88" t="str">
        <f t="shared" si="12"/>
        <v>-</v>
      </c>
      <c r="AK87" t="e">
        <f t="shared" si="18"/>
        <v>#VALUE!</v>
      </c>
      <c r="AL87" t="e">
        <f t="shared" si="19"/>
        <v>#VALUE!</v>
      </c>
    </row>
    <row r="88" spans="1:38" x14ac:dyDescent="0.25">
      <c r="A88" s="4">
        <f>Raw!J89</f>
        <v>185</v>
      </c>
      <c r="B88" s="4" t="str">
        <f>Raw!K89</f>
        <v>Silva Ave</v>
      </c>
      <c r="C88" s="4" t="str">
        <f>Raw!L89</f>
        <v>El Camino Real</v>
      </c>
      <c r="D88" s="4" t="str">
        <f>Raw!M89</f>
        <v>Hemlock Ave</v>
      </c>
      <c r="E88" s="23" t="str">
        <f>Raw!CG89</f>
        <v>S</v>
      </c>
      <c r="F88" s="7">
        <f>Raw!T89</f>
        <v>13</v>
      </c>
      <c r="G88" s="7">
        <f>Raw!AL89</f>
        <v>4</v>
      </c>
      <c r="H88" s="7">
        <f>Raw!AC89</f>
        <v>4</v>
      </c>
      <c r="I88" s="7">
        <f t="shared" si="10"/>
        <v>8</v>
      </c>
      <c r="J88" s="157" t="str">
        <f>Raw!BT89</f>
        <v>NA</v>
      </c>
      <c r="K88" s="157" t="str">
        <f>Raw!AW89</f>
        <v>NA</v>
      </c>
      <c r="L88" s="42" t="str">
        <f>IF(Raw!CE89 = "NA", "-", Raw!CE89)</f>
        <v>-</v>
      </c>
      <c r="M88" s="42" t="str">
        <f>IF(Raw!BH89 = "NA", "-", Raw!BH89)</f>
        <v>-</v>
      </c>
      <c r="N88" s="46" t="str">
        <f>IF(Raw!CD89 = "NA", "-", Raw!CD89)</f>
        <v>-</v>
      </c>
      <c r="O88" s="46" t="str">
        <f>IF(Raw!BG89 = "NA", "-", Raw!BG89)</f>
        <v>-</v>
      </c>
      <c r="P88" s="32" t="str">
        <f>IF(Raw!AW89 = "NA", "-", SUMPRODUCT(Raw!$BT$2:$CC$2, Raw!BT89:CC89))</f>
        <v>-</v>
      </c>
      <c r="Q88" s="32" t="str">
        <f>IF(Raw!AW89 = "NA", "-", SUMPRODUCT(Raw!$AW$2:$BF$2, Raw!AW89:BF89))</f>
        <v>-</v>
      </c>
      <c r="R88" s="7" t="e" cm="1">
        <f t="array" ref="R88">_xlfn.IFS(S88="YES", "Hourly", T88="YES", "Flat Rate")</f>
        <v>#N/A</v>
      </c>
      <c r="S88" s="8" t="str">
        <f>IF(Raw!CO89=1, "YES", "")</f>
        <v/>
      </c>
      <c r="T88" s="8" t="str">
        <f>IF(Raw!CO89=2, "YES", "")</f>
        <v/>
      </c>
      <c r="U88" s="96" t="str">
        <f>IF(Raw!CP89=1, "YES", "")</f>
        <v/>
      </c>
      <c r="V88" s="96"/>
      <c r="X88" s="23">
        <f>SUMPRODUCT(Raw!$BT$3:$CC$3, Raw!BT89:CC89)</f>
        <v>0</v>
      </c>
      <c r="Y88" s="23">
        <f>SUMPRODUCT(Raw!$BT$3:$CC$3, Raw!BU89:CD89)</f>
        <v>0</v>
      </c>
      <c r="Z88" s="28">
        <f t="shared" si="13"/>
        <v>0</v>
      </c>
      <c r="AA88" s="28">
        <f t="shared" si="14"/>
        <v>0</v>
      </c>
      <c r="AC88">
        <f t="shared" si="15"/>
        <v>13</v>
      </c>
      <c r="AD88" s="23">
        <f>IF(U88="YES",SUMPRODUCT(Raw!$BT$3:$CC$3,Raw!BT89:CC89)*0.6,SUMPRODUCT(Raw!$BT$3:$CC$3,Raw!BT89:CC89))</f>
        <v>0</v>
      </c>
      <c r="AE88" s="23">
        <f>IF(U88="YES",SUMPRODUCT(Raw!$BT$3:$CC$3,Raw!BU89:CD89)*0.6,SUMPRODUCT(Raw!$BT$3:$CC$3,Raw!BU89:CD89))</f>
        <v>0</v>
      </c>
      <c r="AF88" s="28">
        <f t="shared" si="16"/>
        <v>0</v>
      </c>
      <c r="AG88" s="28">
        <f t="shared" si="17"/>
        <v>0</v>
      </c>
      <c r="AI88" s="88" t="str">
        <f t="shared" si="11"/>
        <v>-</v>
      </c>
      <c r="AJ88" s="88" t="str">
        <f t="shared" si="12"/>
        <v>-</v>
      </c>
      <c r="AK88" t="e">
        <f t="shared" si="18"/>
        <v>#VALUE!</v>
      </c>
      <c r="AL88" t="e">
        <f t="shared" si="19"/>
        <v>#VALUE!</v>
      </c>
    </row>
    <row r="89" spans="1:38" x14ac:dyDescent="0.25">
      <c r="A89" s="4">
        <f>Raw!J90</f>
        <v>186</v>
      </c>
      <c r="B89" s="4" t="str">
        <f>Raw!K90</f>
        <v>Hermosa Ave</v>
      </c>
      <c r="C89" s="4" t="str">
        <f>Raw!L90</f>
        <v>Hemlock Ave</v>
      </c>
      <c r="D89" s="4" t="str">
        <f>Raw!M90</f>
        <v>El Camino Real</v>
      </c>
      <c r="E89" s="23" t="str">
        <f>Raw!CG90</f>
        <v>N</v>
      </c>
      <c r="F89" s="7">
        <f>Raw!T90</f>
        <v>16</v>
      </c>
      <c r="G89" s="7">
        <f>Raw!AL90</f>
        <v>4</v>
      </c>
      <c r="H89" s="7">
        <f>Raw!AC90</f>
        <v>3</v>
      </c>
      <c r="I89" s="7">
        <f t="shared" si="10"/>
        <v>7</v>
      </c>
      <c r="J89" s="157" t="str">
        <f>Raw!BT90</f>
        <v>NA</v>
      </c>
      <c r="K89" s="157" t="str">
        <f>Raw!AW90</f>
        <v>NA</v>
      </c>
      <c r="L89" s="42" t="str">
        <f>IF(Raw!CE90 = "NA", "-", Raw!CE90)</f>
        <v>-</v>
      </c>
      <c r="M89" s="42" t="str">
        <f>IF(Raw!BH90 = "NA", "-", Raw!BH90)</f>
        <v>-</v>
      </c>
      <c r="N89" s="46" t="str">
        <f>IF(Raw!CD90 = "NA", "-", Raw!CD90)</f>
        <v>-</v>
      </c>
      <c r="O89" s="46" t="str">
        <f>IF(Raw!BG90 = "NA", "-", Raw!BG90)</f>
        <v>-</v>
      </c>
      <c r="P89" s="32" t="str">
        <f>IF(Raw!AW90 = "NA", "-", SUMPRODUCT(Raw!$BT$2:$CC$2, Raw!BT90:CC90))</f>
        <v>-</v>
      </c>
      <c r="Q89" s="32" t="str">
        <f>IF(Raw!AW90 = "NA", "-", SUMPRODUCT(Raw!$AW$2:$BF$2, Raw!AW90:BF90))</f>
        <v>-</v>
      </c>
      <c r="R89" s="7" t="e" cm="1">
        <f t="array" ref="R89">_xlfn.IFS(S89="YES", "Hourly", T89="YES", "Flat Rate")</f>
        <v>#N/A</v>
      </c>
      <c r="S89" s="8" t="str">
        <f>IF(Raw!CO90=1, "YES", "")</f>
        <v/>
      </c>
      <c r="T89" s="8" t="str">
        <f>IF(Raw!CO90=2, "YES", "")</f>
        <v/>
      </c>
      <c r="U89" s="96" t="str">
        <f>IF(Raw!CP90=1, "YES", "")</f>
        <v/>
      </c>
      <c r="V89" s="96"/>
      <c r="X89" s="23">
        <f>SUMPRODUCT(Raw!$BT$3:$CC$3, Raw!BT90:CC90)</f>
        <v>0</v>
      </c>
      <c r="Y89" s="23">
        <f>SUMPRODUCT(Raw!$BT$3:$CC$3, Raw!BU90:CD90)</f>
        <v>0</v>
      </c>
      <c r="Z89" s="28">
        <f t="shared" si="13"/>
        <v>0</v>
      </c>
      <c r="AA89" s="28">
        <f t="shared" si="14"/>
        <v>0</v>
      </c>
      <c r="AC89">
        <f t="shared" si="15"/>
        <v>16</v>
      </c>
      <c r="AD89" s="23">
        <f>IF(U89="YES",SUMPRODUCT(Raw!$BT$3:$CC$3,Raw!BT90:CC90)*0.6,SUMPRODUCT(Raw!$BT$3:$CC$3,Raw!BT90:CC90))</f>
        <v>0</v>
      </c>
      <c r="AE89" s="23">
        <f>IF(U89="YES",SUMPRODUCT(Raw!$BT$3:$CC$3,Raw!BU90:CD90)*0.6,SUMPRODUCT(Raw!$BT$3:$CC$3,Raw!BU90:CD90))</f>
        <v>0</v>
      </c>
      <c r="AF89" s="28">
        <f t="shared" si="16"/>
        <v>0</v>
      </c>
      <c r="AG89" s="28">
        <f t="shared" si="17"/>
        <v>0</v>
      </c>
      <c r="AI89" s="88" t="str">
        <f t="shared" si="11"/>
        <v>-</v>
      </c>
      <c r="AJ89" s="88" t="str">
        <f t="shared" si="12"/>
        <v>-</v>
      </c>
      <c r="AK89" t="e">
        <f t="shared" si="18"/>
        <v>#VALUE!</v>
      </c>
      <c r="AL89" t="e">
        <f t="shared" si="19"/>
        <v>#VALUE!</v>
      </c>
    </row>
    <row r="90" spans="1:38" x14ac:dyDescent="0.25">
      <c r="A90" s="4">
        <f>Raw!J91</f>
        <v>187</v>
      </c>
      <c r="B90" s="4" t="str">
        <f>Raw!K91</f>
        <v>Hermosa Ave</v>
      </c>
      <c r="C90" s="4" t="str">
        <f>Raw!L91</f>
        <v>El Camino Real</v>
      </c>
      <c r="D90" s="4" t="str">
        <f>Raw!M91</f>
        <v>Hemlock Ave</v>
      </c>
      <c r="E90" s="23" t="str">
        <f>Raw!CG91</f>
        <v>S</v>
      </c>
      <c r="F90" s="7">
        <f>Raw!T91</f>
        <v>18</v>
      </c>
      <c r="G90" s="7">
        <f>Raw!AL91</f>
        <v>4</v>
      </c>
      <c r="H90" s="7">
        <f>Raw!AC91</f>
        <v>4</v>
      </c>
      <c r="I90" s="7">
        <f t="shared" si="10"/>
        <v>8</v>
      </c>
      <c r="J90" s="157" t="str">
        <f>Raw!BT91</f>
        <v>NA</v>
      </c>
      <c r="K90" s="157" t="str">
        <f>Raw!AW91</f>
        <v>NA</v>
      </c>
      <c r="L90" s="42" t="str">
        <f>IF(Raw!CE91 = "NA", "-", Raw!CE91)</f>
        <v>-</v>
      </c>
      <c r="M90" s="42" t="str">
        <f>IF(Raw!BH91 = "NA", "-", Raw!BH91)</f>
        <v>-</v>
      </c>
      <c r="N90" s="46" t="str">
        <f>IF(Raw!CD91 = "NA", "-", Raw!CD91)</f>
        <v>-</v>
      </c>
      <c r="O90" s="46" t="str">
        <f>IF(Raw!BG91 = "NA", "-", Raw!BG91)</f>
        <v>-</v>
      </c>
      <c r="P90" s="32" t="str">
        <f>IF(Raw!AW91 = "NA", "-", SUMPRODUCT(Raw!$BT$2:$CC$2, Raw!BT91:CC91))</f>
        <v>-</v>
      </c>
      <c r="Q90" s="32" t="str">
        <f>IF(Raw!AW91 = "NA", "-", SUMPRODUCT(Raw!$AW$2:$BF$2, Raw!AW91:BF91))</f>
        <v>-</v>
      </c>
      <c r="R90" s="7" t="e" cm="1">
        <f t="array" ref="R90">_xlfn.IFS(S90="YES", "Hourly", T90="YES", "Flat Rate")</f>
        <v>#N/A</v>
      </c>
      <c r="S90" s="8" t="str">
        <f>IF(Raw!CO91=1, "YES", "")</f>
        <v/>
      </c>
      <c r="T90" s="8" t="str">
        <f>IF(Raw!CO91=2, "YES", "")</f>
        <v/>
      </c>
      <c r="U90" s="96" t="str">
        <f>IF(Raw!CP91=1, "YES", "")</f>
        <v/>
      </c>
      <c r="V90" s="96"/>
      <c r="X90" s="23">
        <f>SUMPRODUCT(Raw!$BT$3:$CC$3, Raw!BT91:CC91)</f>
        <v>0</v>
      </c>
      <c r="Y90" s="23">
        <f>SUMPRODUCT(Raw!$BT$3:$CC$3, Raw!BU91:CD91)</f>
        <v>0</v>
      </c>
      <c r="Z90" s="28">
        <f t="shared" si="13"/>
        <v>0</v>
      </c>
      <c r="AA90" s="28">
        <f t="shared" si="14"/>
        <v>0</v>
      </c>
      <c r="AC90">
        <f t="shared" si="15"/>
        <v>18</v>
      </c>
      <c r="AD90" s="23">
        <f>IF(U90="YES",SUMPRODUCT(Raw!$BT$3:$CC$3,Raw!BT91:CC91)*0.6,SUMPRODUCT(Raw!$BT$3:$CC$3,Raw!BT91:CC91))</f>
        <v>0</v>
      </c>
      <c r="AE90" s="23">
        <f>IF(U90="YES",SUMPRODUCT(Raw!$BT$3:$CC$3,Raw!BU91:CD91)*0.6,SUMPRODUCT(Raw!$BT$3:$CC$3,Raw!BU91:CD91))</f>
        <v>0</v>
      </c>
      <c r="AF90" s="28">
        <f t="shared" si="16"/>
        <v>0</v>
      </c>
      <c r="AG90" s="28">
        <f t="shared" si="17"/>
        <v>0</v>
      </c>
      <c r="AI90" s="88" t="str">
        <f t="shared" si="11"/>
        <v>-</v>
      </c>
      <c r="AJ90" s="88" t="str">
        <f t="shared" si="12"/>
        <v>-</v>
      </c>
      <c r="AK90" t="e">
        <f t="shared" si="18"/>
        <v>#VALUE!</v>
      </c>
      <c r="AL90" t="e">
        <f t="shared" si="19"/>
        <v>#VALUE!</v>
      </c>
    </row>
    <row r="91" spans="1:38" x14ac:dyDescent="0.25">
      <c r="A91" s="4">
        <f>Raw!J92</f>
        <v>136</v>
      </c>
      <c r="B91" s="4" t="str">
        <f>Raw!K92</f>
        <v>Hemlock Ave</v>
      </c>
      <c r="C91" s="4" t="str">
        <f>Raw!L92</f>
        <v>End</v>
      </c>
      <c r="D91" s="4" t="str">
        <f>Raw!M92</f>
        <v>Mateo Ave</v>
      </c>
      <c r="E91" s="23" t="str">
        <f>Raw!CG92</f>
        <v>W</v>
      </c>
      <c r="F91" s="7">
        <f>Raw!T92</f>
        <v>5</v>
      </c>
      <c r="G91" s="7">
        <f>Raw!AL92</f>
        <v>2</v>
      </c>
      <c r="H91" s="7">
        <f>Raw!AC92</f>
        <v>3</v>
      </c>
      <c r="I91" s="7">
        <f t="shared" si="10"/>
        <v>5</v>
      </c>
      <c r="J91" s="157" t="str">
        <f>Raw!BT92</f>
        <v>NA</v>
      </c>
      <c r="K91" s="157" t="str">
        <f>Raw!AW92</f>
        <v>NA</v>
      </c>
      <c r="L91" s="42" t="str">
        <f>IF(Raw!CE92 = "NA", "-", Raw!CE92)</f>
        <v>-</v>
      </c>
      <c r="M91" s="42" t="str">
        <f>IF(Raw!BH92 = "NA", "-", Raw!BH92)</f>
        <v>-</v>
      </c>
      <c r="N91" s="46" t="str">
        <f>IF(Raw!CD92 = "NA", "-", Raw!CD92)</f>
        <v>-</v>
      </c>
      <c r="O91" s="46" t="str">
        <f>IF(Raw!BG92 = "NA", "-", Raw!BG92)</f>
        <v>-</v>
      </c>
      <c r="P91" s="32" t="str">
        <f>IF(Raw!AW92 = "NA", "-", SUMPRODUCT(Raw!$BT$2:$CC$2, Raw!BT92:CC92))</f>
        <v>-</v>
      </c>
      <c r="Q91" s="32" t="str">
        <f>IF(Raw!AW92 = "NA", "-", SUMPRODUCT(Raw!$AW$2:$BF$2, Raw!AW92:BF92))</f>
        <v>-</v>
      </c>
      <c r="R91" s="7" t="e" cm="1">
        <f t="array" ref="R91">_xlfn.IFS(S91="YES", "Hourly", T91="YES", "Flat Rate")</f>
        <v>#N/A</v>
      </c>
      <c r="S91" s="8" t="str">
        <f>IF(Raw!CO92=1, "YES", "")</f>
        <v/>
      </c>
      <c r="T91" s="8" t="str">
        <f>IF(Raw!CO92=2, "YES", "")</f>
        <v/>
      </c>
      <c r="U91" s="96" t="str">
        <f>IF(Raw!CP92=1, "YES", "")</f>
        <v/>
      </c>
      <c r="V91" s="96"/>
      <c r="X91" s="23">
        <f>SUMPRODUCT(Raw!$BT$3:$CC$3, Raw!BT92:CC92)</f>
        <v>0</v>
      </c>
      <c r="Y91" s="23">
        <f>SUMPRODUCT(Raw!$BT$3:$CC$3, Raw!BU92:CD92)</f>
        <v>0</v>
      </c>
      <c r="Z91" s="28">
        <f t="shared" si="13"/>
        <v>0</v>
      </c>
      <c r="AA91" s="28">
        <f t="shared" si="14"/>
        <v>0</v>
      </c>
      <c r="AC91">
        <f t="shared" si="15"/>
        <v>5</v>
      </c>
      <c r="AD91" s="23">
        <f>IF(U91="YES",SUMPRODUCT(Raw!$BT$3:$CC$3,Raw!BT92:CC92)*0.6,SUMPRODUCT(Raw!$BT$3:$CC$3,Raw!BT92:CC92))</f>
        <v>0</v>
      </c>
      <c r="AE91" s="23">
        <f>IF(U91="YES",SUMPRODUCT(Raw!$BT$3:$CC$3,Raw!BU92:CD92)*0.6,SUMPRODUCT(Raw!$BT$3:$CC$3,Raw!BU92:CD92))</f>
        <v>0</v>
      </c>
      <c r="AF91" s="28">
        <f t="shared" si="16"/>
        <v>0</v>
      </c>
      <c r="AG91" s="28">
        <f t="shared" si="17"/>
        <v>0</v>
      </c>
      <c r="AI91" s="88" t="str">
        <f t="shared" si="11"/>
        <v>-</v>
      </c>
      <c r="AJ91" s="88" t="str">
        <f t="shared" si="12"/>
        <v>-</v>
      </c>
      <c r="AK91" t="e">
        <f t="shared" si="18"/>
        <v>#VALUE!</v>
      </c>
      <c r="AL91" t="e">
        <f t="shared" si="19"/>
        <v>#VALUE!</v>
      </c>
    </row>
    <row r="92" spans="1:38" x14ac:dyDescent="0.25">
      <c r="A92" s="4">
        <f>Raw!J93</f>
        <v>138</v>
      </c>
      <c r="B92" s="4" t="str">
        <f>Raw!K93</f>
        <v>Hemlock Ave</v>
      </c>
      <c r="C92" s="4" t="str">
        <f>Raw!L93</f>
        <v>Curve</v>
      </c>
      <c r="D92" s="4" t="str">
        <f>Raw!M93</f>
        <v>End</v>
      </c>
      <c r="E92" s="23" t="str">
        <f>Raw!CG93</f>
        <v>E</v>
      </c>
      <c r="F92" s="7">
        <f>Raw!T93</f>
        <v>32</v>
      </c>
      <c r="G92" s="7">
        <f>Raw!AL93</f>
        <v>0</v>
      </c>
      <c r="H92" s="7">
        <f>Raw!AC93</f>
        <v>0</v>
      </c>
      <c r="I92" s="7">
        <f t="shared" si="10"/>
        <v>0</v>
      </c>
      <c r="J92" s="157" t="str">
        <f>Raw!BT93</f>
        <v>NA</v>
      </c>
      <c r="K92" s="157" t="str">
        <f>Raw!AW93</f>
        <v>NA</v>
      </c>
      <c r="L92" s="42" t="str">
        <f>IF(Raw!CE93 = "NA", "-", Raw!CE93)</f>
        <v>-</v>
      </c>
      <c r="M92" s="42" t="str">
        <f>IF(Raw!BH93 = "NA", "-", Raw!BH93)</f>
        <v>-</v>
      </c>
      <c r="N92" s="46" t="str">
        <f>IF(Raw!CD93 = "NA", "-", Raw!CD93)</f>
        <v>-</v>
      </c>
      <c r="O92" s="46" t="str">
        <f>IF(Raw!BG93 = "NA", "-", Raw!BG93)</f>
        <v>-</v>
      </c>
      <c r="P92" s="32" t="str">
        <f>IF(Raw!AW93 = "NA", "-", SUMPRODUCT(Raw!$BT$2:$CC$2, Raw!BT93:CC93))</f>
        <v>-</v>
      </c>
      <c r="Q92" s="32" t="str">
        <f>IF(Raw!AW93 = "NA", "-", SUMPRODUCT(Raw!$AW$2:$BF$2, Raw!AW93:BF93))</f>
        <v>-</v>
      </c>
      <c r="R92" s="7" t="e" cm="1">
        <f t="array" ref="R92">_xlfn.IFS(S92="YES", "Hourly", T92="YES", "Flat Rate")</f>
        <v>#N/A</v>
      </c>
      <c r="S92" s="8" t="str">
        <f>IF(Raw!CO93=1, "YES", "")</f>
        <v/>
      </c>
      <c r="T92" s="8" t="str">
        <f>IF(Raw!CO93=2, "YES", "")</f>
        <v/>
      </c>
      <c r="U92" s="96" t="str">
        <f>IF(Raw!CP93=1, "YES", "")</f>
        <v/>
      </c>
      <c r="V92" s="96"/>
      <c r="X92" s="23">
        <f>SUMPRODUCT(Raw!$BT$3:$CC$3, Raw!BT93:CC93)</f>
        <v>0</v>
      </c>
      <c r="Y92" s="23">
        <f>SUMPRODUCT(Raw!$BT$3:$CC$3, Raw!BU93:CD93)</f>
        <v>0</v>
      </c>
      <c r="Z92" s="28">
        <f t="shared" si="13"/>
        <v>0</v>
      </c>
      <c r="AA92" s="28">
        <f t="shared" si="14"/>
        <v>0</v>
      </c>
      <c r="AC92">
        <f t="shared" si="15"/>
        <v>32</v>
      </c>
      <c r="AD92" s="23">
        <f>IF(U92="YES",SUMPRODUCT(Raw!$BT$3:$CC$3,Raw!BT93:CC93)*0.6,SUMPRODUCT(Raw!$BT$3:$CC$3,Raw!BT93:CC93))</f>
        <v>0</v>
      </c>
      <c r="AE92" s="23">
        <f>IF(U92="YES",SUMPRODUCT(Raw!$BT$3:$CC$3,Raw!BU93:CD93)*0.6,SUMPRODUCT(Raw!$BT$3:$CC$3,Raw!BU93:CD93))</f>
        <v>0</v>
      </c>
      <c r="AF92" s="28">
        <f t="shared" si="16"/>
        <v>0</v>
      </c>
      <c r="AG92" s="28">
        <f t="shared" si="17"/>
        <v>0</v>
      </c>
      <c r="AI92" s="88" t="str">
        <f t="shared" si="11"/>
        <v>-</v>
      </c>
      <c r="AJ92" s="88" t="str">
        <f t="shared" si="12"/>
        <v>-</v>
      </c>
      <c r="AK92" t="e">
        <f t="shared" si="18"/>
        <v>#VALUE!</v>
      </c>
      <c r="AL92" t="e">
        <f t="shared" si="19"/>
        <v>#VALUE!</v>
      </c>
    </row>
    <row r="93" spans="1:38" x14ac:dyDescent="0.25">
      <c r="A93" s="4">
        <f>Raw!J94</f>
        <v>141</v>
      </c>
      <c r="B93" s="4" t="str">
        <f>Raw!K94</f>
        <v>Hemlock Ave</v>
      </c>
      <c r="C93" s="4" t="str">
        <f>Raw!L94</f>
        <v>Hillcrest Blvd</v>
      </c>
      <c r="D93" s="4" t="str">
        <f>Raw!M94</f>
        <v>Curve</v>
      </c>
      <c r="E93" s="23" t="str">
        <f>Raw!CG94</f>
        <v>E</v>
      </c>
      <c r="F93" s="7">
        <f>Raw!T94</f>
        <v>13</v>
      </c>
      <c r="G93" s="7">
        <f>Raw!AL94</f>
        <v>1</v>
      </c>
      <c r="H93" s="7">
        <f>Raw!AC94</f>
        <v>0</v>
      </c>
      <c r="I93" s="7">
        <f t="shared" si="10"/>
        <v>1</v>
      </c>
      <c r="J93" s="157" t="str">
        <f>Raw!BT94</f>
        <v>NA</v>
      </c>
      <c r="K93" s="157" t="str">
        <f>Raw!AW94</f>
        <v>NA</v>
      </c>
      <c r="L93" s="42" t="str">
        <f>IF(Raw!CE94 = "NA", "-", Raw!CE94)</f>
        <v>-</v>
      </c>
      <c r="M93" s="42" t="str">
        <f>IF(Raw!BH94 = "NA", "-", Raw!BH94)</f>
        <v>-</v>
      </c>
      <c r="N93" s="46" t="str">
        <f>IF(Raw!CD94 = "NA", "-", Raw!CD94)</f>
        <v>-</v>
      </c>
      <c r="O93" s="46" t="str">
        <f>IF(Raw!BG94 = "NA", "-", Raw!BG94)</f>
        <v>-</v>
      </c>
      <c r="P93" s="32" t="str">
        <f>IF(Raw!AW94 = "NA", "-", SUMPRODUCT(Raw!$BT$2:$CC$2, Raw!BT94:CC94))</f>
        <v>-</v>
      </c>
      <c r="Q93" s="32" t="str">
        <f>IF(Raw!AW94 = "NA", "-", SUMPRODUCT(Raw!$AW$2:$BF$2, Raw!AW94:BF94))</f>
        <v>-</v>
      </c>
      <c r="R93" s="7" t="e" cm="1">
        <f t="array" ref="R93">_xlfn.IFS(S93="YES", "Hourly", T93="YES", "Flat Rate")</f>
        <v>#N/A</v>
      </c>
      <c r="S93" s="8" t="str">
        <f>IF(Raw!CO94=1, "YES", "")</f>
        <v/>
      </c>
      <c r="T93" s="8" t="str">
        <f>IF(Raw!CO94=2, "YES", "")</f>
        <v/>
      </c>
      <c r="U93" s="96" t="str">
        <f>IF(Raw!CP94=1, "YES", "")</f>
        <v/>
      </c>
      <c r="V93" s="96"/>
      <c r="X93" s="23">
        <f>SUMPRODUCT(Raw!$BT$3:$CC$3, Raw!BT94:CC94)</f>
        <v>0</v>
      </c>
      <c r="Y93" s="23">
        <f>SUMPRODUCT(Raw!$BT$3:$CC$3, Raw!BU94:CD94)</f>
        <v>0</v>
      </c>
      <c r="Z93" s="28">
        <f t="shared" si="13"/>
        <v>0</v>
      </c>
      <c r="AA93" s="28">
        <f t="shared" si="14"/>
        <v>0</v>
      </c>
      <c r="AC93">
        <f t="shared" si="15"/>
        <v>13</v>
      </c>
      <c r="AD93" s="23">
        <f>IF(U93="YES",SUMPRODUCT(Raw!$BT$3:$CC$3,Raw!BT94:CC94)*0.6,SUMPRODUCT(Raw!$BT$3:$CC$3,Raw!BT94:CC94))</f>
        <v>0</v>
      </c>
      <c r="AE93" s="23">
        <f>IF(U93="YES",SUMPRODUCT(Raw!$BT$3:$CC$3,Raw!BU94:CD94)*0.6,SUMPRODUCT(Raw!$BT$3:$CC$3,Raw!BU94:CD94))</f>
        <v>0</v>
      </c>
      <c r="AF93" s="28">
        <f t="shared" si="16"/>
        <v>0</v>
      </c>
      <c r="AG93" s="28">
        <f t="shared" si="17"/>
        <v>0</v>
      </c>
      <c r="AI93" s="88" t="str">
        <f t="shared" si="11"/>
        <v>-</v>
      </c>
      <c r="AJ93" s="88" t="str">
        <f t="shared" si="12"/>
        <v>-</v>
      </c>
      <c r="AK93" t="e">
        <f t="shared" si="18"/>
        <v>#VALUE!</v>
      </c>
      <c r="AL93" t="e">
        <f t="shared" si="19"/>
        <v>#VALUE!</v>
      </c>
    </row>
    <row r="94" spans="1:38" x14ac:dyDescent="0.25">
      <c r="A94" s="4">
        <f>Raw!J95</f>
        <v>140</v>
      </c>
      <c r="B94" s="4" t="str">
        <f>Raw!K95</f>
        <v>Hemlock Ave</v>
      </c>
      <c r="C94" s="4" t="str">
        <f>Raw!L95</f>
        <v>Hermosa Ave</v>
      </c>
      <c r="D94" s="4" t="str">
        <f>Raw!M95</f>
        <v>Hillcrest Blvd</v>
      </c>
      <c r="E94" s="23" t="str">
        <f>Raw!CG95</f>
        <v>W</v>
      </c>
      <c r="F94" s="7">
        <f>Raw!T95</f>
        <v>15</v>
      </c>
      <c r="G94" s="7">
        <f>Raw!AL95</f>
        <v>1</v>
      </c>
      <c r="H94" s="7">
        <f>Raw!AC95</f>
        <v>0</v>
      </c>
      <c r="I94" s="7">
        <f t="shared" si="10"/>
        <v>1</v>
      </c>
      <c r="J94" s="157" t="str">
        <f>Raw!BT95</f>
        <v>NA</v>
      </c>
      <c r="K94" s="157" t="str">
        <f>Raw!AW95</f>
        <v>NA</v>
      </c>
      <c r="L94" s="42" t="str">
        <f>IF(Raw!CE95 = "NA", "-", Raw!CE95)</f>
        <v>-</v>
      </c>
      <c r="M94" s="42" t="str">
        <f>IF(Raw!BH95 = "NA", "-", Raw!BH95)</f>
        <v>-</v>
      </c>
      <c r="N94" s="46" t="str">
        <f>IF(Raw!CD95 = "NA", "-", Raw!CD95)</f>
        <v>-</v>
      </c>
      <c r="O94" s="46" t="str">
        <f>IF(Raw!BG95 = "NA", "-", Raw!BG95)</f>
        <v>-</v>
      </c>
      <c r="P94" s="32" t="str">
        <f>IF(Raw!AW95 = "NA", "-", SUMPRODUCT(Raw!$BT$2:$CC$2, Raw!BT95:CC95))</f>
        <v>-</v>
      </c>
      <c r="Q94" s="32" t="str">
        <f>IF(Raw!AW95 = "NA", "-", SUMPRODUCT(Raw!$AW$2:$BF$2, Raw!AW95:BF95))</f>
        <v>-</v>
      </c>
      <c r="R94" s="7" t="e" cm="1">
        <f t="array" ref="R94">_xlfn.IFS(S94="YES", "Hourly", T94="YES", "Flat Rate")</f>
        <v>#N/A</v>
      </c>
      <c r="S94" s="8" t="str">
        <f>IF(Raw!CO95=1, "YES", "")</f>
        <v/>
      </c>
      <c r="T94" s="8" t="str">
        <f>IF(Raw!CO95=2, "YES", "")</f>
        <v/>
      </c>
      <c r="U94" s="96" t="str">
        <f>IF(Raw!CP95=1, "YES", "")</f>
        <v/>
      </c>
      <c r="V94" s="96"/>
      <c r="X94" s="23">
        <f>SUMPRODUCT(Raw!$BT$3:$CC$3, Raw!BT95:CC95)</f>
        <v>0</v>
      </c>
      <c r="Y94" s="23">
        <f>SUMPRODUCT(Raw!$BT$3:$CC$3, Raw!BU95:CD95)</f>
        <v>0</v>
      </c>
      <c r="Z94" s="28">
        <f t="shared" si="13"/>
        <v>0</v>
      </c>
      <c r="AA94" s="28">
        <f t="shared" si="14"/>
        <v>0</v>
      </c>
      <c r="AC94">
        <f t="shared" si="15"/>
        <v>15</v>
      </c>
      <c r="AD94" s="23">
        <f>IF(U94="YES",SUMPRODUCT(Raw!$BT$3:$CC$3,Raw!BT95:CC95)*0.6,SUMPRODUCT(Raw!$BT$3:$CC$3,Raw!BT95:CC95))</f>
        <v>0</v>
      </c>
      <c r="AE94" s="23">
        <f>IF(U94="YES",SUMPRODUCT(Raw!$BT$3:$CC$3,Raw!BU95:CD95)*0.6,SUMPRODUCT(Raw!$BT$3:$CC$3,Raw!BU95:CD95))</f>
        <v>0</v>
      </c>
      <c r="AF94" s="28">
        <f t="shared" si="16"/>
        <v>0</v>
      </c>
      <c r="AG94" s="28">
        <f t="shared" si="17"/>
        <v>0</v>
      </c>
      <c r="AI94" s="88" t="str">
        <f t="shared" si="11"/>
        <v>-</v>
      </c>
      <c r="AJ94" s="88" t="str">
        <f t="shared" si="12"/>
        <v>-</v>
      </c>
      <c r="AK94" t="e">
        <f t="shared" si="18"/>
        <v>#VALUE!</v>
      </c>
      <c r="AL94" t="e">
        <f t="shared" si="19"/>
        <v>#VALUE!</v>
      </c>
    </row>
    <row r="95" spans="1:38" x14ac:dyDescent="0.25">
      <c r="A95" s="4">
        <f>Raw!J96</f>
        <v>122</v>
      </c>
      <c r="B95" s="4" t="str">
        <f>Raw!K96</f>
        <v>El Camino Real</v>
      </c>
      <c r="C95" s="4" t="str">
        <f>Raw!L96</f>
        <v>Hillcrest Blvd</v>
      </c>
      <c r="D95" s="4" t="str">
        <f>Raw!M96</f>
        <v>Taylor Blvd</v>
      </c>
      <c r="E95" s="23" t="str">
        <f>Raw!CG96</f>
        <v>E</v>
      </c>
      <c r="F95" s="7">
        <f>Raw!T96</f>
        <v>10</v>
      </c>
      <c r="G95" s="7">
        <f>Raw!AL96</f>
        <v>0</v>
      </c>
      <c r="H95" s="7">
        <f>Raw!AC96</f>
        <v>0</v>
      </c>
      <c r="I95" s="7">
        <f t="shared" si="10"/>
        <v>0</v>
      </c>
      <c r="J95" s="157">
        <f>Raw!BT96</f>
        <v>0</v>
      </c>
      <c r="K95" s="157">
        <f>Raw!AW96</f>
        <v>12</v>
      </c>
      <c r="L95" s="42">
        <f>IF(Raw!CE96 = "NA", "-", Raw!CE96)</f>
        <v>0</v>
      </c>
      <c r="M95" s="42">
        <f>IF(Raw!BH96 = "NA", "-", Raw!BH96)</f>
        <v>2.6</v>
      </c>
      <c r="N95" s="46">
        <f>IF(Raw!CD96 = "NA", "-", Raw!CD96)</f>
        <v>0</v>
      </c>
      <c r="O95" s="46">
        <f>IF(Raw!BG96 = "NA", "-", Raw!BG96)</f>
        <v>26</v>
      </c>
      <c r="P95" s="32">
        <f>IF(Raw!AW96 = "NA", "-", SUMPRODUCT(Raw!$BT$2:$CC$2, Raw!BT96:CC96))</f>
        <v>0</v>
      </c>
      <c r="Q95" s="32">
        <f>IF(Raw!AW96 = "NA", "-", SUMPRODUCT(Raw!$AW$2:$BF$2, Raw!AW96:BF96))</f>
        <v>62</v>
      </c>
      <c r="R95" s="7" t="str" cm="1">
        <f t="array" ref="R95">_xlfn.IFS(S95="YES", "Hourly", T95="YES", "Flat Rate")</f>
        <v>Hourly</v>
      </c>
      <c r="S95" s="8" t="str">
        <f>IF(Raw!CO96=1, "YES", "")</f>
        <v>YES</v>
      </c>
      <c r="T95" s="8" t="str">
        <f>IF(Raw!CO96=2, "YES", "")</f>
        <v/>
      </c>
      <c r="U95" s="96" t="str">
        <f>IF(Raw!CP96=1, "YES", "")</f>
        <v/>
      </c>
      <c r="V95" s="96"/>
      <c r="X95" s="23">
        <f>SUMPRODUCT(Raw!$BT$3:$CC$3, Raw!BT96:CC96)</f>
        <v>0</v>
      </c>
      <c r="Y95" s="23">
        <f>SUMPRODUCT(Raw!$BT$3:$CC$3, Raw!BU96:CD96)</f>
        <v>0</v>
      </c>
      <c r="Z95" s="28">
        <f t="shared" si="13"/>
        <v>0</v>
      </c>
      <c r="AA95" s="28">
        <f t="shared" si="14"/>
        <v>0</v>
      </c>
      <c r="AC95">
        <f t="shared" si="15"/>
        <v>10</v>
      </c>
      <c r="AD95" s="23">
        <f>IF(U95="YES",SUMPRODUCT(Raw!$BT$3:$CC$3,Raw!BT96:CC96)*0.6,SUMPRODUCT(Raw!$BT$3:$CC$3,Raw!BT96:CC96))</f>
        <v>0</v>
      </c>
      <c r="AE95" s="23">
        <f>IF(U95="YES",SUMPRODUCT(Raw!$BT$3:$CC$3,Raw!BU96:CD96)*0.6,SUMPRODUCT(Raw!$BT$3:$CC$3,Raw!BU96:CD96))</f>
        <v>0</v>
      </c>
      <c r="AF95" s="28">
        <f t="shared" si="16"/>
        <v>0</v>
      </c>
      <c r="AG95" s="28">
        <f t="shared" si="17"/>
        <v>0</v>
      </c>
      <c r="AI95" s="88">
        <f t="shared" si="11"/>
        <v>0</v>
      </c>
      <c r="AJ95" s="88">
        <f t="shared" si="12"/>
        <v>26</v>
      </c>
      <c r="AK95">
        <f t="shared" si="18"/>
        <v>143</v>
      </c>
      <c r="AL95">
        <f t="shared" si="19"/>
        <v>7436</v>
      </c>
    </row>
    <row r="96" spans="1:38" x14ac:dyDescent="0.25">
      <c r="A96" s="4">
        <f>Raw!J97</f>
        <v>196</v>
      </c>
      <c r="B96" s="4" t="str">
        <f>Raw!K97</f>
        <v>Taylor Blvd</v>
      </c>
      <c r="C96" s="4" t="str">
        <f>Raw!L97</f>
        <v>El Camino Real</v>
      </c>
      <c r="D96" s="4" t="str">
        <f>Raw!M97</f>
        <v>Broadway</v>
      </c>
      <c r="E96" s="23" t="str">
        <f>Raw!CG97</f>
        <v>N</v>
      </c>
      <c r="F96" s="7">
        <f>Raw!T97</f>
        <v>5</v>
      </c>
      <c r="G96" s="7">
        <f>Raw!AL97</f>
        <v>0</v>
      </c>
      <c r="H96" s="7">
        <f>Raw!AC97</f>
        <v>1</v>
      </c>
      <c r="I96" s="7">
        <f t="shared" si="10"/>
        <v>1</v>
      </c>
      <c r="J96" s="157">
        <f>Raw!BT97</f>
        <v>8</v>
      </c>
      <c r="K96" s="157">
        <f>Raw!AW97</f>
        <v>13</v>
      </c>
      <c r="L96" s="42">
        <f>IF(Raw!CE97 = "NA", "-", Raw!CE97)</f>
        <v>2.6</v>
      </c>
      <c r="M96" s="42">
        <f>IF(Raw!BH97 = "NA", "-", Raw!BH97)</f>
        <v>3.7</v>
      </c>
      <c r="N96" s="46">
        <f>IF(Raw!CD97 = "NA", "-", Raw!CD97)</f>
        <v>14</v>
      </c>
      <c r="O96" s="46">
        <f>IF(Raw!BG97 = "NA", "-", Raw!BG97)</f>
        <v>20</v>
      </c>
      <c r="P96" s="32">
        <f>IF(Raw!AW97 = "NA", "-", SUMPRODUCT(Raw!$BT$2:$CC$2, Raw!BT97:CC97))</f>
        <v>28</v>
      </c>
      <c r="Q96" s="32">
        <f>IF(Raw!AW97 = "NA", "-", SUMPRODUCT(Raw!$AW$2:$BF$2, Raw!AW97:BF97))</f>
        <v>38</v>
      </c>
      <c r="R96" s="7" t="str" cm="1">
        <f t="array" ref="R96">_xlfn.IFS(S96="YES", "Hourly", T96="YES", "Flat Rate")</f>
        <v>Hourly</v>
      </c>
      <c r="S96" s="8" t="str">
        <f>IF(Raw!CO97=1, "YES", "")</f>
        <v>YES</v>
      </c>
      <c r="T96" s="8" t="str">
        <f>IF(Raw!CO97=2, "YES", "")</f>
        <v/>
      </c>
      <c r="U96" s="96" t="str">
        <f>IF(Raw!CP97=1, "YES", "")</f>
        <v/>
      </c>
      <c r="V96" s="96"/>
      <c r="X96" s="23">
        <f>SUMPRODUCT(Raw!$BT$3:$CC$3, Raw!BT97:CC97)</f>
        <v>20</v>
      </c>
      <c r="Y96" s="23">
        <f>SUMPRODUCT(Raw!$BT$3:$CC$3, Raw!BU97:CD97)</f>
        <v>37</v>
      </c>
      <c r="Z96" s="28">
        <f t="shared" si="13"/>
        <v>137</v>
      </c>
      <c r="AA96" s="28">
        <f t="shared" si="14"/>
        <v>7144</v>
      </c>
      <c r="AC96">
        <f t="shared" si="15"/>
        <v>5</v>
      </c>
      <c r="AD96" s="23">
        <f>IF(U96="YES",SUMPRODUCT(Raw!$BT$3:$CC$3,Raw!BT97:CC97)*0.6,SUMPRODUCT(Raw!$BT$3:$CC$3,Raw!BT97:CC97))</f>
        <v>20</v>
      </c>
      <c r="AE96" s="23">
        <f>IF(U96="YES",SUMPRODUCT(Raw!$BT$3:$CC$3,Raw!BU97:CD97)*0.6,SUMPRODUCT(Raw!$BT$3:$CC$3,Raw!BU97:CD97))</f>
        <v>37</v>
      </c>
      <c r="AF96" s="28">
        <f t="shared" si="16"/>
        <v>137</v>
      </c>
      <c r="AG96" s="28">
        <f t="shared" si="17"/>
        <v>7144</v>
      </c>
      <c r="AI96" s="88">
        <f t="shared" si="11"/>
        <v>14</v>
      </c>
      <c r="AJ96" s="88">
        <f t="shared" si="12"/>
        <v>20</v>
      </c>
      <c r="AK96">
        <f t="shared" si="18"/>
        <v>495</v>
      </c>
      <c r="AL96">
        <f t="shared" si="19"/>
        <v>25817</v>
      </c>
    </row>
    <row r="97" spans="1:38" x14ac:dyDescent="0.25">
      <c r="A97" s="4">
        <f>Raw!J98</f>
        <v>193</v>
      </c>
      <c r="B97" s="4" t="str">
        <f>Raw!K98</f>
        <v>Taylor Blvd</v>
      </c>
      <c r="C97" s="4" t="str">
        <f>Raw!L98</f>
        <v>Poplar Ave</v>
      </c>
      <c r="D97" s="4" t="str">
        <f>Raw!M98</f>
        <v>Magnolia Ave</v>
      </c>
      <c r="E97" s="23" t="str">
        <f>Raw!CG98</f>
        <v>S</v>
      </c>
      <c r="F97" s="7">
        <f>Raw!T98</f>
        <v>21</v>
      </c>
      <c r="G97" s="7">
        <f>Raw!AL98</f>
        <v>0</v>
      </c>
      <c r="H97" s="7">
        <f>Raw!AC98</f>
        <v>0</v>
      </c>
      <c r="I97" s="7">
        <f t="shared" si="10"/>
        <v>0</v>
      </c>
      <c r="J97" s="157" t="str">
        <f>Raw!BT98</f>
        <v>NA</v>
      </c>
      <c r="K97" s="157" t="str">
        <f>Raw!AW98</f>
        <v>NA</v>
      </c>
      <c r="L97" s="42" t="str">
        <f>IF(Raw!CE98 = "NA", "-", Raw!CE98)</f>
        <v>-</v>
      </c>
      <c r="M97" s="42" t="str">
        <f>IF(Raw!BH98 = "NA", "-", Raw!BH98)</f>
        <v>-</v>
      </c>
      <c r="N97" s="46" t="str">
        <f>IF(Raw!CD98 = "NA", "-", Raw!CD98)</f>
        <v>-</v>
      </c>
      <c r="O97" s="46" t="str">
        <f>IF(Raw!BG98 = "NA", "-", Raw!BG98)</f>
        <v>-</v>
      </c>
      <c r="P97" s="32" t="str">
        <f>IF(Raw!AW98 = "NA", "-", SUMPRODUCT(Raw!$BT$2:$CC$2, Raw!BT98:CC98))</f>
        <v>-</v>
      </c>
      <c r="Q97" s="32" t="str">
        <f>IF(Raw!AW98 = "NA", "-", SUMPRODUCT(Raw!$AW$2:$BF$2, Raw!AW98:BF98))</f>
        <v>-</v>
      </c>
      <c r="R97" s="7" t="e" cm="1">
        <f t="array" ref="R97">_xlfn.IFS(S97="YES", "Hourly", T97="YES", "Flat Rate")</f>
        <v>#N/A</v>
      </c>
      <c r="S97" s="8" t="str">
        <f>IF(Raw!CO98=1, "YES", "")</f>
        <v/>
      </c>
      <c r="T97" s="8" t="str">
        <f>IF(Raw!CO98=2, "YES", "")</f>
        <v/>
      </c>
      <c r="U97" s="96" t="str">
        <f>IF(Raw!CP98=1, "YES", "")</f>
        <v/>
      </c>
      <c r="V97" s="96"/>
      <c r="X97" s="23">
        <f>SUMPRODUCT(Raw!$BT$3:$CC$3, Raw!BT98:CC98)</f>
        <v>0</v>
      </c>
      <c r="Y97" s="23">
        <f>SUMPRODUCT(Raw!$BT$3:$CC$3, Raw!BU98:CD98)</f>
        <v>0</v>
      </c>
      <c r="Z97" s="28">
        <f t="shared" si="13"/>
        <v>0</v>
      </c>
      <c r="AA97" s="28">
        <f t="shared" si="14"/>
        <v>0</v>
      </c>
      <c r="AC97">
        <f t="shared" si="15"/>
        <v>21</v>
      </c>
      <c r="AD97" s="23">
        <f>IF(U97="YES",SUMPRODUCT(Raw!$BT$3:$CC$3,Raw!BT98:CC98)*0.6,SUMPRODUCT(Raw!$BT$3:$CC$3,Raw!BT98:CC98))</f>
        <v>0</v>
      </c>
      <c r="AE97" s="23">
        <f>IF(U97="YES",SUMPRODUCT(Raw!$BT$3:$CC$3,Raw!BU98:CD98)*0.6,SUMPRODUCT(Raw!$BT$3:$CC$3,Raw!BU98:CD98))</f>
        <v>0</v>
      </c>
      <c r="AF97" s="28">
        <f t="shared" si="16"/>
        <v>0</v>
      </c>
      <c r="AG97" s="28">
        <f t="shared" si="17"/>
        <v>0</v>
      </c>
      <c r="AI97" s="88" t="str">
        <f t="shared" si="11"/>
        <v>-</v>
      </c>
      <c r="AJ97" s="88" t="str">
        <f t="shared" si="12"/>
        <v>-</v>
      </c>
      <c r="AK97" t="e">
        <f t="shared" si="18"/>
        <v>#VALUE!</v>
      </c>
      <c r="AL97" t="e">
        <f t="shared" si="19"/>
        <v>#VALUE!</v>
      </c>
    </row>
    <row r="98" spans="1:38" x14ac:dyDescent="0.25">
      <c r="A98" s="4">
        <f>Raw!J99</f>
        <v>195</v>
      </c>
      <c r="B98" s="4" t="str">
        <f>Raw!K99</f>
        <v>Taylor Blvd</v>
      </c>
      <c r="C98" s="4" t="str">
        <f>Raw!L99</f>
        <v>Magnolia Ave</v>
      </c>
      <c r="D98" s="4" t="str">
        <f>Raw!M99</f>
        <v>Broadway</v>
      </c>
      <c r="E98" s="23" t="str">
        <f>Raw!CG99</f>
        <v>S</v>
      </c>
      <c r="F98" s="7">
        <f>Raw!T99</f>
        <v>4</v>
      </c>
      <c r="G98" s="7">
        <f>Raw!AL99</f>
        <v>3</v>
      </c>
      <c r="H98" s="7">
        <f>Raw!AC99</f>
        <v>2</v>
      </c>
      <c r="I98" s="7">
        <f t="shared" si="10"/>
        <v>5</v>
      </c>
      <c r="J98" s="157">
        <f>Raw!BT99</f>
        <v>10</v>
      </c>
      <c r="K98" s="157">
        <f>Raw!AW99</f>
        <v>9</v>
      </c>
      <c r="L98" s="42">
        <f>IF(Raw!CE99 = "NA", "-", Raw!CE99)</f>
        <v>4.2</v>
      </c>
      <c r="M98" s="42">
        <f>IF(Raw!BH99 = "NA", "-", Raw!BH99)</f>
        <v>2.9</v>
      </c>
      <c r="N98" s="46">
        <f>IF(Raw!CD99 = "NA", "-", Raw!CD99)</f>
        <v>16</v>
      </c>
      <c r="O98" s="46">
        <f>IF(Raw!BG99 = "NA", "-", Raw!BG99)</f>
        <v>11</v>
      </c>
      <c r="P98" s="32">
        <f>IF(Raw!AW99 = "NA", "-", SUMPRODUCT(Raw!$BT$2:$CC$2, Raw!BT99:CC99))</f>
        <v>33</v>
      </c>
      <c r="Q98" s="32">
        <f>IF(Raw!AW99 = "NA", "-", SUMPRODUCT(Raw!$AW$2:$BF$2, Raw!AW99:BF99))</f>
        <v>22</v>
      </c>
      <c r="R98" s="7" t="str" cm="1">
        <f t="array" ref="R98">_xlfn.IFS(S98="YES", "Hourly", T98="YES", "Flat Rate")</f>
        <v>Hourly</v>
      </c>
      <c r="S98" s="8" t="str">
        <f>IF(Raw!CO99=1, "YES", "")</f>
        <v>YES</v>
      </c>
      <c r="T98" s="8" t="str">
        <f>IF(Raw!CO99=2, "YES", "")</f>
        <v/>
      </c>
      <c r="U98" s="96" t="str">
        <f>IF(Raw!CP99=1, "YES", "")</f>
        <v/>
      </c>
      <c r="V98" s="96"/>
      <c r="X98" s="23">
        <f>SUMPRODUCT(Raw!$BT$3:$CC$3, Raw!BT99:CC99)</f>
        <v>22</v>
      </c>
      <c r="Y98" s="23">
        <f>SUMPRODUCT(Raw!$BT$3:$CC$3, Raw!BU99:CD99)</f>
        <v>42</v>
      </c>
      <c r="Z98" s="28">
        <f t="shared" si="13"/>
        <v>152</v>
      </c>
      <c r="AA98" s="28">
        <f t="shared" si="14"/>
        <v>7926</v>
      </c>
      <c r="AC98">
        <f t="shared" si="15"/>
        <v>4</v>
      </c>
      <c r="AD98" s="23">
        <f>IF(U98="YES",SUMPRODUCT(Raw!$BT$3:$CC$3,Raw!BT99:CC99)*0.6,SUMPRODUCT(Raw!$BT$3:$CC$3,Raw!BT99:CC99))</f>
        <v>22</v>
      </c>
      <c r="AE98" s="23">
        <f>IF(U98="YES",SUMPRODUCT(Raw!$BT$3:$CC$3,Raw!BU99:CD99)*0.6,SUMPRODUCT(Raw!$BT$3:$CC$3,Raw!BU99:CD99))</f>
        <v>42</v>
      </c>
      <c r="AF98" s="28">
        <f t="shared" si="16"/>
        <v>152</v>
      </c>
      <c r="AG98" s="28">
        <f t="shared" si="17"/>
        <v>7926</v>
      </c>
      <c r="AI98" s="88">
        <f t="shared" si="11"/>
        <v>16</v>
      </c>
      <c r="AJ98" s="88">
        <f t="shared" si="12"/>
        <v>11</v>
      </c>
      <c r="AK98">
        <f t="shared" si="18"/>
        <v>500.5</v>
      </c>
      <c r="AL98">
        <f t="shared" si="19"/>
        <v>26114</v>
      </c>
    </row>
    <row r="99" spans="1:38" x14ac:dyDescent="0.25">
      <c r="A99" s="4">
        <f>Raw!J100</f>
        <v>197</v>
      </c>
      <c r="B99" s="4" t="str">
        <f>Raw!K100</f>
        <v>Taylor Blvd</v>
      </c>
      <c r="C99" s="4" t="str">
        <f>Raw!L100</f>
        <v>Broadway</v>
      </c>
      <c r="D99" s="4" t="str">
        <f>Raw!M100</f>
        <v>El Camino Real</v>
      </c>
      <c r="E99" s="23" t="str">
        <f>Raw!CG100</f>
        <v>S</v>
      </c>
      <c r="F99" s="7">
        <f>Raw!T100</f>
        <v>3</v>
      </c>
      <c r="G99" s="7">
        <f>Raw!AL100</f>
        <v>0</v>
      </c>
      <c r="H99" s="7">
        <f>Raw!AC100</f>
        <v>1</v>
      </c>
      <c r="I99" s="7">
        <f t="shared" si="10"/>
        <v>1</v>
      </c>
      <c r="J99" s="157">
        <f>Raw!BT100</f>
        <v>5</v>
      </c>
      <c r="K99" s="157">
        <f>Raw!AW100</f>
        <v>6</v>
      </c>
      <c r="L99" s="42">
        <f>IF(Raw!CE100 = "NA", "-", Raw!CE100)</f>
        <v>2.4</v>
      </c>
      <c r="M99" s="42">
        <f>IF(Raw!BH100 = "NA", "-", Raw!BH100)</f>
        <v>2.6</v>
      </c>
      <c r="N99" s="46">
        <f>IF(Raw!CD100 = "NA", "-", Raw!CD100)</f>
        <v>8</v>
      </c>
      <c r="O99" s="46">
        <f>IF(Raw!BG100 = "NA", "-", Raw!BG100)</f>
        <v>9</v>
      </c>
      <c r="P99" s="32">
        <f>IF(Raw!AW100 = "NA", "-", SUMPRODUCT(Raw!$BT$2:$CC$2, Raw!BT100:CC100))</f>
        <v>15</v>
      </c>
      <c r="Q99" s="32">
        <f>IF(Raw!AW100 = "NA", "-", SUMPRODUCT(Raw!$AW$2:$BF$2, Raw!AW100:BF100))</f>
        <v>19</v>
      </c>
      <c r="R99" s="7" t="str" cm="1">
        <f t="array" ref="R99">_xlfn.IFS(S99="YES", "Hourly", T99="YES", "Flat Rate")</f>
        <v>Hourly</v>
      </c>
      <c r="S99" s="8" t="str">
        <f>IF(Raw!CO100=1, "YES", "")</f>
        <v>YES</v>
      </c>
      <c r="T99" s="8" t="str">
        <f>IF(Raw!CO100=2, "YES", "")</f>
        <v/>
      </c>
      <c r="U99" s="96" t="str">
        <f>IF(Raw!CP100=1, "YES", "")</f>
        <v/>
      </c>
      <c r="V99" s="96"/>
      <c r="X99" s="23">
        <f>SUMPRODUCT(Raw!$BT$3:$CC$3, Raw!BT100:CC100)</f>
        <v>11</v>
      </c>
      <c r="Y99" s="23">
        <f>SUMPRODUCT(Raw!$BT$3:$CC$3, Raw!BU100:CD100)</f>
        <v>21</v>
      </c>
      <c r="Z99" s="28">
        <f t="shared" si="13"/>
        <v>76</v>
      </c>
      <c r="AA99" s="28">
        <f t="shared" si="14"/>
        <v>3963</v>
      </c>
      <c r="AC99">
        <f t="shared" si="15"/>
        <v>3</v>
      </c>
      <c r="AD99" s="23">
        <f>IF(U99="YES",SUMPRODUCT(Raw!$BT$3:$CC$3,Raw!BT100:CC100)*0.6,SUMPRODUCT(Raw!$BT$3:$CC$3,Raw!BT100:CC100))</f>
        <v>11</v>
      </c>
      <c r="AE99" s="23">
        <f>IF(U99="YES",SUMPRODUCT(Raw!$BT$3:$CC$3,Raw!BU100:CD100)*0.6,SUMPRODUCT(Raw!$BT$3:$CC$3,Raw!BU100:CD100))</f>
        <v>21</v>
      </c>
      <c r="AF99" s="28">
        <f t="shared" si="16"/>
        <v>76</v>
      </c>
      <c r="AG99" s="28">
        <f t="shared" si="17"/>
        <v>3963</v>
      </c>
      <c r="AI99" s="88">
        <f t="shared" si="11"/>
        <v>8</v>
      </c>
      <c r="AJ99" s="88">
        <f t="shared" si="12"/>
        <v>9</v>
      </c>
      <c r="AK99">
        <f t="shared" si="18"/>
        <v>269.5</v>
      </c>
      <c r="AL99">
        <f t="shared" si="19"/>
        <v>14058</v>
      </c>
    </row>
    <row r="100" spans="1:38" x14ac:dyDescent="0.25">
      <c r="A100" s="4">
        <f>Raw!J101</f>
        <v>120</v>
      </c>
      <c r="B100" s="4" t="str">
        <f>Raw!K101</f>
        <v>El Camino Real</v>
      </c>
      <c r="C100" s="4" t="str">
        <f>Raw!L101</f>
        <v>Taylor Blvd</v>
      </c>
      <c r="D100" s="4" t="str">
        <f>Raw!M101</f>
        <v>Hillcrest Blvd</v>
      </c>
      <c r="E100" s="23" t="str">
        <f>Raw!CG101</f>
        <v>W</v>
      </c>
      <c r="F100" s="7">
        <f>Raw!T101</f>
        <v>7</v>
      </c>
      <c r="G100" s="7">
        <f>Raw!AL101</f>
        <v>2</v>
      </c>
      <c r="H100" s="7">
        <f>Raw!AC101</f>
        <v>1</v>
      </c>
      <c r="I100" s="7">
        <f t="shared" si="10"/>
        <v>3</v>
      </c>
      <c r="J100" s="157">
        <f>Raw!BT101</f>
        <v>7</v>
      </c>
      <c r="K100" s="157">
        <f>Raw!AW101</f>
        <v>7</v>
      </c>
      <c r="L100" s="42">
        <f>IF(Raw!CE101 = "NA", "-", Raw!CE101)</f>
        <v>2.2999999999999998</v>
      </c>
      <c r="M100" s="42">
        <f>IF(Raw!BH101 = "NA", "-", Raw!BH101)</f>
        <v>3</v>
      </c>
      <c r="N100" s="46">
        <f>IF(Raw!CD101 = "NA", "-", Raw!CD101)</f>
        <v>16</v>
      </c>
      <c r="O100" s="46">
        <f>IF(Raw!BG101 = "NA", "-", Raw!BG101)</f>
        <v>21</v>
      </c>
      <c r="P100" s="32">
        <f>IF(Raw!AW101 = "NA", "-", SUMPRODUCT(Raw!$BT$2:$CC$2, Raw!BT101:CC101))</f>
        <v>55</v>
      </c>
      <c r="Q100" s="32">
        <f>IF(Raw!AW101 = "NA", "-", SUMPRODUCT(Raw!$AW$2:$BF$2, Raw!AW101:BF101))</f>
        <v>51</v>
      </c>
      <c r="R100" s="7" t="str" cm="1">
        <f t="array" ref="R100">_xlfn.IFS(S100="YES", "Hourly", T100="YES", "Flat Rate")</f>
        <v>Hourly</v>
      </c>
      <c r="S100" s="8" t="str">
        <f>IF(Raw!CO101=1, "YES", "")</f>
        <v>YES</v>
      </c>
      <c r="T100" s="8" t="str">
        <f>IF(Raw!CO101=2, "YES", "")</f>
        <v/>
      </c>
      <c r="U100" s="96" t="str">
        <f>IF(Raw!CP101=1, "YES", "")</f>
        <v/>
      </c>
      <c r="V100" s="96"/>
      <c r="X100" s="23">
        <f>SUMPRODUCT(Raw!$BT$3:$CC$3, Raw!BT101:CC101)</f>
        <v>25</v>
      </c>
      <c r="Y100" s="23">
        <f>SUMPRODUCT(Raw!$BT$3:$CC$3, Raw!BU101:CD101)</f>
        <v>48</v>
      </c>
      <c r="Z100" s="28">
        <f t="shared" si="13"/>
        <v>173</v>
      </c>
      <c r="AA100" s="28">
        <f t="shared" si="14"/>
        <v>9021</v>
      </c>
      <c r="AC100">
        <f t="shared" si="15"/>
        <v>7</v>
      </c>
      <c r="AD100" s="23">
        <f>IF(U100="YES",SUMPRODUCT(Raw!$BT$3:$CC$3,Raw!BT101:CC101)*0.6,SUMPRODUCT(Raw!$BT$3:$CC$3,Raw!BT101:CC101))</f>
        <v>25</v>
      </c>
      <c r="AE100" s="23">
        <f>IF(U100="YES",SUMPRODUCT(Raw!$BT$3:$CC$3,Raw!BU101:CD101)*0.6,SUMPRODUCT(Raw!$BT$3:$CC$3,Raw!BU101:CD101))</f>
        <v>48</v>
      </c>
      <c r="AF100" s="28">
        <f t="shared" si="16"/>
        <v>173</v>
      </c>
      <c r="AG100" s="28">
        <f t="shared" si="17"/>
        <v>9021</v>
      </c>
      <c r="AI100" s="88">
        <f t="shared" si="11"/>
        <v>16</v>
      </c>
      <c r="AJ100" s="88">
        <f t="shared" si="12"/>
        <v>21</v>
      </c>
      <c r="AK100">
        <f t="shared" si="18"/>
        <v>555.5</v>
      </c>
      <c r="AL100">
        <f t="shared" si="19"/>
        <v>28974</v>
      </c>
    </row>
    <row r="101" spans="1:38" x14ac:dyDescent="0.25">
      <c r="A101" s="4">
        <f>Raw!J102</f>
        <v>87</v>
      </c>
      <c r="B101" s="4" t="str">
        <f>Raw!K102</f>
        <v>Broadway</v>
      </c>
      <c r="C101" s="4" t="str">
        <f>Raw!L102</f>
        <v>Hillcrest Blvd</v>
      </c>
      <c r="D101" s="4" t="str">
        <f>Raw!M102</f>
        <v>Taylor Blvd</v>
      </c>
      <c r="E101" s="23" t="str">
        <f>Raw!CG102</f>
        <v>E</v>
      </c>
      <c r="F101" s="7">
        <f>Raw!T102</f>
        <v>20</v>
      </c>
      <c r="G101" s="7">
        <f>Raw!AL102</f>
        <v>2</v>
      </c>
      <c r="H101" s="7">
        <f>Raw!AC102</f>
        <v>3</v>
      </c>
      <c r="I101" s="7">
        <f t="shared" si="10"/>
        <v>5</v>
      </c>
      <c r="J101" s="157">
        <f>Raw!BT102</f>
        <v>54</v>
      </c>
      <c r="K101" s="157">
        <f>Raw!AW102</f>
        <v>126</v>
      </c>
      <c r="L101" s="42">
        <f>IF(Raw!CE102 = "NA", "-", Raw!CE102)</f>
        <v>4.0999999999999996</v>
      </c>
      <c r="M101" s="42">
        <f>IF(Raw!BH102 = "NA", "-", Raw!BH102)</f>
        <v>7.3</v>
      </c>
      <c r="N101" s="46">
        <f>IF(Raw!CD102 = "NA", "-", Raw!CD102)</f>
        <v>82</v>
      </c>
      <c r="O101" s="46">
        <f>IF(Raw!BG102 = "NA", "-", Raw!BG102)</f>
        <v>145</v>
      </c>
      <c r="P101" s="32">
        <f>IF(Raw!AW102 = "NA", "-", SUMPRODUCT(Raw!$BT$2:$CC$2, Raw!BT102:CC102))</f>
        <v>144</v>
      </c>
      <c r="Q101" s="32">
        <f>IF(Raw!AW102 = "NA", "-", SUMPRODUCT(Raw!$AW$2:$BF$2, Raw!AW102:BF102))</f>
        <v>187</v>
      </c>
      <c r="R101" s="7" t="str" cm="1">
        <f t="array" ref="R101">_xlfn.IFS(S101="YES", "Hourly", T101="YES", "Flat Rate")</f>
        <v>Hourly</v>
      </c>
      <c r="S101" s="8" t="str">
        <f>IF(Raw!CO102=1, "YES", "")</f>
        <v>YES</v>
      </c>
      <c r="T101" s="8" t="str">
        <f>IF(Raw!CO102=2, "YES", "")</f>
        <v/>
      </c>
      <c r="U101" s="96" t="str">
        <f>IF(Raw!CP102=1, "YES", "")</f>
        <v>YES</v>
      </c>
      <c r="V101" s="96"/>
      <c r="X101" s="23">
        <f>SUMPRODUCT(Raw!$BT$3:$CC$3, Raw!BT102:CC102)</f>
        <v>110</v>
      </c>
      <c r="Y101" s="23">
        <f>SUMPRODUCT(Raw!$BT$3:$CC$3, Raw!BU102:CD102)</f>
        <v>209</v>
      </c>
      <c r="Z101" s="28">
        <f t="shared" si="13"/>
        <v>759</v>
      </c>
      <c r="AA101" s="28">
        <f t="shared" si="14"/>
        <v>39578</v>
      </c>
      <c r="AC101">
        <f t="shared" si="15"/>
        <v>12</v>
      </c>
      <c r="AD101" s="23">
        <f>IF(U101="YES",SUMPRODUCT(Raw!$BT$3:$CC$3,Raw!BT102:CC102)*0.6,SUMPRODUCT(Raw!$BT$3:$CC$3,Raw!BT102:CC102))</f>
        <v>66</v>
      </c>
      <c r="AE101" s="23">
        <f>IF(U101="YES",SUMPRODUCT(Raw!$BT$3:$CC$3,Raw!BU102:CD102)*0.6,SUMPRODUCT(Raw!$BT$3:$CC$3,Raw!BU102:CD102))</f>
        <v>125.39999999999999</v>
      </c>
      <c r="AF101" s="28">
        <f t="shared" si="16"/>
        <v>455.4</v>
      </c>
      <c r="AG101" s="28">
        <f t="shared" si="17"/>
        <v>23746.799999999999</v>
      </c>
      <c r="AI101" s="88">
        <f t="shared" si="11"/>
        <v>82</v>
      </c>
      <c r="AJ101" s="88">
        <f t="shared" si="12"/>
        <v>145</v>
      </c>
      <c r="AK101">
        <f t="shared" si="18"/>
        <v>3052.5</v>
      </c>
      <c r="AL101">
        <f t="shared" si="19"/>
        <v>159181</v>
      </c>
    </row>
    <row r="102" spans="1:38" x14ac:dyDescent="0.25">
      <c r="A102" s="4">
        <f>Raw!J103</f>
        <v>121</v>
      </c>
      <c r="B102" s="4" t="str">
        <f>Raw!K103</f>
        <v>El Camino Real E</v>
      </c>
      <c r="C102" s="4" t="str">
        <f>Raw!L103</f>
        <v>Taylor Blvd</v>
      </c>
      <c r="D102" s="4" t="str">
        <f>Raw!M103</f>
        <v>Hillcrest Blvd</v>
      </c>
      <c r="E102" s="23" t="str">
        <f>Raw!CG103</f>
        <v>W</v>
      </c>
      <c r="F102" s="7">
        <f>Raw!T103</f>
        <v>13</v>
      </c>
      <c r="G102" s="7">
        <f>Raw!AL103</f>
        <v>1</v>
      </c>
      <c r="H102" s="7">
        <f>Raw!AC103</f>
        <v>1</v>
      </c>
      <c r="I102" s="7">
        <f t="shared" si="10"/>
        <v>2</v>
      </c>
      <c r="J102" s="157">
        <f>Raw!BT103</f>
        <v>10</v>
      </c>
      <c r="K102" s="157">
        <f>Raw!AW103</f>
        <v>14</v>
      </c>
      <c r="L102" s="42">
        <f>IF(Raw!CE103 = "NA", "-", Raw!CE103)</f>
        <v>2.1</v>
      </c>
      <c r="M102" s="42">
        <f>IF(Raw!BH103 = "NA", "-", Raw!BH103)</f>
        <v>2.6</v>
      </c>
      <c r="N102" s="46">
        <f>IF(Raw!CD103 = "NA", "-", Raw!CD103)</f>
        <v>27</v>
      </c>
      <c r="O102" s="46">
        <f>IF(Raw!BG103 = "NA", "-", Raw!BG103)</f>
        <v>34</v>
      </c>
      <c r="P102" s="32">
        <f>IF(Raw!AW103 = "NA", "-", SUMPRODUCT(Raw!$BT$2:$CC$2, Raw!BT103:CC103))</f>
        <v>94</v>
      </c>
      <c r="Q102" s="32">
        <f>IF(Raw!AW103 = "NA", "-", SUMPRODUCT(Raw!$AW$2:$BF$2, Raw!AW103:BF103))</f>
        <v>84</v>
      </c>
      <c r="R102" s="7" t="str" cm="1">
        <f t="array" ref="R102">_xlfn.IFS(S102="YES", "Hourly", T102="YES", "Flat Rate")</f>
        <v>Hourly</v>
      </c>
      <c r="S102" s="8" t="str">
        <f>IF(Raw!CO103=1, "YES", "")</f>
        <v>YES</v>
      </c>
      <c r="T102" s="8" t="str">
        <f>IF(Raw!CO103=2, "YES", "")</f>
        <v/>
      </c>
      <c r="U102" s="96" t="str">
        <f>IF(Raw!CP103=1, "YES", "")</f>
        <v/>
      </c>
      <c r="V102" s="96"/>
      <c r="X102" s="23">
        <f>SUMPRODUCT(Raw!$BT$3:$CC$3, Raw!BT103:CC103)</f>
        <v>44</v>
      </c>
      <c r="Y102" s="23">
        <f>SUMPRODUCT(Raw!$BT$3:$CC$3, Raw!BU103:CD103)</f>
        <v>84</v>
      </c>
      <c r="Z102" s="28">
        <f t="shared" si="13"/>
        <v>304</v>
      </c>
      <c r="AA102" s="28">
        <f t="shared" si="14"/>
        <v>15852</v>
      </c>
      <c r="AC102">
        <f t="shared" si="15"/>
        <v>13</v>
      </c>
      <c r="AD102" s="23">
        <f>IF(U102="YES",SUMPRODUCT(Raw!$BT$3:$CC$3,Raw!BT103:CC103)*0.6,SUMPRODUCT(Raw!$BT$3:$CC$3,Raw!BT103:CC103))</f>
        <v>44</v>
      </c>
      <c r="AE102" s="23">
        <f>IF(U102="YES",SUMPRODUCT(Raw!$BT$3:$CC$3,Raw!BU103:CD103)*0.6,SUMPRODUCT(Raw!$BT$3:$CC$3,Raw!BU103:CD103))</f>
        <v>84</v>
      </c>
      <c r="AF102" s="28">
        <f t="shared" si="16"/>
        <v>304</v>
      </c>
      <c r="AG102" s="28">
        <f t="shared" si="17"/>
        <v>15852</v>
      </c>
      <c r="AI102" s="88">
        <f t="shared" si="11"/>
        <v>27</v>
      </c>
      <c r="AJ102" s="88">
        <f t="shared" si="12"/>
        <v>34</v>
      </c>
      <c r="AK102">
        <f t="shared" si="18"/>
        <v>929.5</v>
      </c>
      <c r="AL102">
        <f t="shared" si="19"/>
        <v>48482.5</v>
      </c>
    </row>
    <row r="103" spans="1:38" x14ac:dyDescent="0.25">
      <c r="A103" s="4">
        <f>Raw!J104</f>
        <v>53</v>
      </c>
      <c r="B103" s="4" t="str">
        <f>Raw!K104</f>
        <v>Magnolia Ave</v>
      </c>
      <c r="C103" s="4" t="str">
        <f>Raw!L104</f>
        <v>Taylor Blvd</v>
      </c>
      <c r="D103" s="4" t="str">
        <f>Raw!M104</f>
        <v>Barclay Ave</v>
      </c>
      <c r="E103" s="23" t="str">
        <f>Raw!CG104</f>
        <v>W</v>
      </c>
      <c r="F103" s="7">
        <f>Raw!T104</f>
        <v>8</v>
      </c>
      <c r="G103" s="7">
        <f>Raw!AL104</f>
        <v>0</v>
      </c>
      <c r="H103" s="7">
        <f>Raw!AC104</f>
        <v>0</v>
      </c>
      <c r="I103" s="7">
        <f t="shared" si="10"/>
        <v>0</v>
      </c>
      <c r="J103" s="157" t="str">
        <f>Raw!BT104</f>
        <v>NA</v>
      </c>
      <c r="K103" s="157" t="str">
        <f>Raw!AW104</f>
        <v>NA</v>
      </c>
      <c r="L103" s="42" t="str">
        <f>IF(Raw!CE104 = "NA", "-", Raw!CE104)</f>
        <v>-</v>
      </c>
      <c r="M103" s="42" t="str">
        <f>IF(Raw!BH104 = "NA", "-", Raw!BH104)</f>
        <v>-</v>
      </c>
      <c r="N103" s="46" t="str">
        <f>IF(Raw!CD104 = "NA", "-", Raw!CD104)</f>
        <v>-</v>
      </c>
      <c r="O103" s="46" t="str">
        <f>IF(Raw!BG104 = "NA", "-", Raw!BG104)</f>
        <v>-</v>
      </c>
      <c r="P103" s="32" t="str">
        <f>IF(Raw!AW104 = "NA", "-", SUMPRODUCT(Raw!$BT$2:$CC$2, Raw!BT104:CC104))</f>
        <v>-</v>
      </c>
      <c r="Q103" s="32" t="str">
        <f>IF(Raw!AW104 = "NA", "-", SUMPRODUCT(Raw!$AW$2:$BF$2, Raw!AW104:BF104))</f>
        <v>-</v>
      </c>
      <c r="R103" s="7" t="e" cm="1">
        <f t="array" ref="R103">_xlfn.IFS(S103="YES", "Hourly", T103="YES", "Flat Rate")</f>
        <v>#N/A</v>
      </c>
      <c r="S103" s="8" t="str">
        <f>IF(Raw!CO104=1, "YES", "")</f>
        <v/>
      </c>
      <c r="T103" s="8" t="str">
        <f>IF(Raw!CO104=2, "YES", "")</f>
        <v/>
      </c>
      <c r="U103" s="96" t="str">
        <f>IF(Raw!CP104=1, "YES", "")</f>
        <v/>
      </c>
      <c r="V103" s="96"/>
      <c r="X103" s="23">
        <f>SUMPRODUCT(Raw!$BT$3:$CC$3, Raw!BT104:CC104)</f>
        <v>0</v>
      </c>
      <c r="Y103" s="23">
        <f>SUMPRODUCT(Raw!$BT$3:$CC$3, Raw!BU104:CD104)</f>
        <v>0</v>
      </c>
      <c r="Z103" s="28">
        <f t="shared" si="13"/>
        <v>0</v>
      </c>
      <c r="AA103" s="28">
        <f t="shared" si="14"/>
        <v>0</v>
      </c>
      <c r="AC103">
        <f t="shared" si="15"/>
        <v>8</v>
      </c>
      <c r="AD103" s="23">
        <f>IF(U103="YES",SUMPRODUCT(Raw!$BT$3:$CC$3,Raw!BT104:CC104)*0.6,SUMPRODUCT(Raw!$BT$3:$CC$3,Raw!BT104:CC104))</f>
        <v>0</v>
      </c>
      <c r="AE103" s="23">
        <f>IF(U103="YES",SUMPRODUCT(Raw!$BT$3:$CC$3,Raw!BU104:CD104)*0.6,SUMPRODUCT(Raw!$BT$3:$CC$3,Raw!BU104:CD104))</f>
        <v>0</v>
      </c>
      <c r="AF103" s="28">
        <f t="shared" si="16"/>
        <v>0</v>
      </c>
      <c r="AG103" s="28">
        <f t="shared" si="17"/>
        <v>0</v>
      </c>
      <c r="AI103" s="88" t="str">
        <f t="shared" si="11"/>
        <v>-</v>
      </c>
      <c r="AJ103" s="88" t="str">
        <f t="shared" si="12"/>
        <v>-</v>
      </c>
      <c r="AK103" t="e">
        <f t="shared" si="18"/>
        <v>#VALUE!</v>
      </c>
      <c r="AL103" t="e">
        <f t="shared" si="19"/>
        <v>#VALUE!</v>
      </c>
    </row>
    <row r="104" spans="1:38" x14ac:dyDescent="0.25">
      <c r="A104" s="4">
        <f>Raw!J105</f>
        <v>54</v>
      </c>
      <c r="B104" s="4" t="str">
        <f>Raw!K105</f>
        <v>Magnolia Ave</v>
      </c>
      <c r="C104" s="4" t="str">
        <f>Raw!L105</f>
        <v>Hillcrest Blvd</v>
      </c>
      <c r="D104" s="4" t="str">
        <f>Raw!M105</f>
        <v>Taylor Blvd</v>
      </c>
      <c r="E104" s="23" t="str">
        <f>Raw!CG105</f>
        <v>E</v>
      </c>
      <c r="F104" s="7">
        <f>Raw!T105</f>
        <v>17</v>
      </c>
      <c r="G104" s="7">
        <f>Raw!AL105</f>
        <v>1</v>
      </c>
      <c r="H104" s="7">
        <f>Raw!AC105</f>
        <v>2</v>
      </c>
      <c r="I104" s="7">
        <f t="shared" si="10"/>
        <v>3</v>
      </c>
      <c r="J104" s="157" t="str">
        <f>Raw!BT105</f>
        <v>NA</v>
      </c>
      <c r="K104" s="157" t="str">
        <f>Raw!AW105</f>
        <v>NA</v>
      </c>
      <c r="L104" s="42" t="str">
        <f>IF(Raw!CE105 = "NA", "-", Raw!CE105)</f>
        <v>-</v>
      </c>
      <c r="M104" s="42" t="str">
        <f>IF(Raw!BH105 = "NA", "-", Raw!BH105)</f>
        <v>-</v>
      </c>
      <c r="N104" s="46" t="str">
        <f>IF(Raw!CD105 = "NA", "-", Raw!CD105)</f>
        <v>-</v>
      </c>
      <c r="O104" s="46" t="str">
        <f>IF(Raw!BG105 = "NA", "-", Raw!BG105)</f>
        <v>-</v>
      </c>
      <c r="P104" s="32" t="str">
        <f>IF(Raw!AW105 = "NA", "-", SUMPRODUCT(Raw!$BT$2:$CC$2, Raw!BT105:CC105))</f>
        <v>-</v>
      </c>
      <c r="Q104" s="32" t="str">
        <f>IF(Raw!AW105 = "NA", "-", SUMPRODUCT(Raw!$AW$2:$BF$2, Raw!AW105:BF105))</f>
        <v>-</v>
      </c>
      <c r="R104" s="7" t="e" cm="1">
        <f t="array" ref="R104">_xlfn.IFS(S104="YES", "Hourly", T104="YES", "Flat Rate")</f>
        <v>#N/A</v>
      </c>
      <c r="S104" s="8" t="str">
        <f>IF(Raw!CO105=1, "YES", "")</f>
        <v/>
      </c>
      <c r="T104" s="8" t="str">
        <f>IF(Raw!CO105=2, "YES", "")</f>
        <v/>
      </c>
      <c r="U104" s="96" t="str">
        <f>IF(Raw!CP105=1, "YES", "")</f>
        <v/>
      </c>
      <c r="V104" s="96"/>
      <c r="X104" s="23">
        <f>SUMPRODUCT(Raw!$BT$3:$CC$3, Raw!BT105:CC105)</f>
        <v>0</v>
      </c>
      <c r="Y104" s="23">
        <f>SUMPRODUCT(Raw!$BT$3:$CC$3, Raw!BU105:CD105)</f>
        <v>0</v>
      </c>
      <c r="Z104" s="28">
        <f t="shared" si="13"/>
        <v>0</v>
      </c>
      <c r="AA104" s="28">
        <f t="shared" si="14"/>
        <v>0</v>
      </c>
      <c r="AC104">
        <f t="shared" si="15"/>
        <v>17</v>
      </c>
      <c r="AD104" s="23">
        <f>IF(U104="YES",SUMPRODUCT(Raw!$BT$3:$CC$3,Raw!BT105:CC105)*0.6,SUMPRODUCT(Raw!$BT$3:$CC$3,Raw!BT105:CC105))</f>
        <v>0</v>
      </c>
      <c r="AE104" s="23">
        <f>IF(U104="YES",SUMPRODUCT(Raw!$BT$3:$CC$3,Raw!BU105:CD105)*0.6,SUMPRODUCT(Raw!$BT$3:$CC$3,Raw!BU105:CD105))</f>
        <v>0</v>
      </c>
      <c r="AF104" s="28">
        <f t="shared" si="16"/>
        <v>0</v>
      </c>
      <c r="AG104" s="28">
        <f t="shared" si="17"/>
        <v>0</v>
      </c>
      <c r="AI104" s="88" t="str">
        <f t="shared" si="11"/>
        <v>-</v>
      </c>
      <c r="AJ104" s="88" t="str">
        <f t="shared" si="12"/>
        <v>-</v>
      </c>
      <c r="AK104" t="e">
        <f t="shared" si="18"/>
        <v>#VALUE!</v>
      </c>
      <c r="AL104" t="e">
        <f t="shared" si="19"/>
        <v>#VALUE!</v>
      </c>
    </row>
    <row r="105" spans="1:38" x14ac:dyDescent="0.25">
      <c r="A105" s="4">
        <f>Raw!J106</f>
        <v>55</v>
      </c>
      <c r="B105" s="4" t="str">
        <f>Raw!K106</f>
        <v>Magnolia Ave</v>
      </c>
      <c r="C105" s="4" t="str">
        <f>Raw!L106</f>
        <v>Barclay Ave</v>
      </c>
      <c r="D105" s="4" t="str">
        <f>Raw!M106</f>
        <v>Hillcrest Blvd</v>
      </c>
      <c r="E105" s="23" t="str">
        <f>Raw!CG106</f>
        <v>W</v>
      </c>
      <c r="F105" s="7">
        <f>Raw!T106</f>
        <v>11</v>
      </c>
      <c r="G105" s="7">
        <f>Raw!AL106</f>
        <v>0</v>
      </c>
      <c r="H105" s="7">
        <f>Raw!AC106</f>
        <v>2</v>
      </c>
      <c r="I105" s="7">
        <f t="shared" si="10"/>
        <v>2</v>
      </c>
      <c r="J105" s="157" t="str">
        <f>Raw!BT106</f>
        <v>NA</v>
      </c>
      <c r="K105" s="157" t="str">
        <f>Raw!AW106</f>
        <v>NA</v>
      </c>
      <c r="L105" s="42" t="str">
        <f>IF(Raw!CE106 = "NA", "-", Raw!CE106)</f>
        <v>-</v>
      </c>
      <c r="M105" s="42" t="str">
        <f>IF(Raw!BH106 = "NA", "-", Raw!BH106)</f>
        <v>-</v>
      </c>
      <c r="N105" s="46" t="str">
        <f>IF(Raw!CD106 = "NA", "-", Raw!CD106)</f>
        <v>-</v>
      </c>
      <c r="O105" s="46" t="str">
        <f>IF(Raw!BG106 = "NA", "-", Raw!BG106)</f>
        <v>-</v>
      </c>
      <c r="P105" s="32" t="str">
        <f>IF(Raw!AW106 = "NA", "-", SUMPRODUCT(Raw!$BT$2:$CC$2, Raw!BT106:CC106))</f>
        <v>-</v>
      </c>
      <c r="Q105" s="32" t="str">
        <f>IF(Raw!AW106 = "NA", "-", SUMPRODUCT(Raw!$AW$2:$BF$2, Raw!AW106:BF106))</f>
        <v>-</v>
      </c>
      <c r="R105" s="7" t="e" cm="1">
        <f t="array" ref="R105">_xlfn.IFS(S105="YES", "Hourly", T105="YES", "Flat Rate")</f>
        <v>#N/A</v>
      </c>
      <c r="S105" s="8" t="str">
        <f>IF(Raw!CO106=1, "YES", "")</f>
        <v/>
      </c>
      <c r="T105" s="8" t="str">
        <f>IF(Raw!CO106=2, "YES", "")</f>
        <v/>
      </c>
      <c r="U105" s="96" t="str">
        <f>IF(Raw!CP106=1, "YES", "")</f>
        <v/>
      </c>
      <c r="V105" s="96"/>
      <c r="X105" s="23">
        <f>SUMPRODUCT(Raw!$BT$3:$CC$3, Raw!BT106:CC106)</f>
        <v>0</v>
      </c>
      <c r="Y105" s="23">
        <f>SUMPRODUCT(Raw!$BT$3:$CC$3, Raw!BU106:CD106)</f>
        <v>0</v>
      </c>
      <c r="Z105" s="28">
        <f t="shared" si="13"/>
        <v>0</v>
      </c>
      <c r="AA105" s="28">
        <f t="shared" si="14"/>
        <v>0</v>
      </c>
      <c r="AC105">
        <f t="shared" si="15"/>
        <v>11</v>
      </c>
      <c r="AD105" s="23">
        <f>IF(U105="YES",SUMPRODUCT(Raw!$BT$3:$CC$3,Raw!BT106:CC106)*0.6,SUMPRODUCT(Raw!$BT$3:$CC$3,Raw!BT106:CC106))</f>
        <v>0</v>
      </c>
      <c r="AE105" s="23">
        <f>IF(U105="YES",SUMPRODUCT(Raw!$BT$3:$CC$3,Raw!BU106:CD106)*0.6,SUMPRODUCT(Raw!$BT$3:$CC$3,Raw!BU106:CD106))</f>
        <v>0</v>
      </c>
      <c r="AF105" s="28">
        <f t="shared" si="16"/>
        <v>0</v>
      </c>
      <c r="AG105" s="28">
        <f t="shared" si="17"/>
        <v>0</v>
      </c>
      <c r="AI105" s="88" t="str">
        <f t="shared" si="11"/>
        <v>-</v>
      </c>
      <c r="AJ105" s="88" t="str">
        <f t="shared" si="12"/>
        <v>-</v>
      </c>
      <c r="AK105" t="e">
        <f t="shared" si="18"/>
        <v>#VALUE!</v>
      </c>
      <c r="AL105" t="e">
        <f t="shared" si="19"/>
        <v>#VALUE!</v>
      </c>
    </row>
    <row r="106" spans="1:38" x14ac:dyDescent="0.25">
      <c r="A106" s="4">
        <f>Raw!J107</f>
        <v>86</v>
      </c>
      <c r="B106" s="4" t="str">
        <f>Raw!K107</f>
        <v>Broadway</v>
      </c>
      <c r="C106" s="4" t="str">
        <f>Raw!L107</f>
        <v>Taylor Blvd</v>
      </c>
      <c r="D106" s="4" t="str">
        <f>Raw!M107</f>
        <v>Hillcrest Blvd</v>
      </c>
      <c r="E106" s="23" t="str">
        <f>Raw!CG107</f>
        <v>W</v>
      </c>
      <c r="F106" s="7">
        <f>Raw!T107</f>
        <v>35</v>
      </c>
      <c r="G106" s="7">
        <f>Raw!AL107</f>
        <v>1</v>
      </c>
      <c r="H106" s="7">
        <f>Raw!AC107</f>
        <v>3</v>
      </c>
      <c r="I106" s="7">
        <f t="shared" si="10"/>
        <v>4</v>
      </c>
      <c r="J106" s="157">
        <f>Raw!BT107</f>
        <v>116</v>
      </c>
      <c r="K106" s="157">
        <f>Raw!AW107</f>
        <v>184</v>
      </c>
      <c r="L106" s="42">
        <f>IF(Raw!CE107 = "NA", "-", Raw!CE107)</f>
        <v>4.4000000000000004</v>
      </c>
      <c r="M106" s="42">
        <f>IF(Raw!BH107 = "NA", "-", Raw!BH107)</f>
        <v>6.2</v>
      </c>
      <c r="N106" s="46">
        <f>IF(Raw!CD107 = "NA", "-", Raw!CD107)</f>
        <v>153</v>
      </c>
      <c r="O106" s="46">
        <f>IF(Raw!BG107 = "NA", "-", Raw!BG107)</f>
        <v>218</v>
      </c>
      <c r="P106" s="32">
        <f>IF(Raw!AW107 = "NA", "-", SUMPRODUCT(Raw!$BT$2:$CC$2, Raw!BT107:CC107))</f>
        <v>224</v>
      </c>
      <c r="Q106" s="32">
        <f>IF(Raw!AW107 = "NA", "-", SUMPRODUCT(Raw!$AW$2:$BF$2, Raw!AW107:BF107))</f>
        <v>298</v>
      </c>
      <c r="R106" s="7" t="str" cm="1">
        <f t="array" ref="R106">_xlfn.IFS(S106="YES", "Hourly", T106="YES", "Flat Rate")</f>
        <v>Hourly</v>
      </c>
      <c r="S106" s="8" t="str">
        <f>IF(Raw!CO107=1, "YES", "")</f>
        <v>YES</v>
      </c>
      <c r="T106" s="8" t="str">
        <f>IF(Raw!CO107=2, "YES", "")</f>
        <v/>
      </c>
      <c r="U106" s="96" t="str">
        <f>IF(Raw!CP107=1, "YES", "")</f>
        <v>YES</v>
      </c>
      <c r="V106" s="96"/>
      <c r="X106" s="23">
        <f>SUMPRODUCT(Raw!$BT$3:$CC$3, Raw!BT107:CC107)</f>
        <v>190</v>
      </c>
      <c r="Y106" s="23">
        <f>SUMPRODUCT(Raw!$BT$3:$CC$3, Raw!BU107:CD107)</f>
        <v>363</v>
      </c>
      <c r="Z106" s="28">
        <f t="shared" si="13"/>
        <v>1313</v>
      </c>
      <c r="AA106" s="28">
        <f t="shared" si="14"/>
        <v>68466</v>
      </c>
      <c r="AC106">
        <f t="shared" si="15"/>
        <v>21</v>
      </c>
      <c r="AD106" s="23">
        <f>IF(U106="YES",SUMPRODUCT(Raw!$BT$3:$CC$3,Raw!BT107:CC107)*0.6,SUMPRODUCT(Raw!$BT$3:$CC$3,Raw!BT107:CC107))</f>
        <v>114</v>
      </c>
      <c r="AE106" s="23">
        <f>IF(U106="YES",SUMPRODUCT(Raw!$BT$3:$CC$3,Raw!BU107:CD107)*0.6,SUMPRODUCT(Raw!$BT$3:$CC$3,Raw!BU107:CD107))</f>
        <v>217.79999999999998</v>
      </c>
      <c r="AF106" s="28">
        <f t="shared" si="16"/>
        <v>787.8</v>
      </c>
      <c r="AG106" s="28">
        <f t="shared" si="17"/>
        <v>41079.599999999999</v>
      </c>
      <c r="AI106" s="88">
        <f t="shared" si="11"/>
        <v>153</v>
      </c>
      <c r="AJ106" s="88">
        <f t="shared" si="12"/>
        <v>218</v>
      </c>
      <c r="AK106">
        <f t="shared" si="18"/>
        <v>5406.5</v>
      </c>
      <c r="AL106">
        <f t="shared" si="19"/>
        <v>281979.5</v>
      </c>
    </row>
    <row r="107" spans="1:38" x14ac:dyDescent="0.25">
      <c r="A107" s="4">
        <f>Raw!J108</f>
        <v>206</v>
      </c>
      <c r="B107" s="4" t="str">
        <f>Raw!K108</f>
        <v>Hillcrest Blvd</v>
      </c>
      <c r="C107" s="4" t="str">
        <f>Raw!L108</f>
        <v>Broadway</v>
      </c>
      <c r="D107" s="4" t="str">
        <f>Raw!M108</f>
        <v>Magnolia Ave</v>
      </c>
      <c r="E107" s="23" t="str">
        <f>Raw!CG108</f>
        <v>N</v>
      </c>
      <c r="F107" s="7">
        <f>Raw!T108</f>
        <v>7</v>
      </c>
      <c r="G107" s="7">
        <f>Raw!AL108</f>
        <v>3</v>
      </c>
      <c r="H107" s="7">
        <f>Raw!AC108</f>
        <v>1</v>
      </c>
      <c r="I107" s="7">
        <f t="shared" si="10"/>
        <v>4</v>
      </c>
      <c r="J107" s="157">
        <f>Raw!BT108</f>
        <v>18</v>
      </c>
      <c r="K107" s="157">
        <f>Raw!AW108</f>
        <v>14</v>
      </c>
      <c r="L107" s="42">
        <f>IF(Raw!CE108 = "NA", "-", Raw!CE108)</f>
        <v>4.5</v>
      </c>
      <c r="M107" s="42">
        <f>IF(Raw!BH108 = "NA", "-", Raw!BH108)</f>
        <v>4.5</v>
      </c>
      <c r="N107" s="46">
        <f>IF(Raw!CD108 = "NA", "-", Raw!CD108)</f>
        <v>31</v>
      </c>
      <c r="O107" s="46">
        <f>IF(Raw!BG108 = "NA", "-", Raw!BG108)</f>
        <v>31</v>
      </c>
      <c r="P107" s="32">
        <f>IF(Raw!AW108 = "NA", "-", SUMPRODUCT(Raw!$BT$2:$CC$2, Raw!BT108:CC108))</f>
        <v>61</v>
      </c>
      <c r="Q107" s="32">
        <f>IF(Raw!AW108 = "NA", "-", SUMPRODUCT(Raw!$AW$2:$BF$2, Raw!AW108:BF108))</f>
        <v>58</v>
      </c>
      <c r="R107" s="7" t="str" cm="1">
        <f t="array" ref="R107">_xlfn.IFS(S107="YES", "Hourly", T107="YES", "Flat Rate")</f>
        <v>Hourly</v>
      </c>
      <c r="S107" s="8" t="str">
        <f>IF(Raw!CO108=1, "YES", "")</f>
        <v>YES</v>
      </c>
      <c r="T107" s="8" t="str">
        <f>IF(Raw!CO108=2, "YES", "")</f>
        <v/>
      </c>
      <c r="U107" s="96" t="str">
        <f>IF(Raw!CP108=1, "YES", "")</f>
        <v/>
      </c>
      <c r="V107" s="96"/>
      <c r="X107" s="23">
        <f>SUMPRODUCT(Raw!$BT$3:$CC$3, Raw!BT108:CC108)</f>
        <v>44</v>
      </c>
      <c r="Y107" s="23">
        <f>SUMPRODUCT(Raw!$BT$3:$CC$3, Raw!BU108:CD108)</f>
        <v>83</v>
      </c>
      <c r="Z107" s="28">
        <f t="shared" si="13"/>
        <v>303</v>
      </c>
      <c r="AA107" s="28">
        <f t="shared" si="14"/>
        <v>15800</v>
      </c>
      <c r="AC107">
        <f t="shared" si="15"/>
        <v>7</v>
      </c>
      <c r="AD107" s="23">
        <f>IF(U107="YES",SUMPRODUCT(Raw!$BT$3:$CC$3,Raw!BT108:CC108)*0.6,SUMPRODUCT(Raw!$BT$3:$CC$3,Raw!BT108:CC108))</f>
        <v>44</v>
      </c>
      <c r="AE107" s="23">
        <f>IF(U107="YES",SUMPRODUCT(Raw!$BT$3:$CC$3,Raw!BU108:CD108)*0.6,SUMPRODUCT(Raw!$BT$3:$CC$3,Raw!BU108:CD108))</f>
        <v>83</v>
      </c>
      <c r="AF107" s="28">
        <f t="shared" si="16"/>
        <v>303</v>
      </c>
      <c r="AG107" s="28">
        <f t="shared" si="17"/>
        <v>15800</v>
      </c>
      <c r="AI107" s="88">
        <f t="shared" si="11"/>
        <v>31</v>
      </c>
      <c r="AJ107" s="88">
        <f t="shared" si="12"/>
        <v>31</v>
      </c>
      <c r="AK107">
        <f t="shared" si="18"/>
        <v>1023</v>
      </c>
      <c r="AL107">
        <f t="shared" si="19"/>
        <v>53366.5</v>
      </c>
    </row>
    <row r="108" spans="1:38" x14ac:dyDescent="0.25">
      <c r="A108" s="4">
        <f>Raw!J109</f>
        <v>208</v>
      </c>
      <c r="B108" s="4" t="str">
        <f>Raw!K109</f>
        <v>Hillcrest Blvd</v>
      </c>
      <c r="C108" s="4" t="str">
        <f>Raw!L109</f>
        <v>Broadway</v>
      </c>
      <c r="D108" s="4" t="str">
        <f>Raw!M109</f>
        <v>El Camino Real</v>
      </c>
      <c r="E108" s="23" t="str">
        <f>Raw!CG109</f>
        <v>N</v>
      </c>
      <c r="F108" s="7">
        <f>Raw!T109</f>
        <v>4</v>
      </c>
      <c r="G108" s="7">
        <f>Raw!AL109</f>
        <v>3</v>
      </c>
      <c r="H108" s="7">
        <f>Raw!AC109</f>
        <v>3</v>
      </c>
      <c r="I108" s="7">
        <f t="shared" si="10"/>
        <v>6</v>
      </c>
      <c r="J108" s="157">
        <f>Raw!BT109</f>
        <v>3</v>
      </c>
      <c r="K108" s="157">
        <f>Raw!AW109</f>
        <v>1</v>
      </c>
      <c r="L108" s="42">
        <f>IF(Raw!CE109 = "NA", "-", Raw!CE109)</f>
        <v>2.8</v>
      </c>
      <c r="M108" s="42">
        <f>IF(Raw!BH109 = "NA", "-", Raw!BH109)</f>
        <v>2.5</v>
      </c>
      <c r="N108" s="46">
        <f>IF(Raw!CD109 = "NA", "-", Raw!CD109)</f>
        <v>10</v>
      </c>
      <c r="O108" s="46">
        <f>IF(Raw!BG109 = "NA", "-", Raw!BG109)</f>
        <v>9</v>
      </c>
      <c r="P108" s="32">
        <f>IF(Raw!AW109 = "NA", "-", SUMPRODUCT(Raw!$BT$2:$CC$2, Raw!BT109:CC109))</f>
        <v>40</v>
      </c>
      <c r="Q108" s="32">
        <f>IF(Raw!AW109 = "NA", "-", SUMPRODUCT(Raw!$AW$2:$BF$2, Raw!AW109:BF109))</f>
        <v>40</v>
      </c>
      <c r="R108" s="7" t="str" cm="1">
        <f t="array" ref="R108">_xlfn.IFS(S108="YES", "Hourly", T108="YES", "Flat Rate")</f>
        <v>Hourly</v>
      </c>
      <c r="S108" s="8" t="str">
        <f>IF(Raw!CO109=1, "YES", "")</f>
        <v>YES</v>
      </c>
      <c r="T108" s="8" t="str">
        <f>IF(Raw!CO109=2, "YES", "")</f>
        <v/>
      </c>
      <c r="U108" s="96" t="str">
        <f>IF(Raw!CP109=1, "YES", "")</f>
        <v/>
      </c>
      <c r="V108" s="96"/>
      <c r="X108" s="23">
        <f>SUMPRODUCT(Raw!$BT$3:$CC$3, Raw!BT109:CC109)</f>
        <v>17</v>
      </c>
      <c r="Y108" s="23">
        <f>SUMPRODUCT(Raw!$BT$3:$CC$3, Raw!BU109:CD109)</f>
        <v>32</v>
      </c>
      <c r="Z108" s="28">
        <f t="shared" si="13"/>
        <v>117</v>
      </c>
      <c r="AA108" s="28">
        <f t="shared" si="14"/>
        <v>6101</v>
      </c>
      <c r="AC108">
        <f t="shared" si="15"/>
        <v>4</v>
      </c>
      <c r="AD108" s="23">
        <f>IF(U108="YES",SUMPRODUCT(Raw!$BT$3:$CC$3,Raw!BT109:CC109)*0.6,SUMPRODUCT(Raw!$BT$3:$CC$3,Raw!BT109:CC109))</f>
        <v>17</v>
      </c>
      <c r="AE108" s="23">
        <f>IF(U108="YES",SUMPRODUCT(Raw!$BT$3:$CC$3,Raw!BU109:CD109)*0.6,SUMPRODUCT(Raw!$BT$3:$CC$3,Raw!BU109:CD109))</f>
        <v>32</v>
      </c>
      <c r="AF108" s="28">
        <f t="shared" si="16"/>
        <v>117</v>
      </c>
      <c r="AG108" s="28">
        <f t="shared" si="17"/>
        <v>6101</v>
      </c>
      <c r="AI108" s="88">
        <f t="shared" si="11"/>
        <v>10</v>
      </c>
      <c r="AJ108" s="88">
        <f t="shared" si="12"/>
        <v>9</v>
      </c>
      <c r="AK108">
        <f t="shared" si="18"/>
        <v>324.5</v>
      </c>
      <c r="AL108">
        <f t="shared" si="19"/>
        <v>16929</v>
      </c>
    </row>
    <row r="109" spans="1:38" x14ac:dyDescent="0.25">
      <c r="A109" s="4">
        <f>Raw!J110</f>
        <v>198</v>
      </c>
      <c r="B109" s="4" t="str">
        <f>Raw!K110</f>
        <v>Barclay Ave</v>
      </c>
      <c r="C109" s="4" t="str">
        <f>Raw!L110</f>
        <v>Magnolia Ave</v>
      </c>
      <c r="D109" s="4" t="str">
        <f>Raw!M110</f>
        <v>Poplar Ave</v>
      </c>
      <c r="E109" s="23" t="str">
        <f>Raw!CG110</f>
        <v>N</v>
      </c>
      <c r="F109" s="7">
        <f>Raw!T110</f>
        <v>22</v>
      </c>
      <c r="G109" s="7">
        <f>Raw!AL110</f>
        <v>0</v>
      </c>
      <c r="H109" s="7">
        <f>Raw!AC110</f>
        <v>0</v>
      </c>
      <c r="I109" s="7">
        <f t="shared" si="10"/>
        <v>0</v>
      </c>
      <c r="J109" s="157" t="str">
        <f>Raw!BT110</f>
        <v>NA</v>
      </c>
      <c r="K109" s="157" t="str">
        <f>Raw!AW110</f>
        <v>NA</v>
      </c>
      <c r="L109" s="42" t="str">
        <f>IF(Raw!CE110 = "NA", "-", Raw!CE110)</f>
        <v>-</v>
      </c>
      <c r="M109" s="42" t="str">
        <f>IF(Raw!BH110 = "NA", "-", Raw!BH110)</f>
        <v>-</v>
      </c>
      <c r="N109" s="46" t="str">
        <f>IF(Raw!CD110 = "NA", "-", Raw!CD110)</f>
        <v>-</v>
      </c>
      <c r="O109" s="46" t="str">
        <f>IF(Raw!BG110 = "NA", "-", Raw!BG110)</f>
        <v>-</v>
      </c>
      <c r="P109" s="32" t="str">
        <f>IF(Raw!AW110 = "NA", "-", SUMPRODUCT(Raw!$BT$2:$CC$2, Raw!BT110:CC110))</f>
        <v>-</v>
      </c>
      <c r="Q109" s="32" t="str">
        <f>IF(Raw!AW110 = "NA", "-", SUMPRODUCT(Raw!$AW$2:$BF$2, Raw!AW110:BF110))</f>
        <v>-</v>
      </c>
      <c r="R109" s="7" t="e" cm="1">
        <f t="array" ref="R109">_xlfn.IFS(S109="YES", "Hourly", T109="YES", "Flat Rate")</f>
        <v>#N/A</v>
      </c>
      <c r="S109" s="8" t="str">
        <f>IF(Raw!CO110=1, "YES", "")</f>
        <v/>
      </c>
      <c r="T109" s="8" t="str">
        <f>IF(Raw!CO110=2, "YES", "")</f>
        <v/>
      </c>
      <c r="U109" s="96" t="str">
        <f>IF(Raw!CP110=1, "YES", "")</f>
        <v/>
      </c>
      <c r="V109" s="96"/>
      <c r="X109" s="23">
        <f>SUMPRODUCT(Raw!$BT$3:$CC$3, Raw!BT110:CC110)</f>
        <v>0</v>
      </c>
      <c r="Y109" s="23">
        <f>SUMPRODUCT(Raw!$BT$3:$CC$3, Raw!BU110:CD110)</f>
        <v>0</v>
      </c>
      <c r="Z109" s="28">
        <f t="shared" si="13"/>
        <v>0</v>
      </c>
      <c r="AA109" s="28">
        <f t="shared" si="14"/>
        <v>0</v>
      </c>
      <c r="AC109">
        <f t="shared" si="15"/>
        <v>22</v>
      </c>
      <c r="AD109" s="23">
        <f>IF(U109="YES",SUMPRODUCT(Raw!$BT$3:$CC$3,Raw!BT110:CC110)*0.6,SUMPRODUCT(Raw!$BT$3:$CC$3,Raw!BT110:CC110))</f>
        <v>0</v>
      </c>
      <c r="AE109" s="23">
        <f>IF(U109="YES",SUMPRODUCT(Raw!$BT$3:$CC$3,Raw!BU110:CD110)*0.6,SUMPRODUCT(Raw!$BT$3:$CC$3,Raw!BU110:CD110))</f>
        <v>0</v>
      </c>
      <c r="AF109" s="28">
        <f t="shared" si="16"/>
        <v>0</v>
      </c>
      <c r="AG109" s="28">
        <f t="shared" si="17"/>
        <v>0</v>
      </c>
      <c r="AI109" s="88" t="str">
        <f t="shared" si="11"/>
        <v>-</v>
      </c>
      <c r="AJ109" s="88" t="str">
        <f t="shared" si="12"/>
        <v>-</v>
      </c>
      <c r="AK109" t="e">
        <f t="shared" si="18"/>
        <v>#VALUE!</v>
      </c>
      <c r="AL109" t="e">
        <f t="shared" si="19"/>
        <v>#VALUE!</v>
      </c>
    </row>
    <row r="110" spans="1:38" x14ac:dyDescent="0.25">
      <c r="A110" s="4">
        <f>Raw!J111</f>
        <v>199</v>
      </c>
      <c r="B110" s="4" t="str">
        <f>Raw!K111</f>
        <v>Barclay Ave</v>
      </c>
      <c r="C110" s="4" t="str">
        <f>Raw!L111</f>
        <v>Poplar Ave</v>
      </c>
      <c r="D110" s="4" t="str">
        <f>Raw!M111</f>
        <v>Magnolia Ave</v>
      </c>
      <c r="E110" s="23" t="str">
        <f>Raw!CG111</f>
        <v>S</v>
      </c>
      <c r="F110" s="7">
        <f>Raw!T111</f>
        <v>19</v>
      </c>
      <c r="G110" s="7">
        <f>Raw!AL111</f>
        <v>0</v>
      </c>
      <c r="H110" s="7">
        <f>Raw!AC111</f>
        <v>0</v>
      </c>
      <c r="I110" s="7">
        <f t="shared" si="10"/>
        <v>0</v>
      </c>
      <c r="J110" s="157" t="str">
        <f>Raw!BT111</f>
        <v>NA</v>
      </c>
      <c r="K110" s="157" t="str">
        <f>Raw!AW111</f>
        <v>NA</v>
      </c>
      <c r="L110" s="42" t="str">
        <f>IF(Raw!CE111 = "NA", "-", Raw!CE111)</f>
        <v>-</v>
      </c>
      <c r="M110" s="42" t="str">
        <f>IF(Raw!BH111 = "NA", "-", Raw!BH111)</f>
        <v>-</v>
      </c>
      <c r="N110" s="46" t="str">
        <f>IF(Raw!CD111 = "NA", "-", Raw!CD111)</f>
        <v>-</v>
      </c>
      <c r="O110" s="46" t="str">
        <f>IF(Raw!BG111 = "NA", "-", Raw!BG111)</f>
        <v>-</v>
      </c>
      <c r="P110" s="32" t="str">
        <f>IF(Raw!AW111 = "NA", "-", SUMPRODUCT(Raw!$BT$2:$CC$2, Raw!BT111:CC111))</f>
        <v>-</v>
      </c>
      <c r="Q110" s="32" t="str">
        <f>IF(Raw!AW111 = "NA", "-", SUMPRODUCT(Raw!$AW$2:$BF$2, Raw!AW111:BF111))</f>
        <v>-</v>
      </c>
      <c r="R110" s="7" t="e" cm="1">
        <f t="array" ref="R110">_xlfn.IFS(S110="YES", "Hourly", T110="YES", "Flat Rate")</f>
        <v>#N/A</v>
      </c>
      <c r="S110" s="8" t="str">
        <f>IF(Raw!CO111=1, "YES", "")</f>
        <v/>
      </c>
      <c r="T110" s="8" t="str">
        <f>IF(Raw!CO111=2, "YES", "")</f>
        <v/>
      </c>
      <c r="U110" s="96" t="str">
        <f>IF(Raw!CP111=1, "YES", "")</f>
        <v/>
      </c>
      <c r="V110" s="96"/>
      <c r="X110" s="23">
        <f>SUMPRODUCT(Raw!$BT$3:$CC$3, Raw!BT111:CC111)</f>
        <v>0</v>
      </c>
      <c r="Y110" s="23">
        <f>SUMPRODUCT(Raw!$BT$3:$CC$3, Raw!BU111:CD111)</f>
        <v>0</v>
      </c>
      <c r="Z110" s="28">
        <f t="shared" si="13"/>
        <v>0</v>
      </c>
      <c r="AA110" s="28">
        <f t="shared" si="14"/>
        <v>0</v>
      </c>
      <c r="AC110">
        <f t="shared" si="15"/>
        <v>19</v>
      </c>
      <c r="AD110" s="23">
        <f>IF(U110="YES",SUMPRODUCT(Raw!$BT$3:$CC$3,Raw!BT111:CC111)*0.6,SUMPRODUCT(Raw!$BT$3:$CC$3,Raw!BT111:CC111))</f>
        <v>0</v>
      </c>
      <c r="AE110" s="23">
        <f>IF(U110="YES",SUMPRODUCT(Raw!$BT$3:$CC$3,Raw!BU111:CD111)*0.6,SUMPRODUCT(Raw!$BT$3:$CC$3,Raw!BU111:CD111))</f>
        <v>0</v>
      </c>
      <c r="AF110" s="28">
        <f t="shared" si="16"/>
        <v>0</v>
      </c>
      <c r="AG110" s="28">
        <f t="shared" si="17"/>
        <v>0</v>
      </c>
      <c r="AI110" s="88" t="str">
        <f t="shared" si="11"/>
        <v>-</v>
      </c>
      <c r="AJ110" s="88" t="str">
        <f t="shared" si="12"/>
        <v>-</v>
      </c>
      <c r="AK110" t="e">
        <f t="shared" si="18"/>
        <v>#VALUE!</v>
      </c>
      <c r="AL110" t="e">
        <f t="shared" si="19"/>
        <v>#VALUE!</v>
      </c>
    </row>
    <row r="111" spans="1:38" x14ac:dyDescent="0.25">
      <c r="A111" s="4">
        <f>Raw!J112</f>
        <v>28</v>
      </c>
      <c r="B111" s="4" t="str">
        <f>Raw!K112</f>
        <v>Poplar Ave</v>
      </c>
      <c r="C111" s="4" t="str">
        <f>Raw!L112</f>
        <v>Hillcrest Blvd</v>
      </c>
      <c r="D111" s="4" t="str">
        <f>Raw!M112</f>
        <v>Barclay Ave</v>
      </c>
      <c r="E111" s="23" t="str">
        <f>Raw!CG112</f>
        <v>E</v>
      </c>
      <c r="F111" s="7">
        <f>Raw!T112</f>
        <v>11</v>
      </c>
      <c r="G111" s="7">
        <f>Raw!AL112</f>
        <v>0</v>
      </c>
      <c r="H111" s="7">
        <f>Raw!AC112</f>
        <v>0</v>
      </c>
      <c r="I111" s="7">
        <f t="shared" si="10"/>
        <v>0</v>
      </c>
      <c r="J111" s="157" t="str">
        <f>Raw!BT112</f>
        <v>NA</v>
      </c>
      <c r="K111" s="157" t="str">
        <f>Raw!AW112</f>
        <v>NA</v>
      </c>
      <c r="L111" s="42" t="str">
        <f>IF(Raw!CE112 = "NA", "-", Raw!CE112)</f>
        <v>-</v>
      </c>
      <c r="M111" s="42" t="str">
        <f>IF(Raw!BH112 = "NA", "-", Raw!BH112)</f>
        <v>-</v>
      </c>
      <c r="N111" s="46" t="str">
        <f>IF(Raw!CD112 = "NA", "-", Raw!CD112)</f>
        <v>-</v>
      </c>
      <c r="O111" s="46" t="str">
        <f>IF(Raw!BG112 = "NA", "-", Raw!BG112)</f>
        <v>-</v>
      </c>
      <c r="P111" s="32" t="str">
        <f>IF(Raw!AW112 = "NA", "-", SUMPRODUCT(Raw!$BT$2:$CC$2, Raw!BT112:CC112))</f>
        <v>-</v>
      </c>
      <c r="Q111" s="32" t="str">
        <f>IF(Raw!AW112 = "NA", "-", SUMPRODUCT(Raw!$AW$2:$BF$2, Raw!AW112:BF112))</f>
        <v>-</v>
      </c>
      <c r="R111" s="7" t="e" cm="1">
        <f t="array" ref="R111">_xlfn.IFS(S111="YES", "Hourly", T111="YES", "Flat Rate")</f>
        <v>#N/A</v>
      </c>
      <c r="S111" s="8" t="str">
        <f>IF(Raw!CO112=1, "YES", "")</f>
        <v/>
      </c>
      <c r="T111" s="8" t="str">
        <f>IF(Raw!CO112=2, "YES", "")</f>
        <v/>
      </c>
      <c r="U111" s="96" t="str">
        <f>IF(Raw!CP112=1, "YES", "")</f>
        <v/>
      </c>
      <c r="V111" s="96"/>
      <c r="X111" s="23">
        <f>SUMPRODUCT(Raw!$BT$3:$CC$3, Raw!BT112:CC112)</f>
        <v>0</v>
      </c>
      <c r="Y111" s="23">
        <f>SUMPRODUCT(Raw!$BT$3:$CC$3, Raw!BU112:CD112)</f>
        <v>0</v>
      </c>
      <c r="Z111" s="28">
        <f t="shared" si="13"/>
        <v>0</v>
      </c>
      <c r="AA111" s="28">
        <f t="shared" si="14"/>
        <v>0</v>
      </c>
      <c r="AC111">
        <f t="shared" si="15"/>
        <v>11</v>
      </c>
      <c r="AD111" s="23">
        <f>IF(U111="YES",SUMPRODUCT(Raw!$BT$3:$CC$3,Raw!BT112:CC112)*0.6,SUMPRODUCT(Raw!$BT$3:$CC$3,Raw!BT112:CC112))</f>
        <v>0</v>
      </c>
      <c r="AE111" s="23">
        <f>IF(U111="YES",SUMPRODUCT(Raw!$BT$3:$CC$3,Raw!BU112:CD112)*0.6,SUMPRODUCT(Raw!$BT$3:$CC$3,Raw!BU112:CD112))</f>
        <v>0</v>
      </c>
      <c r="AF111" s="28">
        <f t="shared" si="16"/>
        <v>0</v>
      </c>
      <c r="AG111" s="28">
        <f t="shared" si="17"/>
        <v>0</v>
      </c>
      <c r="AI111" s="88" t="str">
        <f t="shared" si="11"/>
        <v>-</v>
      </c>
      <c r="AJ111" s="88" t="str">
        <f t="shared" si="12"/>
        <v>-</v>
      </c>
      <c r="AK111" t="e">
        <f t="shared" si="18"/>
        <v>#VALUE!</v>
      </c>
      <c r="AL111" t="e">
        <f t="shared" si="19"/>
        <v>#VALUE!</v>
      </c>
    </row>
    <row r="112" spans="1:38" x14ac:dyDescent="0.25">
      <c r="A112" s="4">
        <f>Raw!J113</f>
        <v>204</v>
      </c>
      <c r="B112" s="4" t="str">
        <f>Raw!K113</f>
        <v>Hillcrest Blvd</v>
      </c>
      <c r="C112" s="4" t="str">
        <f>Raw!L113</f>
        <v>Poplar Ave</v>
      </c>
      <c r="D112" s="4" t="str">
        <f>Raw!M113</f>
        <v>Magnolia Ave</v>
      </c>
      <c r="E112" s="23" t="str">
        <f>Raw!CG113</f>
        <v>N</v>
      </c>
      <c r="F112" s="7">
        <f>Raw!T113</f>
        <v>23</v>
      </c>
      <c r="G112" s="7">
        <f>Raw!AL113</f>
        <v>0</v>
      </c>
      <c r="H112" s="7">
        <f>Raw!AC113</f>
        <v>0</v>
      </c>
      <c r="I112" s="7">
        <f t="shared" si="10"/>
        <v>0</v>
      </c>
      <c r="J112" s="157" t="str">
        <f>Raw!BT113</f>
        <v>NA</v>
      </c>
      <c r="K112" s="157" t="str">
        <f>Raw!AW113</f>
        <v>NA</v>
      </c>
      <c r="L112" s="42" t="str">
        <f>IF(Raw!CE113 = "NA", "-", Raw!CE113)</f>
        <v>-</v>
      </c>
      <c r="M112" s="42" t="str">
        <f>IF(Raw!BH113 = "NA", "-", Raw!BH113)</f>
        <v>-</v>
      </c>
      <c r="N112" s="46" t="str">
        <f>IF(Raw!CD113 = "NA", "-", Raw!CD113)</f>
        <v>-</v>
      </c>
      <c r="O112" s="46" t="str">
        <f>IF(Raw!BG113 = "NA", "-", Raw!BG113)</f>
        <v>-</v>
      </c>
      <c r="P112" s="32" t="str">
        <f>IF(Raw!AW113 = "NA", "-", SUMPRODUCT(Raw!$BT$2:$CC$2, Raw!BT113:CC113))</f>
        <v>-</v>
      </c>
      <c r="Q112" s="32" t="str">
        <f>IF(Raw!AW113 = "NA", "-", SUMPRODUCT(Raw!$AW$2:$BF$2, Raw!AW113:BF113))</f>
        <v>-</v>
      </c>
      <c r="R112" s="7" t="e" cm="1">
        <f t="array" ref="R112">_xlfn.IFS(S112="YES", "Hourly", T112="YES", "Flat Rate")</f>
        <v>#N/A</v>
      </c>
      <c r="S112" s="8" t="str">
        <f>IF(Raw!CO113=1, "YES", "")</f>
        <v/>
      </c>
      <c r="T112" s="8" t="str">
        <f>IF(Raw!CO113=2, "YES", "")</f>
        <v/>
      </c>
      <c r="U112" s="96" t="str">
        <f>IF(Raw!CP113=1, "YES", "")</f>
        <v/>
      </c>
      <c r="V112" s="96"/>
      <c r="X112" s="23">
        <f>SUMPRODUCT(Raw!$BT$3:$CC$3, Raw!BT113:CC113)</f>
        <v>0</v>
      </c>
      <c r="Y112" s="23">
        <f>SUMPRODUCT(Raw!$BT$3:$CC$3, Raw!BU113:CD113)</f>
        <v>0</v>
      </c>
      <c r="Z112" s="28">
        <f t="shared" si="13"/>
        <v>0</v>
      </c>
      <c r="AA112" s="28">
        <f t="shared" si="14"/>
        <v>0</v>
      </c>
      <c r="AC112">
        <f t="shared" si="15"/>
        <v>23</v>
      </c>
      <c r="AD112" s="23">
        <f>IF(U112="YES",SUMPRODUCT(Raw!$BT$3:$CC$3,Raw!BT113:CC113)*0.6,SUMPRODUCT(Raw!$BT$3:$CC$3,Raw!BT113:CC113))</f>
        <v>0</v>
      </c>
      <c r="AE112" s="23">
        <f>IF(U112="YES",SUMPRODUCT(Raw!$BT$3:$CC$3,Raw!BU113:CD113)*0.6,SUMPRODUCT(Raw!$BT$3:$CC$3,Raw!BU113:CD113))</f>
        <v>0</v>
      </c>
      <c r="AF112" s="28">
        <f t="shared" si="16"/>
        <v>0</v>
      </c>
      <c r="AG112" s="28">
        <f t="shared" si="17"/>
        <v>0</v>
      </c>
      <c r="AI112" s="88" t="str">
        <f t="shared" si="11"/>
        <v>-</v>
      </c>
      <c r="AJ112" s="88" t="str">
        <f t="shared" si="12"/>
        <v>-</v>
      </c>
      <c r="AK112" t="e">
        <f t="shared" si="18"/>
        <v>#VALUE!</v>
      </c>
      <c r="AL112" t="e">
        <f t="shared" si="19"/>
        <v>#VALUE!</v>
      </c>
    </row>
    <row r="113" spans="1:38" x14ac:dyDescent="0.25">
      <c r="A113" s="4">
        <f>Raw!J114</f>
        <v>205</v>
      </c>
      <c r="B113" s="4" t="str">
        <f>Raw!K114</f>
        <v>Hillcrest Blvd</v>
      </c>
      <c r="C113" s="4" t="str">
        <f>Raw!L114</f>
        <v>Poplar Ave</v>
      </c>
      <c r="D113" s="4" t="str">
        <f>Raw!M114</f>
        <v>Magnolia Ave</v>
      </c>
      <c r="E113" s="23" t="str">
        <f>Raw!CG114</f>
        <v>S</v>
      </c>
      <c r="F113" s="7">
        <f>Raw!T114</f>
        <v>23</v>
      </c>
      <c r="G113" s="7">
        <f>Raw!AL114</f>
        <v>0</v>
      </c>
      <c r="H113" s="7">
        <f>Raw!AC114</f>
        <v>0</v>
      </c>
      <c r="I113" s="7">
        <f t="shared" si="10"/>
        <v>0</v>
      </c>
      <c r="J113" s="157" t="str">
        <f>Raw!BT114</f>
        <v>NA</v>
      </c>
      <c r="K113" s="157" t="str">
        <f>Raw!AW114</f>
        <v>NA</v>
      </c>
      <c r="L113" s="42" t="str">
        <f>IF(Raw!CE114 = "NA", "-", Raw!CE114)</f>
        <v>-</v>
      </c>
      <c r="M113" s="42" t="str">
        <f>IF(Raw!BH114 = "NA", "-", Raw!BH114)</f>
        <v>-</v>
      </c>
      <c r="N113" s="46" t="str">
        <f>IF(Raw!CD114 = "NA", "-", Raw!CD114)</f>
        <v>-</v>
      </c>
      <c r="O113" s="46" t="str">
        <f>IF(Raw!BG114 = "NA", "-", Raw!BG114)</f>
        <v>-</v>
      </c>
      <c r="P113" s="32" t="str">
        <f>IF(Raw!AW114 = "NA", "-", SUMPRODUCT(Raw!$BT$2:$CC$2, Raw!BT114:CC114))</f>
        <v>-</v>
      </c>
      <c r="Q113" s="32" t="str">
        <f>IF(Raw!AW114 = "NA", "-", SUMPRODUCT(Raw!$AW$2:$BF$2, Raw!AW114:BF114))</f>
        <v>-</v>
      </c>
      <c r="R113" s="7" t="e" cm="1">
        <f t="array" ref="R113">_xlfn.IFS(S113="YES", "Hourly", T113="YES", "Flat Rate")</f>
        <v>#N/A</v>
      </c>
      <c r="S113" s="8" t="str">
        <f>IF(Raw!CO114=1, "YES", "")</f>
        <v/>
      </c>
      <c r="T113" s="8" t="str">
        <f>IF(Raw!CO114=2, "YES", "")</f>
        <v/>
      </c>
      <c r="U113" s="96" t="str">
        <f>IF(Raw!CP114=1, "YES", "")</f>
        <v/>
      </c>
      <c r="V113" s="96"/>
      <c r="X113" s="23">
        <f>SUMPRODUCT(Raw!$BT$3:$CC$3, Raw!BT114:CC114)</f>
        <v>0</v>
      </c>
      <c r="Y113" s="23">
        <f>SUMPRODUCT(Raw!$BT$3:$CC$3, Raw!BU114:CD114)</f>
        <v>0</v>
      </c>
      <c r="Z113" s="28">
        <f t="shared" si="13"/>
        <v>0</v>
      </c>
      <c r="AA113" s="28">
        <f t="shared" si="14"/>
        <v>0</v>
      </c>
      <c r="AC113">
        <f t="shared" si="15"/>
        <v>23</v>
      </c>
      <c r="AD113" s="23">
        <f>IF(U113="YES",SUMPRODUCT(Raw!$BT$3:$CC$3,Raw!BT114:CC114)*0.6,SUMPRODUCT(Raw!$BT$3:$CC$3,Raw!BT114:CC114))</f>
        <v>0</v>
      </c>
      <c r="AE113" s="23">
        <f>IF(U113="YES",SUMPRODUCT(Raw!$BT$3:$CC$3,Raw!BU114:CD114)*0.6,SUMPRODUCT(Raw!$BT$3:$CC$3,Raw!BU114:CD114))</f>
        <v>0</v>
      </c>
      <c r="AF113" s="28">
        <f t="shared" si="16"/>
        <v>0</v>
      </c>
      <c r="AG113" s="28">
        <f t="shared" si="17"/>
        <v>0</v>
      </c>
      <c r="AI113" s="88" t="str">
        <f t="shared" si="11"/>
        <v>-</v>
      </c>
      <c r="AJ113" s="88" t="str">
        <f t="shared" si="12"/>
        <v>-</v>
      </c>
      <c r="AK113" t="e">
        <f t="shared" si="18"/>
        <v>#VALUE!</v>
      </c>
      <c r="AL113" t="e">
        <f t="shared" si="19"/>
        <v>#VALUE!</v>
      </c>
    </row>
    <row r="114" spans="1:38" x14ac:dyDescent="0.25">
      <c r="A114" s="4">
        <f>Raw!J115</f>
        <v>30</v>
      </c>
      <c r="B114" s="4" t="str">
        <f>Raw!K115</f>
        <v>Poplar Ave</v>
      </c>
      <c r="C114" s="4" t="str">
        <f>Raw!L115</f>
        <v>La Cruz Ave</v>
      </c>
      <c r="D114" s="4" t="str">
        <f>Raw!M115</f>
        <v>Hillcrest Blvd</v>
      </c>
      <c r="E114" s="23" t="str">
        <f>Raw!CG115</f>
        <v>E</v>
      </c>
      <c r="F114" s="7">
        <f>Raw!T115</f>
        <v>13</v>
      </c>
      <c r="G114" s="7">
        <f>Raw!AL115</f>
        <v>0</v>
      </c>
      <c r="H114" s="7">
        <f>Raw!AC115</f>
        <v>0</v>
      </c>
      <c r="I114" s="7">
        <f t="shared" si="10"/>
        <v>0</v>
      </c>
      <c r="J114" s="157" t="str">
        <f>Raw!BT115</f>
        <v>NA</v>
      </c>
      <c r="K114" s="157" t="str">
        <f>Raw!AW115</f>
        <v>NA</v>
      </c>
      <c r="L114" s="42" t="str">
        <f>IF(Raw!CE115 = "NA", "-", Raw!CE115)</f>
        <v>-</v>
      </c>
      <c r="M114" s="42" t="str">
        <f>IF(Raw!BH115 = "NA", "-", Raw!BH115)</f>
        <v>-</v>
      </c>
      <c r="N114" s="46" t="str">
        <f>IF(Raw!CD115 = "NA", "-", Raw!CD115)</f>
        <v>-</v>
      </c>
      <c r="O114" s="46" t="str">
        <f>IF(Raw!BG115 = "NA", "-", Raw!BG115)</f>
        <v>-</v>
      </c>
      <c r="P114" s="32" t="str">
        <f>IF(Raw!AW115 = "NA", "-", SUMPRODUCT(Raw!$BT$2:$CC$2, Raw!BT115:CC115))</f>
        <v>-</v>
      </c>
      <c r="Q114" s="32" t="str">
        <f>IF(Raw!AW115 = "NA", "-", SUMPRODUCT(Raw!$AW$2:$BF$2, Raw!AW115:BF115))</f>
        <v>-</v>
      </c>
      <c r="R114" s="7" t="e" cm="1">
        <f t="array" ref="R114">_xlfn.IFS(S114="YES", "Hourly", T114="YES", "Flat Rate")</f>
        <v>#N/A</v>
      </c>
      <c r="S114" s="8" t="str">
        <f>IF(Raw!CO115=1, "YES", "")</f>
        <v/>
      </c>
      <c r="T114" s="8" t="str">
        <f>IF(Raw!CO115=2, "YES", "")</f>
        <v/>
      </c>
      <c r="U114" s="96" t="str">
        <f>IF(Raw!CP115=1, "YES", "")</f>
        <v/>
      </c>
      <c r="V114" s="96"/>
      <c r="X114" s="23">
        <f>SUMPRODUCT(Raw!$BT$3:$CC$3, Raw!BT115:CC115)</f>
        <v>0</v>
      </c>
      <c r="Y114" s="23">
        <f>SUMPRODUCT(Raw!$BT$3:$CC$3, Raw!BU115:CD115)</f>
        <v>0</v>
      </c>
      <c r="Z114" s="28">
        <f t="shared" si="13"/>
        <v>0</v>
      </c>
      <c r="AA114" s="28">
        <f t="shared" si="14"/>
        <v>0</v>
      </c>
      <c r="AC114">
        <f t="shared" si="15"/>
        <v>13</v>
      </c>
      <c r="AD114" s="23">
        <f>IF(U114="YES",SUMPRODUCT(Raw!$BT$3:$CC$3,Raw!BT115:CC115)*0.6,SUMPRODUCT(Raw!$BT$3:$CC$3,Raw!BT115:CC115))</f>
        <v>0</v>
      </c>
      <c r="AE114" s="23">
        <f>IF(U114="YES",SUMPRODUCT(Raw!$BT$3:$CC$3,Raw!BU115:CD115)*0.6,SUMPRODUCT(Raw!$BT$3:$CC$3,Raw!BU115:CD115))</f>
        <v>0</v>
      </c>
      <c r="AF114" s="28">
        <f t="shared" si="16"/>
        <v>0</v>
      </c>
      <c r="AG114" s="28">
        <f t="shared" si="17"/>
        <v>0</v>
      </c>
      <c r="AI114" s="88" t="str">
        <f t="shared" si="11"/>
        <v>-</v>
      </c>
      <c r="AJ114" s="88" t="str">
        <f t="shared" si="12"/>
        <v>-</v>
      </c>
      <c r="AK114" t="e">
        <f t="shared" si="18"/>
        <v>#VALUE!</v>
      </c>
      <c r="AL114" t="e">
        <f t="shared" si="19"/>
        <v>#VALUE!</v>
      </c>
    </row>
    <row r="115" spans="1:38" x14ac:dyDescent="0.25">
      <c r="A115" s="4">
        <f>Raw!J116</f>
        <v>212</v>
      </c>
      <c r="B115" s="4" t="str">
        <f>Raw!K116</f>
        <v>La Cruz Ave</v>
      </c>
      <c r="C115" s="4" t="str">
        <f>Raw!L116</f>
        <v>Magnolia Ave</v>
      </c>
      <c r="D115" s="4" t="str">
        <f>Raw!M116</f>
        <v>Poplar Ave</v>
      </c>
      <c r="E115" s="23" t="str">
        <f>Raw!CG116</f>
        <v>N</v>
      </c>
      <c r="F115" s="7">
        <f>Raw!T116</f>
        <v>23</v>
      </c>
      <c r="G115" s="7">
        <f>Raw!AL116</f>
        <v>1</v>
      </c>
      <c r="H115" s="7">
        <f>Raw!AC116</f>
        <v>3</v>
      </c>
      <c r="I115" s="7">
        <f t="shared" si="10"/>
        <v>4</v>
      </c>
      <c r="J115" s="157" t="str">
        <f>Raw!BT116</f>
        <v>NA</v>
      </c>
      <c r="K115" s="157" t="str">
        <f>Raw!AW116</f>
        <v>NA</v>
      </c>
      <c r="L115" s="42" t="str">
        <f>IF(Raw!CE116 = "NA", "-", Raw!CE116)</f>
        <v>-</v>
      </c>
      <c r="M115" s="42" t="str">
        <f>IF(Raw!BH116 = "NA", "-", Raw!BH116)</f>
        <v>-</v>
      </c>
      <c r="N115" s="46" t="str">
        <f>IF(Raw!CD116 = "NA", "-", Raw!CD116)</f>
        <v>-</v>
      </c>
      <c r="O115" s="46" t="str">
        <f>IF(Raw!BG116 = "NA", "-", Raw!BG116)</f>
        <v>-</v>
      </c>
      <c r="P115" s="32" t="str">
        <f>IF(Raw!AW116 = "NA", "-", SUMPRODUCT(Raw!$BT$2:$CC$2, Raw!BT116:CC116))</f>
        <v>-</v>
      </c>
      <c r="Q115" s="32" t="str">
        <f>IF(Raw!AW116 = "NA", "-", SUMPRODUCT(Raw!$AW$2:$BF$2, Raw!AW116:BF116))</f>
        <v>-</v>
      </c>
      <c r="R115" s="7" t="e" cm="1">
        <f t="array" ref="R115">_xlfn.IFS(S115="YES", "Hourly", T115="YES", "Flat Rate")</f>
        <v>#N/A</v>
      </c>
      <c r="S115" s="8" t="str">
        <f>IF(Raw!CO116=1, "YES", "")</f>
        <v/>
      </c>
      <c r="T115" s="8" t="str">
        <f>IF(Raw!CO116=2, "YES", "")</f>
        <v/>
      </c>
      <c r="U115" s="96" t="str">
        <f>IF(Raw!CP116=1, "YES", "")</f>
        <v/>
      </c>
      <c r="V115" s="96"/>
      <c r="X115" s="23">
        <f>SUMPRODUCT(Raw!$BT$3:$CC$3, Raw!BT116:CC116)</f>
        <v>0</v>
      </c>
      <c r="Y115" s="23">
        <f>SUMPRODUCT(Raw!$BT$3:$CC$3, Raw!BU116:CD116)</f>
        <v>0</v>
      </c>
      <c r="Z115" s="28">
        <f t="shared" si="13"/>
        <v>0</v>
      </c>
      <c r="AA115" s="28">
        <f t="shared" si="14"/>
        <v>0</v>
      </c>
      <c r="AC115">
        <f t="shared" si="15"/>
        <v>23</v>
      </c>
      <c r="AD115" s="23">
        <f>IF(U115="YES",SUMPRODUCT(Raw!$BT$3:$CC$3,Raw!BT116:CC116)*0.6,SUMPRODUCT(Raw!$BT$3:$CC$3,Raw!BT116:CC116))</f>
        <v>0</v>
      </c>
      <c r="AE115" s="23">
        <f>IF(U115="YES",SUMPRODUCT(Raw!$BT$3:$CC$3,Raw!BU116:CD116)*0.6,SUMPRODUCT(Raw!$BT$3:$CC$3,Raw!BU116:CD116))</f>
        <v>0</v>
      </c>
      <c r="AF115" s="28">
        <f t="shared" si="16"/>
        <v>0</v>
      </c>
      <c r="AG115" s="28">
        <f t="shared" si="17"/>
        <v>0</v>
      </c>
      <c r="AI115" s="88" t="str">
        <f t="shared" si="11"/>
        <v>-</v>
      </c>
      <c r="AJ115" s="88" t="str">
        <f t="shared" si="12"/>
        <v>-</v>
      </c>
      <c r="AK115" t="e">
        <f t="shared" si="18"/>
        <v>#VALUE!</v>
      </c>
      <c r="AL115" t="e">
        <f t="shared" si="19"/>
        <v>#VALUE!</v>
      </c>
    </row>
    <row r="116" spans="1:38" x14ac:dyDescent="0.25">
      <c r="A116" s="4">
        <f>Raw!J117</f>
        <v>56</v>
      </c>
      <c r="B116" s="4" t="str">
        <f>Raw!K117</f>
        <v>Magnolia Ave</v>
      </c>
      <c r="C116" s="4" t="str">
        <f>Raw!L117</f>
        <v>Hillcrest Blvd</v>
      </c>
      <c r="D116" s="4" t="str">
        <f>Raw!M117</f>
        <v>La Cruz Ave</v>
      </c>
      <c r="E116" s="23" t="str">
        <f>Raw!CG117</f>
        <v>W</v>
      </c>
      <c r="F116" s="7">
        <f>Raw!T117</f>
        <v>11</v>
      </c>
      <c r="G116" s="7">
        <f>Raw!AL117</f>
        <v>4</v>
      </c>
      <c r="H116" s="7">
        <f>Raw!AC117</f>
        <v>4</v>
      </c>
      <c r="I116" s="7">
        <f t="shared" si="10"/>
        <v>8</v>
      </c>
      <c r="J116" s="157" t="str">
        <f>Raw!BT117</f>
        <v>NA</v>
      </c>
      <c r="K116" s="157" t="str">
        <f>Raw!AW117</f>
        <v>NA</v>
      </c>
      <c r="L116" s="42" t="str">
        <f>IF(Raw!CE117 = "NA", "-", Raw!CE117)</f>
        <v>-</v>
      </c>
      <c r="M116" s="42" t="str">
        <f>IF(Raw!BH117 = "NA", "-", Raw!BH117)</f>
        <v>-</v>
      </c>
      <c r="N116" s="46" t="str">
        <f>IF(Raw!CD117 = "NA", "-", Raw!CD117)</f>
        <v>-</v>
      </c>
      <c r="O116" s="46" t="str">
        <f>IF(Raw!BG117 = "NA", "-", Raw!BG117)</f>
        <v>-</v>
      </c>
      <c r="P116" s="32" t="str">
        <f>IF(Raw!AW117 = "NA", "-", SUMPRODUCT(Raw!$BT$2:$CC$2, Raw!BT117:CC117))</f>
        <v>-</v>
      </c>
      <c r="Q116" s="32" t="str">
        <f>IF(Raw!AW117 = "NA", "-", SUMPRODUCT(Raw!$AW$2:$BF$2, Raw!AW117:BF117))</f>
        <v>-</v>
      </c>
      <c r="R116" s="7" t="e" cm="1">
        <f t="array" ref="R116">_xlfn.IFS(S116="YES", "Hourly", T116="YES", "Flat Rate")</f>
        <v>#N/A</v>
      </c>
      <c r="S116" s="8" t="str">
        <f>IF(Raw!CO117=1, "YES", "")</f>
        <v/>
      </c>
      <c r="T116" s="8" t="str">
        <f>IF(Raw!CO117=2, "YES", "")</f>
        <v/>
      </c>
      <c r="U116" s="96" t="str">
        <f>IF(Raw!CP117=1, "YES", "")</f>
        <v/>
      </c>
      <c r="V116" s="96"/>
      <c r="X116" s="23">
        <f>SUMPRODUCT(Raw!$BT$3:$CC$3, Raw!BT117:CC117)</f>
        <v>0</v>
      </c>
      <c r="Y116" s="23">
        <f>SUMPRODUCT(Raw!$BT$3:$CC$3, Raw!BU117:CD117)</f>
        <v>0</v>
      </c>
      <c r="Z116" s="28">
        <f t="shared" si="13"/>
        <v>0</v>
      </c>
      <c r="AA116" s="28">
        <f t="shared" si="14"/>
        <v>0</v>
      </c>
      <c r="AC116">
        <f t="shared" si="15"/>
        <v>11</v>
      </c>
      <c r="AD116" s="23">
        <f>IF(U116="YES",SUMPRODUCT(Raw!$BT$3:$CC$3,Raw!BT117:CC117)*0.6,SUMPRODUCT(Raw!$BT$3:$CC$3,Raw!BT117:CC117))</f>
        <v>0</v>
      </c>
      <c r="AE116" s="23">
        <f>IF(U116="YES",SUMPRODUCT(Raw!$BT$3:$CC$3,Raw!BU117:CD117)*0.6,SUMPRODUCT(Raw!$BT$3:$CC$3,Raw!BU117:CD117))</f>
        <v>0</v>
      </c>
      <c r="AF116" s="28">
        <f t="shared" si="16"/>
        <v>0</v>
      </c>
      <c r="AG116" s="28">
        <f t="shared" si="17"/>
        <v>0</v>
      </c>
      <c r="AI116" s="88" t="str">
        <f t="shared" si="11"/>
        <v>-</v>
      </c>
      <c r="AJ116" s="88" t="str">
        <f t="shared" si="12"/>
        <v>-</v>
      </c>
      <c r="AK116" t="e">
        <f t="shared" si="18"/>
        <v>#VALUE!</v>
      </c>
      <c r="AL116" t="e">
        <f t="shared" si="19"/>
        <v>#VALUE!</v>
      </c>
    </row>
    <row r="117" spans="1:38" x14ac:dyDescent="0.25">
      <c r="A117" s="4">
        <f>Raw!J118</f>
        <v>57</v>
      </c>
      <c r="B117" s="4" t="str">
        <f>Raw!K118</f>
        <v>Magnolia Ave</v>
      </c>
      <c r="C117" s="4" t="str">
        <f>Raw!L118</f>
        <v>La Cruz Ave</v>
      </c>
      <c r="D117" s="4" t="str">
        <f>Raw!M118</f>
        <v>Hillcrest Blvd</v>
      </c>
      <c r="E117" s="23" t="str">
        <f>Raw!CG118</f>
        <v>E</v>
      </c>
      <c r="F117" s="7">
        <f>Raw!T118</f>
        <v>11</v>
      </c>
      <c r="G117" s="7">
        <f>Raw!AL118</f>
        <v>2</v>
      </c>
      <c r="H117" s="7">
        <f>Raw!AC118</f>
        <v>4</v>
      </c>
      <c r="I117" s="7">
        <f t="shared" si="10"/>
        <v>6</v>
      </c>
      <c r="J117" s="157" t="str">
        <f>Raw!BT118</f>
        <v>NA</v>
      </c>
      <c r="K117" s="157" t="str">
        <f>Raw!AW118</f>
        <v>NA</v>
      </c>
      <c r="L117" s="42" t="str">
        <f>IF(Raw!CE118 = "NA", "-", Raw!CE118)</f>
        <v>-</v>
      </c>
      <c r="M117" s="42" t="str">
        <f>IF(Raw!BH118 = "NA", "-", Raw!BH118)</f>
        <v>-</v>
      </c>
      <c r="N117" s="46" t="str">
        <f>IF(Raw!CD118 = "NA", "-", Raw!CD118)</f>
        <v>-</v>
      </c>
      <c r="O117" s="46" t="str">
        <f>IF(Raw!BG118 = "NA", "-", Raw!BG118)</f>
        <v>-</v>
      </c>
      <c r="P117" s="32" t="str">
        <f>IF(Raw!AW118 = "NA", "-", SUMPRODUCT(Raw!$BT$2:$CC$2, Raw!BT118:CC118))</f>
        <v>-</v>
      </c>
      <c r="Q117" s="32" t="str">
        <f>IF(Raw!AW118 = "NA", "-", SUMPRODUCT(Raw!$AW$2:$BF$2, Raw!AW118:BF118))</f>
        <v>-</v>
      </c>
      <c r="R117" s="7" t="str" cm="1">
        <f t="array" ref="R117">_xlfn.IFS(S117="YES", "Hourly", T117="YES", "Flat Rate")</f>
        <v>Hourly</v>
      </c>
      <c r="S117" s="8" t="str">
        <f>IF(Raw!CO118=1, "YES", "")</f>
        <v>YES</v>
      </c>
      <c r="T117" s="8" t="str">
        <f>IF(Raw!CO118=2, "YES", "")</f>
        <v/>
      </c>
      <c r="U117" s="96" t="str">
        <f>IF(Raw!CP118=1, "YES", "")</f>
        <v/>
      </c>
      <c r="V117" s="96"/>
      <c r="X117" s="23">
        <f>SUMPRODUCT(Raw!$BT$3:$CC$3, Raw!BT118:CC118)</f>
        <v>0</v>
      </c>
      <c r="Y117" s="23">
        <f>SUMPRODUCT(Raw!$BT$3:$CC$3, Raw!BU118:CD118)</f>
        <v>0</v>
      </c>
      <c r="Z117" s="28">
        <f t="shared" si="13"/>
        <v>0</v>
      </c>
      <c r="AA117" s="28">
        <f t="shared" si="14"/>
        <v>0</v>
      </c>
      <c r="AC117">
        <f t="shared" si="15"/>
        <v>11</v>
      </c>
      <c r="AD117" s="23">
        <f>IF(U117="YES",SUMPRODUCT(Raw!$BT$3:$CC$3,Raw!BT118:CC118)*0.6,SUMPRODUCT(Raw!$BT$3:$CC$3,Raw!BT118:CC118))</f>
        <v>0</v>
      </c>
      <c r="AE117" s="23">
        <f>IF(U117="YES",SUMPRODUCT(Raw!$BT$3:$CC$3,Raw!BU118:CD118)*0.6,SUMPRODUCT(Raw!$BT$3:$CC$3,Raw!BU118:CD118))</f>
        <v>0</v>
      </c>
      <c r="AF117" s="28">
        <f t="shared" si="16"/>
        <v>0</v>
      </c>
      <c r="AG117" s="28">
        <f t="shared" si="17"/>
        <v>0</v>
      </c>
      <c r="AI117" s="88" t="str">
        <f t="shared" si="11"/>
        <v>-</v>
      </c>
      <c r="AJ117" s="88" t="str">
        <f t="shared" si="12"/>
        <v>-</v>
      </c>
      <c r="AK117" t="e">
        <f t="shared" si="18"/>
        <v>#VALUE!</v>
      </c>
      <c r="AL117" t="e">
        <f t="shared" si="19"/>
        <v>#VALUE!</v>
      </c>
    </row>
    <row r="118" spans="1:38" x14ac:dyDescent="0.25">
      <c r="A118" s="4">
        <f>Raw!J119</f>
        <v>216</v>
      </c>
      <c r="B118" s="4" t="str">
        <f>Raw!K119</f>
        <v>La Cruz Ave</v>
      </c>
      <c r="C118" s="4" t="str">
        <f>Raw!L119</f>
        <v>Magnolia Ave</v>
      </c>
      <c r="D118" s="4" t="str">
        <f>Raw!M119</f>
        <v>Broadway</v>
      </c>
      <c r="E118" s="23" t="str">
        <f>Raw!CG119</f>
        <v>N</v>
      </c>
      <c r="F118" s="7">
        <f>Raw!T119</f>
        <v>6</v>
      </c>
      <c r="G118" s="7">
        <f>Raw!AL119</f>
        <v>0</v>
      </c>
      <c r="H118" s="7">
        <f>Raw!AC119</f>
        <v>2</v>
      </c>
      <c r="I118" s="7">
        <f t="shared" si="10"/>
        <v>2</v>
      </c>
      <c r="J118" s="157">
        <f>Raw!BT119</f>
        <v>0</v>
      </c>
      <c r="K118" s="157">
        <f>Raw!AW119</f>
        <v>21</v>
      </c>
      <c r="L118" s="42">
        <f>IF(Raw!CE119 = "NA", "-", Raw!CE119)</f>
        <v>0</v>
      </c>
      <c r="M118" s="42">
        <f>IF(Raw!BH119 = "NA", "-", Raw!BH119)</f>
        <v>4.7</v>
      </c>
      <c r="N118" s="46">
        <f>IF(Raw!CD119 = "NA", "-", Raw!CD119)</f>
        <v>0</v>
      </c>
      <c r="O118" s="46">
        <f>IF(Raw!BG119 = "NA", "-", Raw!BG119)</f>
        <v>28</v>
      </c>
      <c r="P118" s="32">
        <f>IF(Raw!AW119 = "NA", "-", SUMPRODUCT(Raw!$BT$2:$CC$2, Raw!BT119:CC119))</f>
        <v>0</v>
      </c>
      <c r="Q118" s="32">
        <f>IF(Raw!AW119 = "NA", "-", SUMPRODUCT(Raw!$AW$2:$BF$2, Raw!AW119:BF119))</f>
        <v>48</v>
      </c>
      <c r="R118" s="7" t="str" cm="1">
        <f t="array" ref="R118">_xlfn.IFS(S118="YES", "Hourly", T118="YES", "Flat Rate")</f>
        <v>Hourly</v>
      </c>
      <c r="S118" s="8" t="str">
        <f>IF(Raw!CO119=1, "YES", "")</f>
        <v>YES</v>
      </c>
      <c r="T118" s="8" t="str">
        <f>IF(Raw!CO119=2, "YES", "")</f>
        <v/>
      </c>
      <c r="U118" s="96" t="str">
        <f>IF(Raw!CP119=1, "YES", "")</f>
        <v/>
      </c>
      <c r="V118" s="96"/>
      <c r="X118" s="23">
        <f>SUMPRODUCT(Raw!$BT$3:$CC$3, Raw!BT119:CC119)</f>
        <v>0</v>
      </c>
      <c r="Y118" s="23">
        <f>SUMPRODUCT(Raw!$BT$3:$CC$3, Raw!BU119:CD119)</f>
        <v>0</v>
      </c>
      <c r="Z118" s="28">
        <f t="shared" si="13"/>
        <v>0</v>
      </c>
      <c r="AA118" s="28">
        <f t="shared" si="14"/>
        <v>0</v>
      </c>
      <c r="AC118">
        <f t="shared" si="15"/>
        <v>6</v>
      </c>
      <c r="AD118" s="23">
        <f>IF(U118="YES",SUMPRODUCT(Raw!$BT$3:$CC$3,Raw!BT119:CC119)*0.6,SUMPRODUCT(Raw!$BT$3:$CC$3,Raw!BT119:CC119))</f>
        <v>0</v>
      </c>
      <c r="AE118" s="23">
        <f>IF(U118="YES",SUMPRODUCT(Raw!$BT$3:$CC$3,Raw!BU119:CD119)*0.6,SUMPRODUCT(Raw!$BT$3:$CC$3,Raw!BU119:CD119))</f>
        <v>0</v>
      </c>
      <c r="AF118" s="28">
        <f t="shared" si="16"/>
        <v>0</v>
      </c>
      <c r="AG118" s="28">
        <f t="shared" si="17"/>
        <v>0</v>
      </c>
      <c r="AI118" s="88">
        <f t="shared" si="11"/>
        <v>0</v>
      </c>
      <c r="AJ118" s="88">
        <f t="shared" si="12"/>
        <v>28</v>
      </c>
      <c r="AK118">
        <f t="shared" si="18"/>
        <v>154</v>
      </c>
      <c r="AL118">
        <f t="shared" si="19"/>
        <v>8008</v>
      </c>
    </row>
    <row r="119" spans="1:38" x14ac:dyDescent="0.25">
      <c r="A119" s="4">
        <f>Raw!J120</f>
        <v>88</v>
      </c>
      <c r="B119" s="4" t="str">
        <f>Raw!K120</f>
        <v>Broadway</v>
      </c>
      <c r="C119" s="4" t="str">
        <f>Raw!L120</f>
        <v>Hillcrest Blvd</v>
      </c>
      <c r="D119" s="4" t="str">
        <f>Raw!M120</f>
        <v>La Cruz Ave</v>
      </c>
      <c r="E119" s="23" t="str">
        <f>Raw!CG120</f>
        <v>W</v>
      </c>
      <c r="F119" s="7">
        <f>Raw!T120</f>
        <v>15</v>
      </c>
      <c r="G119" s="7">
        <f>Raw!AL120</f>
        <v>2</v>
      </c>
      <c r="H119" s="7">
        <f>Raw!AC120</f>
        <v>3</v>
      </c>
      <c r="I119" s="7">
        <f t="shared" si="10"/>
        <v>5</v>
      </c>
      <c r="J119" s="157">
        <f>Raw!BT120</f>
        <v>57</v>
      </c>
      <c r="K119" s="157">
        <f>Raw!AW120</f>
        <v>96</v>
      </c>
      <c r="L119" s="42">
        <f>IF(Raw!CE120 = "NA", "-", Raw!CE120)</f>
        <v>5.0999999999999996</v>
      </c>
      <c r="M119" s="42">
        <f>IF(Raw!BH120 = "NA", "-", Raw!BH120)</f>
        <v>7.6</v>
      </c>
      <c r="N119" s="46">
        <f>IF(Raw!CD120 = "NA", "-", Raw!CD120)</f>
        <v>77</v>
      </c>
      <c r="O119" s="46">
        <f>IF(Raw!BG120 = "NA", "-", Raw!BG120)</f>
        <v>114</v>
      </c>
      <c r="P119" s="32">
        <f>IF(Raw!AW120 = "NA", "-", SUMPRODUCT(Raw!$BT$2:$CC$2, Raw!BT120:CC120))</f>
        <v>118</v>
      </c>
      <c r="Q119" s="32">
        <f>IF(Raw!AW120 = "NA", "-", SUMPRODUCT(Raw!$AW$2:$BF$2, Raw!AW120:BF120))</f>
        <v>135</v>
      </c>
      <c r="R119" s="7" t="str" cm="1">
        <f t="array" ref="R119">_xlfn.IFS(S119="YES", "Hourly", T119="YES", "Flat Rate")</f>
        <v>Hourly</v>
      </c>
      <c r="S119" s="8" t="str">
        <f>IF(Raw!CO120=1, "YES", "")</f>
        <v>YES</v>
      </c>
      <c r="T119" s="8" t="str">
        <f>IF(Raw!CO120=2, "YES", "")</f>
        <v/>
      </c>
      <c r="U119" s="96" t="str">
        <f>IF(Raw!CP120=1, "YES", "")</f>
        <v>YES</v>
      </c>
      <c r="V119" s="96"/>
      <c r="X119" s="23">
        <f>SUMPRODUCT(Raw!$BT$3:$CC$3, Raw!BT120:CC120)</f>
        <v>97</v>
      </c>
      <c r="Y119" s="23">
        <f>SUMPRODUCT(Raw!$BT$3:$CC$3, Raw!BU120:CD120)</f>
        <v>185</v>
      </c>
      <c r="Z119" s="28">
        <f t="shared" si="13"/>
        <v>670</v>
      </c>
      <c r="AA119" s="28">
        <f t="shared" si="14"/>
        <v>34937</v>
      </c>
      <c r="AC119">
        <f t="shared" si="15"/>
        <v>9</v>
      </c>
      <c r="AD119" s="23">
        <f>IF(U119="YES",SUMPRODUCT(Raw!$BT$3:$CC$3,Raw!BT120:CC120)*0.6,SUMPRODUCT(Raw!$BT$3:$CC$3,Raw!BT120:CC120))</f>
        <v>58.199999999999996</v>
      </c>
      <c r="AE119" s="23">
        <f>IF(U119="YES",SUMPRODUCT(Raw!$BT$3:$CC$3,Raw!BU120:CD120)*0.6,SUMPRODUCT(Raw!$BT$3:$CC$3,Raw!BU120:CD120))</f>
        <v>111</v>
      </c>
      <c r="AF119" s="28">
        <f t="shared" si="16"/>
        <v>402</v>
      </c>
      <c r="AG119" s="28">
        <f t="shared" si="17"/>
        <v>20962.199999999997</v>
      </c>
      <c r="AI119" s="88">
        <f t="shared" si="11"/>
        <v>77</v>
      </c>
      <c r="AJ119" s="88">
        <f t="shared" si="12"/>
        <v>114</v>
      </c>
      <c r="AK119">
        <f t="shared" si="18"/>
        <v>2744.5</v>
      </c>
      <c r="AL119">
        <f t="shared" si="19"/>
        <v>143137.5</v>
      </c>
    </row>
    <row r="120" spans="1:38" x14ac:dyDescent="0.25">
      <c r="A120" s="4">
        <f>Raw!J121</f>
        <v>89</v>
      </c>
      <c r="B120" s="4" t="str">
        <f>Raw!K121</f>
        <v>Broadway</v>
      </c>
      <c r="C120" s="4" t="str">
        <f>Raw!L121</f>
        <v>La Cruz Ave</v>
      </c>
      <c r="D120" s="4" t="str">
        <f>Raw!M121</f>
        <v>Hillcrest Blvd</v>
      </c>
      <c r="E120" s="23" t="str">
        <f>Raw!CG121</f>
        <v>E</v>
      </c>
      <c r="F120" s="7">
        <f>Raw!T121</f>
        <v>18</v>
      </c>
      <c r="G120" s="7">
        <f>Raw!AL121</f>
        <v>1</v>
      </c>
      <c r="H120" s="7">
        <f>Raw!AC121</f>
        <v>3</v>
      </c>
      <c r="I120" s="7">
        <f t="shared" si="10"/>
        <v>4</v>
      </c>
      <c r="J120" s="157">
        <f>Raw!BT121</f>
        <v>103</v>
      </c>
      <c r="K120" s="157">
        <f>Raw!AW121</f>
        <v>102</v>
      </c>
      <c r="L120" s="42">
        <f>IF(Raw!CE121 = "NA", "-", Raw!CE121)</f>
        <v>6.6</v>
      </c>
      <c r="M120" s="42">
        <f>IF(Raw!BH121 = "NA", "-", Raw!BH121)</f>
        <v>7.2</v>
      </c>
      <c r="N120" s="46">
        <f>IF(Raw!CD121 = "NA", "-", Raw!CD121)</f>
        <v>118</v>
      </c>
      <c r="O120" s="46">
        <f>IF(Raw!BG121 = "NA", "-", Raw!BG121)</f>
        <v>129</v>
      </c>
      <c r="P120" s="32">
        <f>IF(Raw!AW121 = "NA", "-", SUMPRODUCT(Raw!$BT$2:$CC$2, Raw!BT121:CC121))</f>
        <v>143</v>
      </c>
      <c r="Q120" s="32">
        <f>IF(Raw!AW121 = "NA", "-", SUMPRODUCT(Raw!$AW$2:$BF$2, Raw!AW121:BF121))</f>
        <v>165</v>
      </c>
      <c r="R120" s="7" t="str" cm="1">
        <f t="array" ref="R120">_xlfn.IFS(S120="YES", "Hourly", T120="YES", "Flat Rate")</f>
        <v>Hourly</v>
      </c>
      <c r="S120" s="8" t="str">
        <f>IF(Raw!CO121=1, "YES", "")</f>
        <v>YES</v>
      </c>
      <c r="T120" s="8" t="str">
        <f>IF(Raw!CO121=2, "YES", "")</f>
        <v/>
      </c>
      <c r="U120" s="96" t="str">
        <f>IF(Raw!CP121=1, "YES", "")</f>
        <v>YES</v>
      </c>
      <c r="V120" s="96"/>
      <c r="X120" s="23">
        <f>SUMPRODUCT(Raw!$BT$3:$CC$3, Raw!BT121:CC121)</f>
        <v>133</v>
      </c>
      <c r="Y120" s="23">
        <f>SUMPRODUCT(Raw!$BT$3:$CC$3, Raw!BU121:CD121)</f>
        <v>257</v>
      </c>
      <c r="Z120" s="28">
        <f t="shared" si="13"/>
        <v>922</v>
      </c>
      <c r="AA120" s="28">
        <f t="shared" si="14"/>
        <v>48077</v>
      </c>
      <c r="AC120">
        <f t="shared" si="15"/>
        <v>10.799999999999999</v>
      </c>
      <c r="AD120" s="23">
        <f>IF(U120="YES",SUMPRODUCT(Raw!$BT$3:$CC$3,Raw!BT121:CC121)*0.6,SUMPRODUCT(Raw!$BT$3:$CC$3,Raw!BT121:CC121))</f>
        <v>79.8</v>
      </c>
      <c r="AE120" s="23">
        <f>IF(U120="YES",SUMPRODUCT(Raw!$BT$3:$CC$3,Raw!BU121:CD121)*0.6,SUMPRODUCT(Raw!$BT$3:$CC$3,Raw!BU121:CD121))</f>
        <v>154.19999999999999</v>
      </c>
      <c r="AF120" s="28">
        <f t="shared" si="16"/>
        <v>553.20000000000005</v>
      </c>
      <c r="AG120" s="28">
        <f t="shared" si="17"/>
        <v>28846.199999999997</v>
      </c>
      <c r="AI120" s="88">
        <f t="shared" si="11"/>
        <v>118</v>
      </c>
      <c r="AJ120" s="88">
        <f t="shared" si="12"/>
        <v>129</v>
      </c>
      <c r="AK120">
        <f t="shared" si="18"/>
        <v>3954.5</v>
      </c>
      <c r="AL120">
        <f t="shared" si="19"/>
        <v>206283</v>
      </c>
    </row>
    <row r="121" spans="1:38" x14ac:dyDescent="0.25">
      <c r="A121" s="4">
        <f>Raw!J122</f>
        <v>209</v>
      </c>
      <c r="B121" s="4" t="str">
        <f>Raw!K122</f>
        <v>Hillcrest Blvd</v>
      </c>
      <c r="C121" s="4" t="str">
        <f>Raw!L122</f>
        <v>Broadway</v>
      </c>
      <c r="D121" s="4" t="str">
        <f>Raw!M122</f>
        <v>El Camino Real</v>
      </c>
      <c r="E121" s="23" t="str">
        <f>Raw!CG122</f>
        <v>S</v>
      </c>
      <c r="F121" s="7">
        <f>Raw!T122</f>
        <v>5</v>
      </c>
      <c r="G121" s="7">
        <f>Raw!AL122</f>
        <v>3</v>
      </c>
      <c r="H121" s="7">
        <f>Raw!AC122</f>
        <v>3</v>
      </c>
      <c r="I121" s="7">
        <f t="shared" si="10"/>
        <v>6</v>
      </c>
      <c r="J121" s="157">
        <f>Raw!BT122</f>
        <v>5</v>
      </c>
      <c r="K121" s="157">
        <f>Raw!AW122</f>
        <v>1</v>
      </c>
      <c r="L121" s="42">
        <f>IF(Raw!CE122 = "NA", "-", Raw!CE122)</f>
        <v>2.4</v>
      </c>
      <c r="M121" s="42">
        <f>IF(Raw!BH122 = "NA", "-", Raw!BH122)</f>
        <v>2.6</v>
      </c>
      <c r="N121" s="46">
        <f>IF(Raw!CD122 = "NA", "-", Raw!CD122)</f>
        <v>12</v>
      </c>
      <c r="O121" s="46">
        <f>IF(Raw!BG122 = "NA", "-", Raw!BG122)</f>
        <v>13</v>
      </c>
      <c r="P121" s="32">
        <f>IF(Raw!AW122 = "NA", "-", SUMPRODUCT(Raw!$BT$2:$CC$2, Raw!BT122:CC122))</f>
        <v>44</v>
      </c>
      <c r="Q121" s="32">
        <f>IF(Raw!AW122 = "NA", "-", SUMPRODUCT(Raw!$AW$2:$BF$2, Raw!AW122:BF122))</f>
        <v>50</v>
      </c>
      <c r="R121" s="7" t="str" cm="1">
        <f t="array" ref="R121">_xlfn.IFS(S121="YES", "Hourly", T121="YES", "Flat Rate")</f>
        <v>Hourly</v>
      </c>
      <c r="S121" s="8" t="str">
        <f>IF(Raw!CO122=1, "YES", "")</f>
        <v>YES</v>
      </c>
      <c r="T121" s="8" t="str">
        <f>IF(Raw!CO122=2, "YES", "")</f>
        <v/>
      </c>
      <c r="U121" s="96" t="str">
        <f>IF(Raw!CP122=1, "YES", "")</f>
        <v/>
      </c>
      <c r="V121" s="96"/>
      <c r="X121" s="23">
        <f>SUMPRODUCT(Raw!$BT$3:$CC$3, Raw!BT122:CC122)</f>
        <v>19</v>
      </c>
      <c r="Y121" s="23">
        <f>SUMPRODUCT(Raw!$BT$3:$CC$3, Raw!BU122:CD122)</f>
        <v>35</v>
      </c>
      <c r="Z121" s="28">
        <f t="shared" si="13"/>
        <v>130</v>
      </c>
      <c r="AA121" s="28">
        <f t="shared" si="14"/>
        <v>6779</v>
      </c>
      <c r="AC121">
        <f t="shared" si="15"/>
        <v>5</v>
      </c>
      <c r="AD121" s="23">
        <f>IF(U121="YES",SUMPRODUCT(Raw!$BT$3:$CC$3,Raw!BT122:CC122)*0.6,SUMPRODUCT(Raw!$BT$3:$CC$3,Raw!BT122:CC122))</f>
        <v>19</v>
      </c>
      <c r="AE121" s="23">
        <f>IF(U121="YES",SUMPRODUCT(Raw!$BT$3:$CC$3,Raw!BU122:CD122)*0.6,SUMPRODUCT(Raw!$BT$3:$CC$3,Raw!BU122:CD122))</f>
        <v>35</v>
      </c>
      <c r="AF121" s="28">
        <f t="shared" si="16"/>
        <v>130</v>
      </c>
      <c r="AG121" s="28">
        <f t="shared" si="17"/>
        <v>6779</v>
      </c>
      <c r="AI121" s="88">
        <f t="shared" si="11"/>
        <v>12</v>
      </c>
      <c r="AJ121" s="88">
        <f t="shared" si="12"/>
        <v>13</v>
      </c>
      <c r="AK121">
        <f t="shared" si="18"/>
        <v>401.5</v>
      </c>
      <c r="AL121">
        <f t="shared" si="19"/>
        <v>20944</v>
      </c>
    </row>
    <row r="122" spans="1:38" x14ac:dyDescent="0.25">
      <c r="A122" s="4">
        <f>Raw!J123</f>
        <v>218</v>
      </c>
      <c r="B122" s="4" t="str">
        <f>Raw!K123</f>
        <v>La Cruz Ave</v>
      </c>
      <c r="C122" s="4" t="str">
        <f>Raw!L123</f>
        <v>El Camino Real</v>
      </c>
      <c r="D122" s="4" t="str">
        <f>Raw!M123</f>
        <v>Broadway</v>
      </c>
      <c r="E122" s="23" t="str">
        <f>Raw!CG123</f>
        <v>N</v>
      </c>
      <c r="F122" s="7">
        <f>Raw!T123</f>
        <v>8</v>
      </c>
      <c r="G122" s="7">
        <f>Raw!AL123</f>
        <v>2</v>
      </c>
      <c r="H122" s="7">
        <f>Raw!AC123</f>
        <v>3</v>
      </c>
      <c r="I122" s="7">
        <f t="shared" si="10"/>
        <v>5</v>
      </c>
      <c r="J122" s="157">
        <f>Raw!BT123</f>
        <v>21</v>
      </c>
      <c r="K122" s="157">
        <f>Raw!AW123</f>
        <v>6</v>
      </c>
      <c r="L122" s="42">
        <f>IF(Raw!CE123 = "NA", "-", Raw!CE123)</f>
        <v>4.0999999999999996</v>
      </c>
      <c r="M122" s="42">
        <f>IF(Raw!BH123 = "NA", "-", Raw!BH123)</f>
        <v>3.4</v>
      </c>
      <c r="N122" s="46">
        <f>IF(Raw!CD123 = "NA", "-", Raw!CD123)</f>
        <v>33</v>
      </c>
      <c r="O122" s="46">
        <f>IF(Raw!BG123 = "NA", "-", Raw!BG123)</f>
        <v>27</v>
      </c>
      <c r="P122" s="32">
        <f>IF(Raw!AW123 = "NA", "-", SUMPRODUCT(Raw!$BT$2:$CC$2, Raw!BT123:CC123))</f>
        <v>70</v>
      </c>
      <c r="Q122" s="32">
        <f>IF(Raw!AW123 = "NA", "-", SUMPRODUCT(Raw!$AW$2:$BF$2, Raw!AW123:BF123))</f>
        <v>79</v>
      </c>
      <c r="R122" s="7" t="str" cm="1">
        <f t="array" ref="R122">_xlfn.IFS(S122="YES", "Hourly", T122="YES", "Flat Rate")</f>
        <v>Hourly</v>
      </c>
      <c r="S122" s="8" t="str">
        <f>IF(Raw!CO123=1, "YES", "")</f>
        <v>YES</v>
      </c>
      <c r="T122" s="8" t="str">
        <f>IF(Raw!CO123=2, "YES", "")</f>
        <v/>
      </c>
      <c r="U122" s="96" t="str">
        <f>IF(Raw!CP123=1, "YES", "")</f>
        <v/>
      </c>
      <c r="V122" s="96"/>
      <c r="X122" s="23">
        <f>SUMPRODUCT(Raw!$BT$3:$CC$3, Raw!BT123:CC123)</f>
        <v>45</v>
      </c>
      <c r="Y122" s="23">
        <f>SUMPRODUCT(Raw!$BT$3:$CC$3, Raw!BU123:CD123)</f>
        <v>87</v>
      </c>
      <c r="Z122" s="28">
        <f t="shared" si="13"/>
        <v>312</v>
      </c>
      <c r="AA122" s="28">
        <f t="shared" si="14"/>
        <v>16269</v>
      </c>
      <c r="AC122">
        <f t="shared" si="15"/>
        <v>8</v>
      </c>
      <c r="AD122" s="23">
        <f>IF(U122="YES",SUMPRODUCT(Raw!$BT$3:$CC$3,Raw!BT123:CC123)*0.6,SUMPRODUCT(Raw!$BT$3:$CC$3,Raw!BT123:CC123))</f>
        <v>45</v>
      </c>
      <c r="AE122" s="23">
        <f>IF(U122="YES",SUMPRODUCT(Raw!$BT$3:$CC$3,Raw!BU123:CD123)*0.6,SUMPRODUCT(Raw!$BT$3:$CC$3,Raw!BU123:CD123))</f>
        <v>87</v>
      </c>
      <c r="AF122" s="28">
        <f t="shared" si="16"/>
        <v>312</v>
      </c>
      <c r="AG122" s="28">
        <f t="shared" si="17"/>
        <v>16269</v>
      </c>
      <c r="AI122" s="88">
        <f t="shared" si="11"/>
        <v>33</v>
      </c>
      <c r="AJ122" s="88">
        <f t="shared" si="12"/>
        <v>27</v>
      </c>
      <c r="AK122">
        <f t="shared" si="18"/>
        <v>1056</v>
      </c>
      <c r="AL122">
        <f t="shared" si="19"/>
        <v>55093.5</v>
      </c>
    </row>
    <row r="123" spans="1:38" x14ac:dyDescent="0.25">
      <c r="A123" s="4">
        <f>Raw!J124</f>
        <v>123</v>
      </c>
      <c r="B123" s="4" t="str">
        <f>Raw!K124</f>
        <v>El Camino Real</v>
      </c>
      <c r="C123" s="4" t="str">
        <f>Raw!L124</f>
        <v>Hillcrest Blvd</v>
      </c>
      <c r="D123" s="4" t="str">
        <f>Raw!M124</f>
        <v>La Cruz Ave</v>
      </c>
      <c r="E123" s="23" t="str">
        <f>Raw!CG124</f>
        <v>W</v>
      </c>
      <c r="F123" s="7">
        <f>Raw!T124</f>
        <v>13</v>
      </c>
      <c r="G123" s="7">
        <f>Raw!AL124</f>
        <v>2</v>
      </c>
      <c r="H123" s="7">
        <f>Raw!AC124</f>
        <v>2</v>
      </c>
      <c r="I123" s="7">
        <f t="shared" si="10"/>
        <v>4</v>
      </c>
      <c r="J123" s="157">
        <f>Raw!BT124</f>
        <v>17</v>
      </c>
      <c r="K123" s="157">
        <f>Raw!AW124</f>
        <v>17</v>
      </c>
      <c r="L123" s="42">
        <f>IF(Raw!CE124 = "NA", "-", Raw!CE124)</f>
        <v>2.6</v>
      </c>
      <c r="M123" s="42">
        <f>IF(Raw!BH124 = "NA", "-", Raw!BH124)</f>
        <v>3.5</v>
      </c>
      <c r="N123" s="46">
        <f>IF(Raw!CD124 = "NA", "-", Raw!CD124)</f>
        <v>34</v>
      </c>
      <c r="O123" s="46">
        <f>IF(Raw!BG124 = "NA", "-", Raw!BG124)</f>
        <v>46</v>
      </c>
      <c r="P123" s="32">
        <f>IF(Raw!AW124 = "NA", "-", SUMPRODUCT(Raw!$BT$2:$CC$2, Raw!BT124:CC124))</f>
        <v>79</v>
      </c>
      <c r="Q123" s="32">
        <f>IF(Raw!AW124 = "NA", "-", SUMPRODUCT(Raw!$AW$2:$BF$2, Raw!AW124:BF124))</f>
        <v>109</v>
      </c>
      <c r="R123" s="7" t="str" cm="1">
        <f t="array" ref="R123">_xlfn.IFS(S123="YES", "Hourly", T123="YES", "Flat Rate")</f>
        <v>Hourly</v>
      </c>
      <c r="S123" s="8" t="str">
        <f>IF(Raw!CO124=1, "YES", "")</f>
        <v>YES</v>
      </c>
      <c r="T123" s="8" t="str">
        <f>IF(Raw!CO124=2, "YES", "")</f>
        <v/>
      </c>
      <c r="U123" s="96" t="str">
        <f>IF(Raw!CP124=1, "YES", "")</f>
        <v/>
      </c>
      <c r="V123" s="96"/>
      <c r="X123" s="23">
        <f>SUMPRODUCT(Raw!$BT$3:$CC$3, Raw!BT124:CC124)</f>
        <v>51</v>
      </c>
      <c r="Y123" s="23">
        <f>SUMPRODUCT(Raw!$BT$3:$CC$3, Raw!BU124:CD124)</f>
        <v>96</v>
      </c>
      <c r="Z123" s="28">
        <f t="shared" si="13"/>
        <v>351</v>
      </c>
      <c r="AA123" s="28">
        <f t="shared" si="14"/>
        <v>18303</v>
      </c>
      <c r="AC123">
        <f t="shared" si="15"/>
        <v>13</v>
      </c>
      <c r="AD123" s="23">
        <f>IF(U123="YES",SUMPRODUCT(Raw!$BT$3:$CC$3,Raw!BT124:CC124)*0.6,SUMPRODUCT(Raw!$BT$3:$CC$3,Raw!BT124:CC124))</f>
        <v>51</v>
      </c>
      <c r="AE123" s="23">
        <f>IF(U123="YES",SUMPRODUCT(Raw!$BT$3:$CC$3,Raw!BU124:CD124)*0.6,SUMPRODUCT(Raw!$BT$3:$CC$3,Raw!BU124:CD124))</f>
        <v>96</v>
      </c>
      <c r="AF123" s="28">
        <f t="shared" si="16"/>
        <v>351</v>
      </c>
      <c r="AG123" s="28">
        <f t="shared" si="17"/>
        <v>18303</v>
      </c>
      <c r="AI123" s="88">
        <f t="shared" si="11"/>
        <v>34</v>
      </c>
      <c r="AJ123" s="88">
        <f t="shared" si="12"/>
        <v>46</v>
      </c>
      <c r="AK123">
        <f t="shared" si="18"/>
        <v>1188</v>
      </c>
      <c r="AL123">
        <f t="shared" si="19"/>
        <v>61963</v>
      </c>
    </row>
    <row r="124" spans="1:38" x14ac:dyDescent="0.25">
      <c r="A124" s="4">
        <f>Raw!J125</f>
        <v>124</v>
      </c>
      <c r="B124" s="4" t="str">
        <f>Raw!K125</f>
        <v>El Camino Real E</v>
      </c>
      <c r="C124" s="4" t="str">
        <f>Raw!L125</f>
        <v>Hillcrest Blvd</v>
      </c>
      <c r="D124" s="4" t="str">
        <f>Raw!M125</f>
        <v>La Cruz Ave</v>
      </c>
      <c r="E124" s="23" t="str">
        <f>Raw!CG125</f>
        <v>W</v>
      </c>
      <c r="F124" s="7">
        <f>Raw!T125</f>
        <v>10</v>
      </c>
      <c r="G124" s="7">
        <f>Raw!AL125</f>
        <v>3</v>
      </c>
      <c r="H124" s="7">
        <f>Raw!AC125</f>
        <v>3</v>
      </c>
      <c r="I124" s="7">
        <f t="shared" si="10"/>
        <v>6</v>
      </c>
      <c r="J124" s="157">
        <f>Raw!BT125</f>
        <v>10</v>
      </c>
      <c r="K124" s="157">
        <f>Raw!AW125</f>
        <v>6</v>
      </c>
      <c r="L124" s="42">
        <f>IF(Raw!CE125 = "NA", "-", Raw!CE125)</f>
        <v>2.8</v>
      </c>
      <c r="M124" s="42">
        <f>IF(Raw!BH125 = "NA", "-", Raw!BH125)</f>
        <v>2.9</v>
      </c>
      <c r="N124" s="46">
        <f>IF(Raw!CD125 = "NA", "-", Raw!CD125)</f>
        <v>28</v>
      </c>
      <c r="O124" s="46">
        <f>IF(Raw!BG125 = "NA", "-", Raw!BG125)</f>
        <v>29</v>
      </c>
      <c r="P124" s="32">
        <f>IF(Raw!AW125 = "NA", "-", SUMPRODUCT(Raw!$BT$2:$CC$2, Raw!BT125:CC125))</f>
        <v>94</v>
      </c>
      <c r="Q124" s="32">
        <f>IF(Raw!AW125 = "NA", "-", SUMPRODUCT(Raw!$AW$2:$BF$2, Raw!AW125:BF125))</f>
        <v>100</v>
      </c>
      <c r="R124" s="7" t="str" cm="1">
        <f t="array" ref="R124">_xlfn.IFS(S124="YES", "Hourly", T124="YES", "Flat Rate")</f>
        <v>Hourly</v>
      </c>
      <c r="S124" s="8" t="str">
        <f>IF(Raw!CO125=1, "YES", "")</f>
        <v>YES</v>
      </c>
      <c r="T124" s="8" t="str">
        <f>IF(Raw!CO125=2, "YES", "")</f>
        <v/>
      </c>
      <c r="U124" s="96" t="str">
        <f>IF(Raw!CP125=1, "YES", "")</f>
        <v/>
      </c>
      <c r="V124" s="96"/>
      <c r="X124" s="23">
        <f>SUMPRODUCT(Raw!$BT$3:$CC$3, Raw!BT125:CC125)</f>
        <v>46</v>
      </c>
      <c r="Y124" s="23">
        <f>SUMPRODUCT(Raw!$BT$3:$CC$3, Raw!BU125:CD125)</f>
        <v>89</v>
      </c>
      <c r="Z124" s="28">
        <f t="shared" si="13"/>
        <v>319</v>
      </c>
      <c r="AA124" s="28">
        <f t="shared" si="14"/>
        <v>16634</v>
      </c>
      <c r="AC124">
        <f t="shared" si="15"/>
        <v>10</v>
      </c>
      <c r="AD124" s="23">
        <f>IF(U124="YES",SUMPRODUCT(Raw!$BT$3:$CC$3,Raw!BT125:CC125)*0.6,SUMPRODUCT(Raw!$BT$3:$CC$3,Raw!BT125:CC125))</f>
        <v>46</v>
      </c>
      <c r="AE124" s="23">
        <f>IF(U124="YES",SUMPRODUCT(Raw!$BT$3:$CC$3,Raw!BU125:CD125)*0.6,SUMPRODUCT(Raw!$BT$3:$CC$3,Raw!BU125:CD125))</f>
        <v>89</v>
      </c>
      <c r="AF124" s="28">
        <f t="shared" si="16"/>
        <v>319</v>
      </c>
      <c r="AG124" s="28">
        <f t="shared" si="17"/>
        <v>16634</v>
      </c>
      <c r="AI124" s="88">
        <f t="shared" si="11"/>
        <v>28</v>
      </c>
      <c r="AJ124" s="88">
        <f t="shared" si="12"/>
        <v>29</v>
      </c>
      <c r="AK124">
        <f t="shared" si="18"/>
        <v>929.5</v>
      </c>
      <c r="AL124">
        <f t="shared" si="19"/>
        <v>48488</v>
      </c>
    </row>
    <row r="125" spans="1:38" x14ac:dyDescent="0.25">
      <c r="A125" s="4">
        <f>Raw!J126</f>
        <v>210</v>
      </c>
      <c r="B125" s="4" t="str">
        <f>Raw!K126</f>
        <v>Hillcrest Blvd</v>
      </c>
      <c r="C125" s="4" t="str">
        <f>Raw!L126</f>
        <v>Hemlock Ave</v>
      </c>
      <c r="D125" s="4" t="str">
        <f>Raw!M126</f>
        <v>El Camino Real</v>
      </c>
      <c r="E125" s="23" t="str">
        <f>Raw!CG126</f>
        <v>N</v>
      </c>
      <c r="F125" s="7">
        <f>Raw!T126</f>
        <v>4</v>
      </c>
      <c r="G125" s="7">
        <f>Raw!AL126</f>
        <v>0</v>
      </c>
      <c r="H125" s="7">
        <f>Raw!AC126</f>
        <v>0</v>
      </c>
      <c r="I125" s="7">
        <f t="shared" si="10"/>
        <v>0</v>
      </c>
      <c r="J125" s="157">
        <f>Raw!BT126</f>
        <v>0</v>
      </c>
      <c r="K125" s="157">
        <f>Raw!AW126</f>
        <v>2</v>
      </c>
      <c r="L125" s="42">
        <f>IF(Raw!CE126 = "NA", "-", Raw!CE126)</f>
        <v>0.2</v>
      </c>
      <c r="M125" s="42">
        <f>IF(Raw!BH126 = "NA", "-", Raw!BH126)</f>
        <v>1.2</v>
      </c>
      <c r="N125" s="46">
        <f>IF(Raw!CD126 = "NA", "-", Raw!CD126)</f>
        <v>1</v>
      </c>
      <c r="O125" s="46">
        <f>IF(Raw!BG126 = "NA", "-", Raw!BG126)</f>
        <v>5</v>
      </c>
      <c r="P125" s="32">
        <f>IF(Raw!AW126 = "NA", "-", SUMPRODUCT(Raw!$BT$2:$CC$2, Raw!BT126:CC126))</f>
        <v>7</v>
      </c>
      <c r="Q125" s="32">
        <f>IF(Raw!AW126 = "NA", "-", SUMPRODUCT(Raw!$AW$2:$BF$2, Raw!AW126:BF126))</f>
        <v>18</v>
      </c>
      <c r="R125" s="7" t="e" cm="1">
        <f t="array" ref="R125">_xlfn.IFS(S125="YES", "Hourly", T125="YES", "Flat Rate")</f>
        <v>#N/A</v>
      </c>
      <c r="S125" s="8" t="str">
        <f>IF(Raw!CO126=1, "YES", "")</f>
        <v/>
      </c>
      <c r="T125" s="8" t="str">
        <f>IF(Raw!CO126=2, "YES", "")</f>
        <v/>
      </c>
      <c r="U125" s="96" t="str">
        <f>IF(Raw!CP126=1, "YES", "")</f>
        <v/>
      </c>
      <c r="V125" s="96"/>
      <c r="X125" s="23">
        <f>SUMPRODUCT(Raw!$BT$3:$CC$3, Raw!BT126:CC126)</f>
        <v>2</v>
      </c>
      <c r="Y125" s="23">
        <f>SUMPRODUCT(Raw!$BT$3:$CC$3, Raw!BU126:CD126)</f>
        <v>4</v>
      </c>
      <c r="Z125" s="28">
        <f t="shared" si="13"/>
        <v>14</v>
      </c>
      <c r="AA125" s="28">
        <f t="shared" si="14"/>
        <v>730</v>
      </c>
      <c r="AC125">
        <f t="shared" si="15"/>
        <v>4</v>
      </c>
      <c r="AD125" s="23">
        <f>IF(U125="YES",SUMPRODUCT(Raw!$BT$3:$CC$3,Raw!BT126:CC126)*0.6,SUMPRODUCT(Raw!$BT$3:$CC$3,Raw!BT126:CC126))</f>
        <v>2</v>
      </c>
      <c r="AE125" s="23">
        <f>IF(U125="YES",SUMPRODUCT(Raw!$BT$3:$CC$3,Raw!BU126:CD126)*0.6,SUMPRODUCT(Raw!$BT$3:$CC$3,Raw!BU126:CD126))</f>
        <v>4</v>
      </c>
      <c r="AF125" s="28">
        <f t="shared" si="16"/>
        <v>14</v>
      </c>
      <c r="AG125" s="28">
        <f t="shared" si="17"/>
        <v>730</v>
      </c>
      <c r="AI125" s="88">
        <f t="shared" si="11"/>
        <v>1</v>
      </c>
      <c r="AJ125" s="88">
        <f t="shared" si="12"/>
        <v>5</v>
      </c>
      <c r="AK125">
        <f t="shared" si="18"/>
        <v>55</v>
      </c>
      <c r="AL125">
        <f t="shared" si="19"/>
        <v>2865.5</v>
      </c>
    </row>
    <row r="126" spans="1:38" x14ac:dyDescent="0.25">
      <c r="A126" s="4">
        <f>Raw!J127</f>
        <v>211</v>
      </c>
      <c r="B126" s="4" t="str">
        <f>Raw!K127</f>
        <v>Hillcrest Blvd</v>
      </c>
      <c r="C126" s="4" t="str">
        <f>Raw!L127</f>
        <v>El Camino Real</v>
      </c>
      <c r="D126" s="4" t="str">
        <f>Raw!M127</f>
        <v>Hemlock Ave</v>
      </c>
      <c r="E126" s="23" t="str">
        <f>Raw!CG127</f>
        <v>S</v>
      </c>
      <c r="F126" s="7">
        <f>Raw!T127</f>
        <v>5</v>
      </c>
      <c r="G126" s="7">
        <f>Raw!AL127</f>
        <v>0</v>
      </c>
      <c r="H126" s="7">
        <f>Raw!AC127</f>
        <v>1</v>
      </c>
      <c r="I126" s="7">
        <f t="shared" si="10"/>
        <v>1</v>
      </c>
      <c r="J126" s="157">
        <f>Raw!BT127</f>
        <v>0</v>
      </c>
      <c r="K126" s="157">
        <f>Raw!AW127</f>
        <v>2</v>
      </c>
      <c r="L126" s="42">
        <f>IF(Raw!CE127 = "NA", "-", Raw!CE127)</f>
        <v>0.6</v>
      </c>
      <c r="M126" s="42">
        <f>IF(Raw!BH127 = "NA", "-", Raw!BH127)</f>
        <v>1.7</v>
      </c>
      <c r="N126" s="46">
        <f>IF(Raw!CD127 = "NA", "-", Raw!CD127)</f>
        <v>3</v>
      </c>
      <c r="O126" s="46">
        <f>IF(Raw!BG127 = "NA", "-", Raw!BG127)</f>
        <v>9</v>
      </c>
      <c r="P126" s="32">
        <f>IF(Raw!AW127 = "NA", "-", SUMPRODUCT(Raw!$BT$2:$CC$2, Raw!BT127:CC127))</f>
        <v>15</v>
      </c>
      <c r="Q126" s="32">
        <f>IF(Raw!AW127 = "NA", "-", SUMPRODUCT(Raw!$AW$2:$BF$2, Raw!AW127:BF127))</f>
        <v>18</v>
      </c>
      <c r="R126" s="7" t="e" cm="1">
        <f t="array" ref="R126">_xlfn.IFS(S126="YES", "Hourly", T126="YES", "Flat Rate")</f>
        <v>#N/A</v>
      </c>
      <c r="S126" s="8" t="str">
        <f>IF(Raw!CO127=1, "YES", "")</f>
        <v/>
      </c>
      <c r="T126" s="8" t="str">
        <f>IF(Raw!CO127=2, "YES", "")</f>
        <v/>
      </c>
      <c r="U126" s="96" t="str">
        <f>IF(Raw!CP127=1, "YES", "")</f>
        <v/>
      </c>
      <c r="V126" s="96"/>
      <c r="X126" s="23">
        <f>SUMPRODUCT(Raw!$BT$3:$CC$3, Raw!BT127:CC127)</f>
        <v>6</v>
      </c>
      <c r="Y126" s="23">
        <f>SUMPRODUCT(Raw!$BT$3:$CC$3, Raw!BU127:CD127)</f>
        <v>12</v>
      </c>
      <c r="Z126" s="28">
        <f t="shared" si="13"/>
        <v>42</v>
      </c>
      <c r="AA126" s="28">
        <f t="shared" si="14"/>
        <v>2190</v>
      </c>
      <c r="AC126">
        <f t="shared" si="15"/>
        <v>5</v>
      </c>
      <c r="AD126" s="23">
        <f>IF(U126="YES",SUMPRODUCT(Raw!$BT$3:$CC$3,Raw!BT127:CC127)*0.6,SUMPRODUCT(Raw!$BT$3:$CC$3,Raw!BT127:CC127))</f>
        <v>6</v>
      </c>
      <c r="AE126" s="23">
        <f>IF(U126="YES",SUMPRODUCT(Raw!$BT$3:$CC$3,Raw!BU127:CD127)*0.6,SUMPRODUCT(Raw!$BT$3:$CC$3,Raw!BU127:CD127))</f>
        <v>12</v>
      </c>
      <c r="AF126" s="28">
        <f t="shared" si="16"/>
        <v>42</v>
      </c>
      <c r="AG126" s="28">
        <f t="shared" si="17"/>
        <v>2190</v>
      </c>
      <c r="AI126" s="88">
        <f t="shared" si="11"/>
        <v>3</v>
      </c>
      <c r="AJ126" s="88">
        <f t="shared" si="12"/>
        <v>9</v>
      </c>
      <c r="AK126">
        <f t="shared" si="18"/>
        <v>132</v>
      </c>
      <c r="AL126">
        <f t="shared" si="19"/>
        <v>6880.5</v>
      </c>
    </row>
    <row r="127" spans="1:38" x14ac:dyDescent="0.25">
      <c r="A127" s="4">
        <f>Raw!J128</f>
        <v>125</v>
      </c>
      <c r="B127" s="4" t="str">
        <f>Raw!K128</f>
        <v>El Camino Real</v>
      </c>
      <c r="C127" s="4" t="str">
        <f>Raw!L128</f>
        <v>La Cruz Ave</v>
      </c>
      <c r="D127" s="4" t="str">
        <f>Raw!M128</f>
        <v>Hillcrest Blvd</v>
      </c>
      <c r="E127" s="23" t="str">
        <f>Raw!CG128</f>
        <v>E</v>
      </c>
      <c r="F127" s="7">
        <f>Raw!T128</f>
        <v>6</v>
      </c>
      <c r="G127" s="7">
        <f>Raw!AL128</f>
        <v>0</v>
      </c>
      <c r="H127" s="7">
        <f>Raw!AC128</f>
        <v>3</v>
      </c>
      <c r="I127" s="7">
        <f t="shared" si="10"/>
        <v>3</v>
      </c>
      <c r="J127" s="157">
        <f>Raw!BT128</f>
        <v>0</v>
      </c>
      <c r="K127" s="157">
        <f>Raw!AW128</f>
        <v>1</v>
      </c>
      <c r="L127" s="42">
        <f>IF(Raw!CE128 = "NA", "-", Raw!CE128)</f>
        <v>1.1000000000000001</v>
      </c>
      <c r="M127" s="42">
        <f>IF(Raw!BH128 = "NA", "-", Raw!BH128)</f>
        <v>1.7</v>
      </c>
      <c r="N127" s="46">
        <f>IF(Raw!CD128 = "NA", "-", Raw!CD128)</f>
        <v>7</v>
      </c>
      <c r="O127" s="46">
        <f>IF(Raw!BG128 = "NA", "-", Raw!BG128)</f>
        <v>11</v>
      </c>
      <c r="P127" s="32">
        <f>IF(Raw!AW128 = "NA", "-", SUMPRODUCT(Raw!$BT$2:$CC$2, Raw!BT128:CC128))</f>
        <v>37</v>
      </c>
      <c r="Q127" s="32">
        <f>IF(Raw!AW128 = "NA", "-", SUMPRODUCT(Raw!$AW$2:$BF$2, Raw!AW128:BF128))</f>
        <v>70</v>
      </c>
      <c r="R127" s="7" t="str" cm="1">
        <f t="array" ref="R127">_xlfn.IFS(S127="YES", "Hourly", T127="YES", "Flat Rate")</f>
        <v>Hourly</v>
      </c>
      <c r="S127" s="8" t="str">
        <f>IF(Raw!CO128=1, "YES", "")</f>
        <v>YES</v>
      </c>
      <c r="T127" s="8" t="str">
        <f>IF(Raw!CO128=2, "YES", "")</f>
        <v/>
      </c>
      <c r="U127" s="96" t="str">
        <f>IF(Raw!CP128=1, "YES", "")</f>
        <v/>
      </c>
      <c r="V127" s="96"/>
      <c r="X127" s="23">
        <f>SUMPRODUCT(Raw!$BT$3:$CC$3, Raw!BT128:CC128)</f>
        <v>14</v>
      </c>
      <c r="Y127" s="23">
        <f>SUMPRODUCT(Raw!$BT$3:$CC$3, Raw!BU128:CD128)</f>
        <v>28</v>
      </c>
      <c r="Z127" s="28">
        <f t="shared" si="13"/>
        <v>98</v>
      </c>
      <c r="AA127" s="28">
        <f t="shared" si="14"/>
        <v>5110</v>
      </c>
      <c r="AC127">
        <f t="shared" si="15"/>
        <v>6</v>
      </c>
      <c r="AD127" s="23">
        <f>IF(U127="YES",SUMPRODUCT(Raw!$BT$3:$CC$3,Raw!BT128:CC128)*0.6,SUMPRODUCT(Raw!$BT$3:$CC$3,Raw!BT128:CC128))</f>
        <v>14</v>
      </c>
      <c r="AE127" s="23">
        <f>IF(U127="YES",SUMPRODUCT(Raw!$BT$3:$CC$3,Raw!BU128:CD128)*0.6,SUMPRODUCT(Raw!$BT$3:$CC$3,Raw!BU128:CD128))</f>
        <v>28</v>
      </c>
      <c r="AF127" s="28">
        <f t="shared" si="16"/>
        <v>98</v>
      </c>
      <c r="AG127" s="28">
        <f t="shared" si="17"/>
        <v>5110</v>
      </c>
      <c r="AI127" s="88">
        <f t="shared" si="11"/>
        <v>7</v>
      </c>
      <c r="AJ127" s="88">
        <f t="shared" si="12"/>
        <v>11</v>
      </c>
      <c r="AK127">
        <f t="shared" si="18"/>
        <v>253</v>
      </c>
      <c r="AL127">
        <f t="shared" si="19"/>
        <v>13194.5</v>
      </c>
    </row>
    <row r="128" spans="1:38" x14ac:dyDescent="0.25">
      <c r="A128" s="4">
        <f>Raw!J129</f>
        <v>128</v>
      </c>
      <c r="B128" s="4" t="str">
        <f>Raw!K129</f>
        <v>El Camino Real</v>
      </c>
      <c r="C128" s="4" t="str">
        <f>Raw!L129</f>
        <v>Sierra Ave</v>
      </c>
      <c r="D128" s="4" t="str">
        <f>Raw!M129</f>
        <v>La Cruz Ave</v>
      </c>
      <c r="E128" s="23" t="str">
        <f>Raw!CG129</f>
        <v>E</v>
      </c>
      <c r="F128" s="7">
        <f>Raw!T129</f>
        <v>9</v>
      </c>
      <c r="G128" s="7">
        <f>Raw!AL129</f>
        <v>0</v>
      </c>
      <c r="H128" s="7">
        <f>Raw!AC129</f>
        <v>0</v>
      </c>
      <c r="I128" s="7">
        <f t="shared" si="10"/>
        <v>0</v>
      </c>
      <c r="J128" s="157">
        <f>Raw!BT129</f>
        <v>0</v>
      </c>
      <c r="K128" s="157">
        <f>Raw!AW129</f>
        <v>3</v>
      </c>
      <c r="L128" s="42">
        <f>IF(Raw!CE129 = "NA", "-", Raw!CE129)</f>
        <v>0.6</v>
      </c>
      <c r="M128" s="42">
        <f>IF(Raw!BH129 = "NA", "-", Raw!BH129)</f>
        <v>1.7</v>
      </c>
      <c r="N128" s="46">
        <f>IF(Raw!CD129 = "NA", "-", Raw!CD129)</f>
        <v>5</v>
      </c>
      <c r="O128" s="46">
        <f>IF(Raw!BG129 = "NA", "-", Raw!BG129)</f>
        <v>15</v>
      </c>
      <c r="P128" s="32">
        <f>IF(Raw!AW129 = "NA", "-", SUMPRODUCT(Raw!$BT$2:$CC$2, Raw!BT129:CC129))</f>
        <v>30</v>
      </c>
      <c r="Q128" s="32">
        <f>IF(Raw!AW129 = "NA", "-", SUMPRODUCT(Raw!$AW$2:$BF$2, Raw!AW129:BF129))</f>
        <v>59</v>
      </c>
      <c r="R128" s="7" t="str" cm="1">
        <f t="array" ref="R128">_xlfn.IFS(S128="YES", "Hourly", T128="YES", "Flat Rate")</f>
        <v>Hourly</v>
      </c>
      <c r="S128" s="8" t="str">
        <f>IF(Raw!CO129=1, "YES", "")</f>
        <v>YES</v>
      </c>
      <c r="T128" s="8" t="str">
        <f>IF(Raw!CO129=2, "YES", "")</f>
        <v/>
      </c>
      <c r="U128" s="96" t="str">
        <f>IF(Raw!CP129=1, "YES", "")</f>
        <v/>
      </c>
      <c r="V128" s="96"/>
      <c r="X128" s="23">
        <f>SUMPRODUCT(Raw!$BT$3:$CC$3, Raw!BT129:CC129)</f>
        <v>10</v>
      </c>
      <c r="Y128" s="23">
        <f>SUMPRODUCT(Raw!$BT$3:$CC$3, Raw!BU129:CD129)</f>
        <v>20</v>
      </c>
      <c r="Z128" s="28">
        <f t="shared" si="13"/>
        <v>70</v>
      </c>
      <c r="AA128" s="28">
        <f t="shared" si="14"/>
        <v>3650</v>
      </c>
      <c r="AC128">
        <f t="shared" si="15"/>
        <v>9</v>
      </c>
      <c r="AD128" s="23">
        <f>IF(U128="YES",SUMPRODUCT(Raw!$BT$3:$CC$3,Raw!BT129:CC129)*0.6,SUMPRODUCT(Raw!$BT$3:$CC$3,Raw!BT129:CC129))</f>
        <v>10</v>
      </c>
      <c r="AE128" s="23">
        <f>IF(U128="YES",SUMPRODUCT(Raw!$BT$3:$CC$3,Raw!BU129:CD129)*0.6,SUMPRODUCT(Raw!$BT$3:$CC$3,Raw!BU129:CD129))</f>
        <v>20</v>
      </c>
      <c r="AF128" s="28">
        <f t="shared" si="16"/>
        <v>70</v>
      </c>
      <c r="AG128" s="28">
        <f t="shared" si="17"/>
        <v>3650</v>
      </c>
      <c r="AI128" s="88">
        <f t="shared" si="11"/>
        <v>5</v>
      </c>
      <c r="AJ128" s="88">
        <f t="shared" si="12"/>
        <v>15</v>
      </c>
      <c r="AK128">
        <f t="shared" si="18"/>
        <v>220</v>
      </c>
      <c r="AL128">
        <f t="shared" si="19"/>
        <v>11467.5</v>
      </c>
    </row>
    <row r="129" spans="1:38" x14ac:dyDescent="0.25">
      <c r="A129" s="4">
        <f>Raw!J130</f>
        <v>142</v>
      </c>
      <c r="B129" s="4" t="str">
        <f>Raw!K130</f>
        <v>Hemlock Ave</v>
      </c>
      <c r="C129" s="4" t="str">
        <f>Raw!L130</f>
        <v>Hillcrest Blvd</v>
      </c>
      <c r="D129" s="4" t="str">
        <f>Raw!M130</f>
        <v>End</v>
      </c>
      <c r="E129" s="23" t="str">
        <f>Raw!CG130</f>
        <v>W</v>
      </c>
      <c r="F129" s="7">
        <f>Raw!T130</f>
        <v>28</v>
      </c>
      <c r="G129" s="7">
        <f>Raw!AL130</f>
        <v>0</v>
      </c>
      <c r="H129" s="7">
        <f>Raw!AC130</f>
        <v>0</v>
      </c>
      <c r="I129" s="7">
        <f t="shared" si="10"/>
        <v>0</v>
      </c>
      <c r="J129" s="157" t="str">
        <f>Raw!BT130</f>
        <v>NA</v>
      </c>
      <c r="K129" s="157" t="str">
        <f>Raw!AW130</f>
        <v>NA</v>
      </c>
      <c r="L129" s="42" t="str">
        <f>IF(Raw!CE130 = "NA", "-", Raw!CE130)</f>
        <v>-</v>
      </c>
      <c r="M129" s="42" t="str">
        <f>IF(Raw!BH130 = "NA", "-", Raw!BH130)</f>
        <v>-</v>
      </c>
      <c r="N129" s="46" t="str">
        <f>IF(Raw!CD130 = "NA", "-", Raw!CD130)</f>
        <v>-</v>
      </c>
      <c r="O129" s="46" t="str">
        <f>IF(Raw!BG130 = "NA", "-", Raw!BG130)</f>
        <v>-</v>
      </c>
      <c r="P129" s="32" t="str">
        <f>IF(Raw!AW130 = "NA", "-", SUMPRODUCT(Raw!$BT$2:$CC$2, Raw!BT130:CC130))</f>
        <v>-</v>
      </c>
      <c r="Q129" s="32" t="str">
        <f>IF(Raw!AW130 = "NA", "-", SUMPRODUCT(Raw!$AW$2:$BF$2, Raw!AW130:BF130))</f>
        <v>-</v>
      </c>
      <c r="R129" s="7" t="e" cm="1">
        <f t="array" ref="R129">_xlfn.IFS(S129="YES", "Hourly", T129="YES", "Flat Rate")</f>
        <v>#N/A</v>
      </c>
      <c r="S129" s="8" t="str">
        <f>IF(Raw!CO130=1, "YES", "")</f>
        <v/>
      </c>
      <c r="T129" s="8" t="str">
        <f>IF(Raw!CO130=2, "YES", "")</f>
        <v/>
      </c>
      <c r="U129" s="96" t="str">
        <f>IF(Raw!CP130=1, "YES", "")</f>
        <v/>
      </c>
      <c r="V129" s="96"/>
      <c r="X129" s="23">
        <f>SUMPRODUCT(Raw!$BT$3:$CC$3, Raw!BT130:CC130)</f>
        <v>0</v>
      </c>
      <c r="Y129" s="23">
        <f>SUMPRODUCT(Raw!$BT$3:$CC$3, Raw!BU130:CD130)</f>
        <v>0</v>
      </c>
      <c r="Z129" s="28">
        <f t="shared" si="13"/>
        <v>0</v>
      </c>
      <c r="AA129" s="28">
        <f t="shared" si="14"/>
        <v>0</v>
      </c>
      <c r="AC129">
        <f t="shared" si="15"/>
        <v>28</v>
      </c>
      <c r="AD129" s="23">
        <f>IF(U129="YES",SUMPRODUCT(Raw!$BT$3:$CC$3,Raw!BT130:CC130)*0.6,SUMPRODUCT(Raw!$BT$3:$CC$3,Raw!BT130:CC130))</f>
        <v>0</v>
      </c>
      <c r="AE129" s="23">
        <f>IF(U129="YES",SUMPRODUCT(Raw!$BT$3:$CC$3,Raw!BU130:CD130)*0.6,SUMPRODUCT(Raw!$BT$3:$CC$3,Raw!BU130:CD130))</f>
        <v>0</v>
      </c>
      <c r="AF129" s="28">
        <f t="shared" si="16"/>
        <v>0</v>
      </c>
      <c r="AG129" s="28">
        <f t="shared" si="17"/>
        <v>0</v>
      </c>
      <c r="AI129" s="88" t="str">
        <f t="shared" si="11"/>
        <v>-</v>
      </c>
      <c r="AJ129" s="88" t="str">
        <f t="shared" si="12"/>
        <v>-</v>
      </c>
      <c r="AK129" t="e">
        <f t="shared" si="18"/>
        <v>#VALUE!</v>
      </c>
      <c r="AL129" t="e">
        <f t="shared" si="19"/>
        <v>#VALUE!</v>
      </c>
    </row>
    <row r="130" spans="1:38" x14ac:dyDescent="0.25">
      <c r="A130" s="4">
        <f>Raw!J131</f>
        <v>143</v>
      </c>
      <c r="B130" s="4" t="str">
        <f>Raw!K131</f>
        <v>Hemlock Ave</v>
      </c>
      <c r="C130" s="4" t="str">
        <f>Raw!L131</f>
        <v>End</v>
      </c>
      <c r="D130" s="4" t="str">
        <f>Raw!M131</f>
        <v>Hillcrest Blvd</v>
      </c>
      <c r="E130" s="23" t="str">
        <f>Raw!CG131</f>
        <v>E</v>
      </c>
      <c r="F130" s="7">
        <f>Raw!T131</f>
        <v>27</v>
      </c>
      <c r="G130" s="7">
        <f>Raw!AL131</f>
        <v>0</v>
      </c>
      <c r="H130" s="7">
        <f>Raw!AC131</f>
        <v>0</v>
      </c>
      <c r="I130" s="7">
        <f t="shared" ref="I130:I193" si="20">SUM(G130:H130)</f>
        <v>0</v>
      </c>
      <c r="J130" s="157" t="str">
        <f>Raw!BT131</f>
        <v>NA</v>
      </c>
      <c r="K130" s="157" t="str">
        <f>Raw!AW131</f>
        <v>NA</v>
      </c>
      <c r="L130" s="42" t="str">
        <f>IF(Raw!CE131 = "NA", "-", Raw!CE131)</f>
        <v>-</v>
      </c>
      <c r="M130" s="42" t="str">
        <f>IF(Raw!BH131 = "NA", "-", Raw!BH131)</f>
        <v>-</v>
      </c>
      <c r="N130" s="46" t="str">
        <f>IF(Raw!CD131 = "NA", "-", Raw!CD131)</f>
        <v>-</v>
      </c>
      <c r="O130" s="46" t="str">
        <f>IF(Raw!BG131 = "NA", "-", Raw!BG131)</f>
        <v>-</v>
      </c>
      <c r="P130" s="32" t="str">
        <f>IF(Raw!AW131 = "NA", "-", SUMPRODUCT(Raw!$BT$2:$CC$2, Raw!BT131:CC131))</f>
        <v>-</v>
      </c>
      <c r="Q130" s="32" t="str">
        <f>IF(Raw!AW131 = "NA", "-", SUMPRODUCT(Raw!$AW$2:$BF$2, Raw!AW131:BF131))</f>
        <v>-</v>
      </c>
      <c r="R130" s="7" t="e" cm="1">
        <f t="array" ref="R130">_xlfn.IFS(S130="YES", "Hourly", T130="YES", "Flat Rate")</f>
        <v>#N/A</v>
      </c>
      <c r="S130" s="8" t="str">
        <f>IF(Raw!CO131=1, "YES", "")</f>
        <v/>
      </c>
      <c r="T130" s="8" t="str">
        <f>IF(Raw!CO131=2, "YES", "")</f>
        <v/>
      </c>
      <c r="U130" s="96" t="str">
        <f>IF(Raw!CP131=1, "YES", "")</f>
        <v/>
      </c>
      <c r="V130" s="96"/>
      <c r="X130" s="23">
        <f>SUMPRODUCT(Raw!$BT$3:$CC$3, Raw!BT131:CC131)</f>
        <v>0</v>
      </c>
      <c r="Y130" s="23">
        <f>SUMPRODUCT(Raw!$BT$3:$CC$3, Raw!BU131:CD131)</f>
        <v>0</v>
      </c>
      <c r="Z130" s="28">
        <f t="shared" si="13"/>
        <v>0</v>
      </c>
      <c r="AA130" s="28">
        <f t="shared" si="14"/>
        <v>0</v>
      </c>
      <c r="AC130">
        <f t="shared" si="15"/>
        <v>27</v>
      </c>
      <c r="AD130" s="23">
        <f>IF(U130="YES",SUMPRODUCT(Raw!$BT$3:$CC$3,Raw!BT131:CC131)*0.6,SUMPRODUCT(Raw!$BT$3:$CC$3,Raw!BT131:CC131))</f>
        <v>0</v>
      </c>
      <c r="AE130" s="23">
        <f>IF(U130="YES",SUMPRODUCT(Raw!$BT$3:$CC$3,Raw!BU131:CD131)*0.6,SUMPRODUCT(Raw!$BT$3:$CC$3,Raw!BU131:CD131))</f>
        <v>0</v>
      </c>
      <c r="AF130" s="28">
        <f t="shared" si="16"/>
        <v>0</v>
      </c>
      <c r="AG130" s="28">
        <f t="shared" si="17"/>
        <v>0</v>
      </c>
      <c r="AI130" s="88" t="str">
        <f t="shared" si="11"/>
        <v>-</v>
      </c>
      <c r="AJ130" s="88" t="str">
        <f t="shared" si="12"/>
        <v>-</v>
      </c>
      <c r="AK130" t="e">
        <f t="shared" si="18"/>
        <v>#VALUE!</v>
      </c>
      <c r="AL130" t="e">
        <f t="shared" si="19"/>
        <v>#VALUE!</v>
      </c>
    </row>
    <row r="131" spans="1:38" x14ac:dyDescent="0.25">
      <c r="A131" s="4">
        <f>Raw!J132</f>
        <v>213</v>
      </c>
      <c r="B131" s="4" t="str">
        <f>Raw!K132</f>
        <v>La Cruz Ave</v>
      </c>
      <c r="C131" s="4" t="str">
        <f>Raw!L132</f>
        <v>Poplar Ave</v>
      </c>
      <c r="D131" s="4" t="str">
        <f>Raw!M132</f>
        <v>Willow Ave</v>
      </c>
      <c r="E131" s="23" t="str">
        <f>Raw!CG132</f>
        <v>S</v>
      </c>
      <c r="F131" s="7">
        <f>Raw!T132</f>
        <v>8</v>
      </c>
      <c r="G131" s="7">
        <f>Raw!AL132</f>
        <v>0</v>
      </c>
      <c r="H131" s="7">
        <f>Raw!AC132</f>
        <v>3</v>
      </c>
      <c r="I131" s="7">
        <f t="shared" si="20"/>
        <v>3</v>
      </c>
      <c r="J131" s="157" t="str">
        <f>Raw!BT132</f>
        <v>NA</v>
      </c>
      <c r="K131" s="157" t="str">
        <f>Raw!AW132</f>
        <v>NA</v>
      </c>
      <c r="L131" s="42" t="str">
        <f>IF(Raw!CE132 = "NA", "-", Raw!CE132)</f>
        <v>-</v>
      </c>
      <c r="M131" s="42" t="str">
        <f>IF(Raw!BH132 = "NA", "-", Raw!BH132)</f>
        <v>-</v>
      </c>
      <c r="N131" s="46" t="str">
        <f>IF(Raw!CD132 = "NA", "-", Raw!CD132)</f>
        <v>-</v>
      </c>
      <c r="O131" s="46" t="str">
        <f>IF(Raw!BG132 = "NA", "-", Raw!BG132)</f>
        <v>-</v>
      </c>
      <c r="P131" s="32" t="str">
        <f>IF(Raw!AW132 = "NA", "-", SUMPRODUCT(Raw!$BT$2:$CC$2, Raw!BT132:CC132))</f>
        <v>-</v>
      </c>
      <c r="Q131" s="32" t="str">
        <f>IF(Raw!AW132 = "NA", "-", SUMPRODUCT(Raw!$AW$2:$BF$2, Raw!AW132:BF132))</f>
        <v>-</v>
      </c>
      <c r="R131" s="7" t="e" cm="1">
        <f t="array" ref="R131">_xlfn.IFS(S131="YES", "Hourly", T131="YES", "Flat Rate")</f>
        <v>#N/A</v>
      </c>
      <c r="S131" s="8" t="str">
        <f>IF(Raw!CO132=1, "YES", "")</f>
        <v/>
      </c>
      <c r="T131" s="8" t="str">
        <f>IF(Raw!CO132=2, "YES", "")</f>
        <v/>
      </c>
      <c r="U131" s="96" t="str">
        <f>IF(Raw!CP132=1, "YES", "")</f>
        <v/>
      </c>
      <c r="V131" s="96"/>
      <c r="X131" s="23">
        <f>SUMPRODUCT(Raw!$BT$3:$CC$3, Raw!BT132:CC132)</f>
        <v>0</v>
      </c>
      <c r="Y131" s="23">
        <f>SUMPRODUCT(Raw!$BT$3:$CC$3, Raw!BU132:CD132)</f>
        <v>0</v>
      </c>
      <c r="Z131" s="28">
        <f t="shared" si="13"/>
        <v>0</v>
      </c>
      <c r="AA131" s="28">
        <f t="shared" si="14"/>
        <v>0</v>
      </c>
      <c r="AC131">
        <f t="shared" si="15"/>
        <v>8</v>
      </c>
      <c r="AD131" s="23">
        <f>IF(U131="YES",SUMPRODUCT(Raw!$BT$3:$CC$3,Raw!BT132:CC132)*0.6,SUMPRODUCT(Raw!$BT$3:$CC$3,Raw!BT132:CC132))</f>
        <v>0</v>
      </c>
      <c r="AE131" s="23">
        <f>IF(U131="YES",SUMPRODUCT(Raw!$BT$3:$CC$3,Raw!BU132:CD132)*0.6,SUMPRODUCT(Raw!$BT$3:$CC$3,Raw!BU132:CD132))</f>
        <v>0</v>
      </c>
      <c r="AF131" s="28">
        <f t="shared" si="16"/>
        <v>0</v>
      </c>
      <c r="AG131" s="28">
        <f t="shared" si="17"/>
        <v>0</v>
      </c>
      <c r="AI131" s="88" t="str">
        <f t="shared" ref="AI131:AI194" si="21">N131</f>
        <v>-</v>
      </c>
      <c r="AJ131" s="88" t="str">
        <f t="shared" ref="AJ131:AJ194" si="22">O131</f>
        <v>-</v>
      </c>
      <c r="AK131" t="e">
        <f t="shared" si="18"/>
        <v>#VALUE!</v>
      </c>
      <c r="AL131" t="e">
        <f t="shared" si="19"/>
        <v>#VALUE!</v>
      </c>
    </row>
    <row r="132" spans="1:38" x14ac:dyDescent="0.25">
      <c r="A132" s="4">
        <f>Raw!J133</f>
        <v>214</v>
      </c>
      <c r="B132" s="4" t="str">
        <f>Raw!K133</f>
        <v>La Cruz Ave</v>
      </c>
      <c r="C132" s="4" t="str">
        <f>Raw!L133</f>
        <v>Willow Ave</v>
      </c>
      <c r="D132" s="4" t="str">
        <f>Raw!M133</f>
        <v>Lewis Ave</v>
      </c>
      <c r="E132" s="23" t="str">
        <f>Raw!CG133</f>
        <v>S</v>
      </c>
      <c r="F132" s="7">
        <f>Raw!T133</f>
        <v>6</v>
      </c>
      <c r="G132" s="7">
        <f>Raw!AL133</f>
        <v>4</v>
      </c>
      <c r="H132" s="7">
        <f>Raw!AC133</f>
        <v>4</v>
      </c>
      <c r="I132" s="7">
        <f t="shared" si="20"/>
        <v>8</v>
      </c>
      <c r="J132" s="157" t="str">
        <f>Raw!BT133</f>
        <v>NA</v>
      </c>
      <c r="K132" s="157" t="str">
        <f>Raw!AW133</f>
        <v>NA</v>
      </c>
      <c r="L132" s="42" t="str">
        <f>IF(Raw!CE133 = "NA", "-", Raw!CE133)</f>
        <v>-</v>
      </c>
      <c r="M132" s="42" t="str">
        <f>IF(Raw!BH133 = "NA", "-", Raw!BH133)</f>
        <v>-</v>
      </c>
      <c r="N132" s="46" t="str">
        <f>IF(Raw!CD133 = "NA", "-", Raw!CD133)</f>
        <v>-</v>
      </c>
      <c r="O132" s="46" t="str">
        <f>IF(Raw!BG133 = "NA", "-", Raw!BG133)</f>
        <v>-</v>
      </c>
      <c r="P132" s="32" t="str">
        <f>IF(Raw!AW133 = "NA", "-", SUMPRODUCT(Raw!$BT$2:$CC$2, Raw!BT133:CC133))</f>
        <v>-</v>
      </c>
      <c r="Q132" s="32" t="str">
        <f>IF(Raw!AW133 = "NA", "-", SUMPRODUCT(Raw!$AW$2:$BF$2, Raw!AW133:BF133))</f>
        <v>-</v>
      </c>
      <c r="R132" s="7" t="e" cm="1">
        <f t="array" ref="R132">_xlfn.IFS(S132="YES", "Hourly", T132="YES", "Flat Rate")</f>
        <v>#N/A</v>
      </c>
      <c r="S132" s="8" t="str">
        <f>IF(Raw!CO133=1, "YES", "")</f>
        <v/>
      </c>
      <c r="T132" s="8" t="str">
        <f>IF(Raw!CO133=2, "YES", "")</f>
        <v/>
      </c>
      <c r="U132" s="96" t="str">
        <f>IF(Raw!CP133=1, "YES", "")</f>
        <v/>
      </c>
      <c r="V132" s="96"/>
      <c r="X132" s="23">
        <f>SUMPRODUCT(Raw!$BT$3:$CC$3, Raw!BT133:CC133)</f>
        <v>0</v>
      </c>
      <c r="Y132" s="23">
        <f>SUMPRODUCT(Raw!$BT$3:$CC$3, Raw!BU133:CD133)</f>
        <v>0</v>
      </c>
      <c r="Z132" s="28">
        <f t="shared" ref="Z132:Z195" si="23">X132*5+Y132</f>
        <v>0</v>
      </c>
      <c r="AA132" s="28">
        <f t="shared" ref="AA132:AA195" si="24">X132*261+Y132*52</f>
        <v>0</v>
      </c>
      <c r="AC132">
        <f t="shared" ref="AC132:AC195" si="25">IF(U132="YES", F132*0.6, F132)</f>
        <v>6</v>
      </c>
      <c r="AD132" s="23">
        <f>IF(U132="YES",SUMPRODUCT(Raw!$BT$3:$CC$3,Raw!BT133:CC133)*0.6,SUMPRODUCT(Raw!$BT$3:$CC$3,Raw!BT133:CC133))</f>
        <v>0</v>
      </c>
      <c r="AE132" s="23">
        <f>IF(U132="YES",SUMPRODUCT(Raw!$BT$3:$CC$3,Raw!BU133:CD133)*0.6,SUMPRODUCT(Raw!$BT$3:$CC$3,Raw!BU133:CD133))</f>
        <v>0</v>
      </c>
      <c r="AF132" s="28">
        <f t="shared" ref="AF132:AF195" si="26">AD132*5+AE132</f>
        <v>0</v>
      </c>
      <c r="AG132" s="28">
        <f t="shared" ref="AG132:AG195" si="27">AD132*261+AE132*52</f>
        <v>0</v>
      </c>
      <c r="AI132" s="88" t="str">
        <f t="shared" si="21"/>
        <v>-</v>
      </c>
      <c r="AJ132" s="88" t="str">
        <f t="shared" si="22"/>
        <v>-</v>
      </c>
      <c r="AK132" t="e">
        <f t="shared" ref="AK132:AK195" si="28">(AI132*5+AJ132)*5.5</f>
        <v>#VALUE!</v>
      </c>
      <c r="AL132" t="e">
        <f t="shared" ref="AL132:AL195" si="29">(AI132*261+AJ132*52)*5.5</f>
        <v>#VALUE!</v>
      </c>
    </row>
    <row r="133" spans="1:38" x14ac:dyDescent="0.25">
      <c r="A133" s="4">
        <f>Raw!J134</f>
        <v>215</v>
      </c>
      <c r="B133" s="4" t="str">
        <f>Raw!K134</f>
        <v>La Cruz Ave</v>
      </c>
      <c r="C133" s="4" t="str">
        <f>Raw!L134</f>
        <v>Lewis Ave</v>
      </c>
      <c r="D133" s="4" t="str">
        <f>Raw!M134</f>
        <v>Magnolia Ave</v>
      </c>
      <c r="E133" s="23" t="str">
        <f>Raw!CG134</f>
        <v>S</v>
      </c>
      <c r="F133" s="7">
        <f>Raw!T134</f>
        <v>6</v>
      </c>
      <c r="G133" s="7">
        <f>Raw!AL134</f>
        <v>2</v>
      </c>
      <c r="H133" s="7">
        <f>Raw!AC134</f>
        <v>4</v>
      </c>
      <c r="I133" s="7">
        <f t="shared" si="20"/>
        <v>6</v>
      </c>
      <c r="J133" s="157" t="str">
        <f>Raw!BT134</f>
        <v>NA</v>
      </c>
      <c r="K133" s="157" t="str">
        <f>Raw!AW134</f>
        <v>NA</v>
      </c>
      <c r="L133" s="42" t="str">
        <f>IF(Raw!CE134 = "NA", "-", Raw!CE134)</f>
        <v>-</v>
      </c>
      <c r="M133" s="42" t="str">
        <f>IF(Raw!BH134 = "NA", "-", Raw!BH134)</f>
        <v>-</v>
      </c>
      <c r="N133" s="46" t="str">
        <f>IF(Raw!CD134 = "NA", "-", Raw!CD134)</f>
        <v>-</v>
      </c>
      <c r="O133" s="46" t="str">
        <f>IF(Raw!BG134 = "NA", "-", Raw!BG134)</f>
        <v>-</v>
      </c>
      <c r="P133" s="32" t="str">
        <f>IF(Raw!AW134 = "NA", "-", SUMPRODUCT(Raw!$BT$2:$CC$2, Raw!BT134:CC134))</f>
        <v>-</v>
      </c>
      <c r="Q133" s="32" t="str">
        <f>IF(Raw!AW134 = "NA", "-", SUMPRODUCT(Raw!$AW$2:$BF$2, Raw!AW134:BF134))</f>
        <v>-</v>
      </c>
      <c r="R133" s="7" t="e" cm="1">
        <f t="array" ref="R133">_xlfn.IFS(S133="YES", "Hourly", T133="YES", "Flat Rate")</f>
        <v>#N/A</v>
      </c>
      <c r="S133" s="8" t="str">
        <f>IF(Raw!CO134=1, "YES", "")</f>
        <v/>
      </c>
      <c r="T133" s="8" t="str">
        <f>IF(Raw!CO134=2, "YES", "")</f>
        <v/>
      </c>
      <c r="U133" s="96" t="str">
        <f>IF(Raw!CP134=1, "YES", "")</f>
        <v/>
      </c>
      <c r="V133" s="96"/>
      <c r="X133" s="23">
        <f>SUMPRODUCT(Raw!$BT$3:$CC$3, Raw!BT134:CC134)</f>
        <v>0</v>
      </c>
      <c r="Y133" s="23">
        <f>SUMPRODUCT(Raw!$BT$3:$CC$3, Raw!BU134:CD134)</f>
        <v>0</v>
      </c>
      <c r="Z133" s="28">
        <f t="shared" si="23"/>
        <v>0</v>
      </c>
      <c r="AA133" s="28">
        <f t="shared" si="24"/>
        <v>0</v>
      </c>
      <c r="AC133">
        <f t="shared" si="25"/>
        <v>6</v>
      </c>
      <c r="AD133" s="23">
        <f>IF(U133="YES",SUMPRODUCT(Raw!$BT$3:$CC$3,Raw!BT134:CC134)*0.6,SUMPRODUCT(Raw!$BT$3:$CC$3,Raw!BT134:CC134))</f>
        <v>0</v>
      </c>
      <c r="AE133" s="23">
        <f>IF(U133="YES",SUMPRODUCT(Raw!$BT$3:$CC$3,Raw!BU134:CD134)*0.6,SUMPRODUCT(Raw!$BT$3:$CC$3,Raw!BU134:CD134))</f>
        <v>0</v>
      </c>
      <c r="AF133" s="28">
        <f t="shared" si="26"/>
        <v>0</v>
      </c>
      <c r="AG133" s="28">
        <f t="shared" si="27"/>
        <v>0</v>
      </c>
      <c r="AI133" s="88" t="str">
        <f t="shared" si="21"/>
        <v>-</v>
      </c>
      <c r="AJ133" s="88" t="str">
        <f t="shared" si="22"/>
        <v>-</v>
      </c>
      <c r="AK133" t="e">
        <f t="shared" si="28"/>
        <v>#VALUE!</v>
      </c>
      <c r="AL133" t="e">
        <f t="shared" si="29"/>
        <v>#VALUE!</v>
      </c>
    </row>
    <row r="134" spans="1:38" x14ac:dyDescent="0.25">
      <c r="A134" s="4">
        <f>Raw!J135</f>
        <v>217</v>
      </c>
      <c r="B134" s="4" t="str">
        <f>Raw!K135</f>
        <v>La Cruz Ave</v>
      </c>
      <c r="C134" s="4" t="str">
        <f>Raw!L135</f>
        <v>Broadway</v>
      </c>
      <c r="D134" s="4" t="str">
        <f>Raw!M135</f>
        <v>Magnolia Ave</v>
      </c>
      <c r="E134" s="23" t="str">
        <f>Raw!CG135</f>
        <v>S</v>
      </c>
      <c r="F134" s="7">
        <f>Raw!T135</f>
        <v>6</v>
      </c>
      <c r="G134" s="7">
        <f>Raw!AL135</f>
        <v>0</v>
      </c>
      <c r="H134" s="7">
        <f>Raw!AC135</f>
        <v>1</v>
      </c>
      <c r="I134" s="7">
        <f t="shared" si="20"/>
        <v>1</v>
      </c>
      <c r="J134" s="157">
        <f>Raw!BT135</f>
        <v>0</v>
      </c>
      <c r="K134" s="157">
        <f>Raw!AW135</f>
        <v>27</v>
      </c>
      <c r="L134" s="42">
        <f>IF(Raw!CE135 = "NA", "-", Raw!CE135)</f>
        <v>0</v>
      </c>
      <c r="M134" s="42">
        <f>IF(Raw!BH135 = "NA", "-", Raw!BH135)</f>
        <v>5.5</v>
      </c>
      <c r="N134" s="46">
        <f>IF(Raw!CD135 = "NA", "-", Raw!CD135)</f>
        <v>0</v>
      </c>
      <c r="O134" s="46">
        <f>IF(Raw!BG135 = "NA", "-", Raw!BG135)</f>
        <v>33</v>
      </c>
      <c r="P134" s="32">
        <f>IF(Raw!AW135 = "NA", "-", SUMPRODUCT(Raw!$BT$2:$CC$2, Raw!BT135:CC135))</f>
        <v>0</v>
      </c>
      <c r="Q134" s="32">
        <f>IF(Raw!AW135 = "NA", "-", SUMPRODUCT(Raw!$AW$2:$BF$2, Raw!AW135:BF135))</f>
        <v>47</v>
      </c>
      <c r="R134" s="7" t="str" cm="1">
        <f t="array" ref="R134">_xlfn.IFS(S134="YES", "Hourly", T134="YES", "Flat Rate")</f>
        <v>Hourly</v>
      </c>
      <c r="S134" s="8" t="str">
        <f>IF(Raw!CO135=1, "YES", "")</f>
        <v>YES</v>
      </c>
      <c r="T134" s="8" t="str">
        <f>IF(Raw!CO135=2, "YES", "")</f>
        <v/>
      </c>
      <c r="U134" s="96" t="str">
        <f>IF(Raw!CP135=1, "YES", "")</f>
        <v/>
      </c>
      <c r="V134" s="96"/>
      <c r="X134" s="23">
        <f>SUMPRODUCT(Raw!$BT$3:$CC$3, Raw!BT135:CC135)</f>
        <v>0</v>
      </c>
      <c r="Y134" s="23">
        <f>SUMPRODUCT(Raw!$BT$3:$CC$3, Raw!BU135:CD135)</f>
        <v>0</v>
      </c>
      <c r="Z134" s="28">
        <f t="shared" si="23"/>
        <v>0</v>
      </c>
      <c r="AA134" s="28">
        <f t="shared" si="24"/>
        <v>0</v>
      </c>
      <c r="AC134">
        <f t="shared" si="25"/>
        <v>6</v>
      </c>
      <c r="AD134" s="23">
        <f>IF(U134="YES",SUMPRODUCT(Raw!$BT$3:$CC$3,Raw!BT135:CC135)*0.6,SUMPRODUCT(Raw!$BT$3:$CC$3,Raw!BT135:CC135))</f>
        <v>0</v>
      </c>
      <c r="AE134" s="23">
        <f>IF(U134="YES",SUMPRODUCT(Raw!$BT$3:$CC$3,Raw!BU135:CD135)*0.6,SUMPRODUCT(Raw!$BT$3:$CC$3,Raw!BU135:CD135))</f>
        <v>0</v>
      </c>
      <c r="AF134" s="28">
        <f t="shared" si="26"/>
        <v>0</v>
      </c>
      <c r="AG134" s="28">
        <f t="shared" si="27"/>
        <v>0</v>
      </c>
      <c r="AI134" s="88">
        <f t="shared" si="21"/>
        <v>0</v>
      </c>
      <c r="AJ134" s="88">
        <f t="shared" si="22"/>
        <v>33</v>
      </c>
      <c r="AK134">
        <f t="shared" si="28"/>
        <v>181.5</v>
      </c>
      <c r="AL134">
        <f t="shared" si="29"/>
        <v>9438</v>
      </c>
    </row>
    <row r="135" spans="1:38" x14ac:dyDescent="0.25">
      <c r="A135" s="4">
        <f>Raw!J136</f>
        <v>219</v>
      </c>
      <c r="B135" s="4" t="str">
        <f>Raw!K136</f>
        <v>La Cruz Ave</v>
      </c>
      <c r="C135" s="4" t="str">
        <f>Raw!L136</f>
        <v>Broadway</v>
      </c>
      <c r="D135" s="4" t="str">
        <f>Raw!M136</f>
        <v>El Camino Real</v>
      </c>
      <c r="E135" s="23" t="str">
        <f>Raw!CG136</f>
        <v>S</v>
      </c>
      <c r="F135" s="7">
        <f>Raw!T136</f>
        <v>7</v>
      </c>
      <c r="G135" s="7">
        <f>Raw!AL136</f>
        <v>2</v>
      </c>
      <c r="H135" s="7">
        <f>Raw!AC136</f>
        <v>3</v>
      </c>
      <c r="I135" s="7">
        <f t="shared" si="20"/>
        <v>5</v>
      </c>
      <c r="J135" s="157">
        <f>Raw!BT136</f>
        <v>10</v>
      </c>
      <c r="K135" s="157">
        <f>Raw!AW136</f>
        <v>4</v>
      </c>
      <c r="L135" s="42">
        <f>IF(Raw!CE136 = "NA", "-", Raw!CE136)</f>
        <v>3.4</v>
      </c>
      <c r="M135" s="42">
        <f>IF(Raw!BH136 = "NA", "-", Raw!BH136)</f>
        <v>3.1</v>
      </c>
      <c r="N135" s="46">
        <f>IF(Raw!CD136 = "NA", "-", Raw!CD136)</f>
        <v>24</v>
      </c>
      <c r="O135" s="46">
        <f>IF(Raw!BG136 = "NA", "-", Raw!BG136)</f>
        <v>22</v>
      </c>
      <c r="P135" s="32">
        <f>IF(Raw!AW136 = "NA", "-", SUMPRODUCT(Raw!$BT$2:$CC$2, Raw!BT136:CC136))</f>
        <v>64</v>
      </c>
      <c r="Q135" s="32">
        <f>IF(Raw!AW136 = "NA", "-", SUMPRODUCT(Raw!$AW$2:$BF$2, Raw!AW136:BF136))</f>
        <v>66</v>
      </c>
      <c r="R135" s="7" t="str" cm="1">
        <f t="array" ref="R135">_xlfn.IFS(S135="YES", "Hourly", T135="YES", "Flat Rate")</f>
        <v>Hourly</v>
      </c>
      <c r="S135" s="8" t="str">
        <f>IF(Raw!CO136=1, "YES", "")</f>
        <v>YES</v>
      </c>
      <c r="T135" s="8" t="str">
        <f>IF(Raw!CO136=2, "YES", "")</f>
        <v/>
      </c>
      <c r="U135" s="96" t="str">
        <f>IF(Raw!CP136=1, "YES", "")</f>
        <v/>
      </c>
      <c r="V135" s="96"/>
      <c r="X135" s="23">
        <f>SUMPRODUCT(Raw!$BT$3:$CC$3, Raw!BT136:CC136)</f>
        <v>38</v>
      </c>
      <c r="Y135" s="23">
        <f>SUMPRODUCT(Raw!$BT$3:$CC$3, Raw!BU136:CD136)</f>
        <v>73</v>
      </c>
      <c r="Z135" s="28">
        <f t="shared" si="23"/>
        <v>263</v>
      </c>
      <c r="AA135" s="28">
        <f t="shared" si="24"/>
        <v>13714</v>
      </c>
      <c r="AC135">
        <f t="shared" si="25"/>
        <v>7</v>
      </c>
      <c r="AD135" s="23">
        <f>IF(U135="YES",SUMPRODUCT(Raw!$BT$3:$CC$3,Raw!BT136:CC136)*0.6,SUMPRODUCT(Raw!$BT$3:$CC$3,Raw!BT136:CC136))</f>
        <v>38</v>
      </c>
      <c r="AE135" s="23">
        <f>IF(U135="YES",SUMPRODUCT(Raw!$BT$3:$CC$3,Raw!BU136:CD136)*0.6,SUMPRODUCT(Raw!$BT$3:$CC$3,Raw!BU136:CD136))</f>
        <v>73</v>
      </c>
      <c r="AF135" s="28">
        <f t="shared" si="26"/>
        <v>263</v>
      </c>
      <c r="AG135" s="28">
        <f t="shared" si="27"/>
        <v>13714</v>
      </c>
      <c r="AI135" s="88">
        <f t="shared" si="21"/>
        <v>24</v>
      </c>
      <c r="AJ135" s="88">
        <f t="shared" si="22"/>
        <v>22</v>
      </c>
      <c r="AK135">
        <f t="shared" si="28"/>
        <v>781</v>
      </c>
      <c r="AL135">
        <f t="shared" si="29"/>
        <v>40744</v>
      </c>
    </row>
    <row r="136" spans="1:38" x14ac:dyDescent="0.25">
      <c r="A136" s="4">
        <f>Raw!J137</f>
        <v>126</v>
      </c>
      <c r="B136" s="4" t="str">
        <f>Raw!K137</f>
        <v>El Camino Real</v>
      </c>
      <c r="C136" s="4" t="str">
        <f>Raw!L137</f>
        <v>La Cruz Ave</v>
      </c>
      <c r="D136" s="4" t="str">
        <f>Raw!M137</f>
        <v>Victoria Ave</v>
      </c>
      <c r="E136" s="23" t="str">
        <f>Raw!CG137</f>
        <v>W</v>
      </c>
      <c r="F136" s="7">
        <f>Raw!T137</f>
        <v>20</v>
      </c>
      <c r="G136" s="7">
        <f>Raw!AL137</f>
        <v>0</v>
      </c>
      <c r="H136" s="7">
        <f>Raw!AC137</f>
        <v>1</v>
      </c>
      <c r="I136" s="7">
        <f t="shared" si="20"/>
        <v>1</v>
      </c>
      <c r="J136" s="157">
        <f>Raw!BT137</f>
        <v>30</v>
      </c>
      <c r="K136" s="157">
        <f>Raw!AW137</f>
        <v>23</v>
      </c>
      <c r="L136" s="42">
        <f>IF(Raw!CE137 = "NA", "-", Raw!CE137)</f>
        <v>3.2</v>
      </c>
      <c r="M136" s="42">
        <f>IF(Raw!BH137 = "NA", "-", Raw!BH137)</f>
        <v>3.3</v>
      </c>
      <c r="N136" s="46">
        <f>IF(Raw!CD137 = "NA", "-", Raw!CD137)</f>
        <v>64</v>
      </c>
      <c r="O136" s="46">
        <f>IF(Raw!BG137 = "NA", "-", Raw!BG137)</f>
        <v>65</v>
      </c>
      <c r="P136" s="32">
        <f>IF(Raw!AW137 = "NA", "-", SUMPRODUCT(Raw!$BT$2:$CC$2, Raw!BT137:CC137))</f>
        <v>139</v>
      </c>
      <c r="Q136" s="32">
        <f>IF(Raw!AW137 = "NA", "-", SUMPRODUCT(Raw!$AW$2:$BF$2, Raw!AW137:BF137))</f>
        <v>145</v>
      </c>
      <c r="R136" s="7" t="str" cm="1">
        <f t="array" ref="R136">_xlfn.IFS(S136="YES", "Hourly", T136="YES", "Flat Rate")</f>
        <v>Hourly</v>
      </c>
      <c r="S136" s="8" t="str">
        <f>IF(Raw!CO137=1, "YES", "")</f>
        <v>YES</v>
      </c>
      <c r="T136" s="8" t="str">
        <f>IF(Raw!CO137=2, "YES", "")</f>
        <v/>
      </c>
      <c r="U136" s="96" t="str">
        <f>IF(Raw!CP137=1, "YES", "")</f>
        <v/>
      </c>
      <c r="V136" s="96"/>
      <c r="X136" s="23">
        <f>SUMPRODUCT(Raw!$BT$3:$CC$3, Raw!BT137:CC137)</f>
        <v>98</v>
      </c>
      <c r="Y136" s="23">
        <f>SUMPRODUCT(Raw!$BT$3:$CC$3, Raw!BU137:CD137)</f>
        <v>176</v>
      </c>
      <c r="Z136" s="28">
        <f t="shared" si="23"/>
        <v>666</v>
      </c>
      <c r="AA136" s="28">
        <f t="shared" si="24"/>
        <v>34730</v>
      </c>
      <c r="AC136">
        <f t="shared" si="25"/>
        <v>20</v>
      </c>
      <c r="AD136" s="23">
        <f>IF(U136="YES",SUMPRODUCT(Raw!$BT$3:$CC$3,Raw!BT137:CC137)*0.6,SUMPRODUCT(Raw!$BT$3:$CC$3,Raw!BT137:CC137))</f>
        <v>98</v>
      </c>
      <c r="AE136" s="23">
        <f>IF(U136="YES",SUMPRODUCT(Raw!$BT$3:$CC$3,Raw!BU137:CD137)*0.6,SUMPRODUCT(Raw!$BT$3:$CC$3,Raw!BU137:CD137))</f>
        <v>176</v>
      </c>
      <c r="AF136" s="28">
        <f t="shared" si="26"/>
        <v>666</v>
      </c>
      <c r="AG136" s="28">
        <f t="shared" si="27"/>
        <v>34730</v>
      </c>
      <c r="AI136" s="88">
        <f t="shared" si="21"/>
        <v>64</v>
      </c>
      <c r="AJ136" s="88">
        <f t="shared" si="22"/>
        <v>65</v>
      </c>
      <c r="AK136">
        <f t="shared" si="28"/>
        <v>2117.5</v>
      </c>
      <c r="AL136">
        <f t="shared" si="29"/>
        <v>110462</v>
      </c>
    </row>
    <row r="137" spans="1:38" x14ac:dyDescent="0.25">
      <c r="A137" s="4">
        <f>Raw!J138</f>
        <v>91</v>
      </c>
      <c r="B137" s="4" t="str">
        <f>Raw!K138</f>
        <v>Broadway</v>
      </c>
      <c r="C137" s="4" t="str">
        <f>Raw!L138</f>
        <v>Victoria Ave</v>
      </c>
      <c r="D137" s="4" t="str">
        <f>Raw!M138</f>
        <v>La Cruz Ave</v>
      </c>
      <c r="E137" s="23" t="str">
        <f>Raw!CG138</f>
        <v>E</v>
      </c>
      <c r="F137" s="7">
        <f>Raw!T138</f>
        <v>15</v>
      </c>
      <c r="G137" s="7">
        <f>Raw!AL138</f>
        <v>2</v>
      </c>
      <c r="H137" s="7">
        <f>Raw!AC138</f>
        <v>3</v>
      </c>
      <c r="I137" s="7">
        <f t="shared" si="20"/>
        <v>5</v>
      </c>
      <c r="J137" s="157">
        <f>Raw!BT138</f>
        <v>88</v>
      </c>
      <c r="K137" s="157">
        <f>Raw!AW138</f>
        <v>70</v>
      </c>
      <c r="L137" s="42">
        <f>IF(Raw!CE138 = "NA", "-", Raw!CE138)</f>
        <v>6.7</v>
      </c>
      <c r="M137" s="42">
        <f>IF(Raw!BH138 = "NA", "-", Raw!BH138)</f>
        <v>6.1</v>
      </c>
      <c r="N137" s="46">
        <f>IF(Raw!CD138 = "NA", "-", Raw!CD138)</f>
        <v>100</v>
      </c>
      <c r="O137" s="46">
        <f>IF(Raw!BG138 = "NA", "-", Raw!BG138)</f>
        <v>91</v>
      </c>
      <c r="P137" s="32">
        <f>IF(Raw!AW138 = "NA", "-", SUMPRODUCT(Raw!$BT$2:$CC$2, Raw!BT138:CC138))</f>
        <v>131</v>
      </c>
      <c r="Q137" s="32">
        <f>IF(Raw!AW138 = "NA", "-", SUMPRODUCT(Raw!$AW$2:$BF$2, Raw!AW138:BF138))</f>
        <v>122</v>
      </c>
      <c r="R137" s="7" t="str" cm="1">
        <f t="array" ref="R137">_xlfn.IFS(S137="YES", "Hourly", T137="YES", "Flat Rate")</f>
        <v>Hourly</v>
      </c>
      <c r="S137" s="8" t="str">
        <f>IF(Raw!CO138=1, "YES", "")</f>
        <v>YES</v>
      </c>
      <c r="T137" s="8" t="str">
        <f>IF(Raw!CO138=2, "YES", "")</f>
        <v/>
      </c>
      <c r="U137" s="96" t="str">
        <f>IF(Raw!CP138=1, "YES", "")</f>
        <v>YES</v>
      </c>
      <c r="V137" s="96"/>
      <c r="X137" s="23">
        <f>SUMPRODUCT(Raw!$BT$3:$CC$3, Raw!BT138:CC138)</f>
        <v>112</v>
      </c>
      <c r="Y137" s="23">
        <f>SUMPRODUCT(Raw!$BT$3:$CC$3, Raw!BU138:CD138)</f>
        <v>219</v>
      </c>
      <c r="Z137" s="28">
        <f t="shared" si="23"/>
        <v>779</v>
      </c>
      <c r="AA137" s="28">
        <f t="shared" si="24"/>
        <v>40620</v>
      </c>
      <c r="AC137">
        <f t="shared" si="25"/>
        <v>9</v>
      </c>
      <c r="AD137" s="23">
        <f>IF(U137="YES",SUMPRODUCT(Raw!$BT$3:$CC$3,Raw!BT138:CC138)*0.6,SUMPRODUCT(Raw!$BT$3:$CC$3,Raw!BT138:CC138))</f>
        <v>67.2</v>
      </c>
      <c r="AE137" s="23">
        <f>IF(U137="YES",SUMPRODUCT(Raw!$BT$3:$CC$3,Raw!BU138:CD138)*0.6,SUMPRODUCT(Raw!$BT$3:$CC$3,Raw!BU138:CD138))</f>
        <v>131.4</v>
      </c>
      <c r="AF137" s="28">
        <f t="shared" si="26"/>
        <v>467.4</v>
      </c>
      <c r="AG137" s="28">
        <f t="shared" si="27"/>
        <v>24372</v>
      </c>
      <c r="AI137" s="88">
        <f t="shared" si="21"/>
        <v>100</v>
      </c>
      <c r="AJ137" s="88">
        <f t="shared" si="22"/>
        <v>91</v>
      </c>
      <c r="AK137">
        <f t="shared" si="28"/>
        <v>3250.5</v>
      </c>
      <c r="AL137">
        <f t="shared" si="29"/>
        <v>169576</v>
      </c>
    </row>
    <row r="138" spans="1:38" x14ac:dyDescent="0.25">
      <c r="A138" s="4">
        <f>Raw!J139</f>
        <v>90</v>
      </c>
      <c r="B138" s="4" t="str">
        <f>Raw!K139</f>
        <v>Broadway</v>
      </c>
      <c r="C138" s="4" t="str">
        <f>Raw!L139</f>
        <v>La Cruz Ave</v>
      </c>
      <c r="D138" s="4" t="str">
        <f>Raw!M139</f>
        <v>Victoria Ave</v>
      </c>
      <c r="E138" s="23" t="str">
        <f>Raw!CG139</f>
        <v>W</v>
      </c>
      <c r="F138" s="7">
        <f>Raw!T139</f>
        <v>21</v>
      </c>
      <c r="G138" s="7">
        <f>Raw!AL139</f>
        <v>1</v>
      </c>
      <c r="H138" s="7">
        <f>Raw!AC139</f>
        <v>2</v>
      </c>
      <c r="I138" s="7">
        <f t="shared" si="20"/>
        <v>3</v>
      </c>
      <c r="J138" s="157">
        <f>Raw!BT139</f>
        <v>76</v>
      </c>
      <c r="K138" s="157">
        <f>Raw!AW139</f>
        <v>96</v>
      </c>
      <c r="L138" s="42">
        <f>IF(Raw!CE139 = "NA", "-", Raw!CE139)</f>
        <v>5.0999999999999996</v>
      </c>
      <c r="M138" s="42">
        <f>IF(Raw!BH139 = "NA", "-", Raw!BH139)</f>
        <v>6.1</v>
      </c>
      <c r="N138" s="46">
        <f>IF(Raw!CD139 = "NA", "-", Raw!CD139)</f>
        <v>108</v>
      </c>
      <c r="O138" s="46">
        <f>IF(Raw!BG139 = "NA", "-", Raw!BG139)</f>
        <v>128</v>
      </c>
      <c r="P138" s="32">
        <f>IF(Raw!AW139 = "NA", "-", SUMPRODUCT(Raw!$BT$2:$CC$2, Raw!BT139:CC139))</f>
        <v>161</v>
      </c>
      <c r="Q138" s="32">
        <f>IF(Raw!AW139 = "NA", "-", SUMPRODUCT(Raw!$AW$2:$BF$2, Raw!AW139:BF139))</f>
        <v>176</v>
      </c>
      <c r="R138" s="7" t="str" cm="1">
        <f t="array" ref="R138">_xlfn.IFS(S138="YES", "Hourly", T138="YES", "Flat Rate")</f>
        <v>Hourly</v>
      </c>
      <c r="S138" s="8" t="str">
        <f>IF(Raw!CO139=1, "YES", "")</f>
        <v>YES</v>
      </c>
      <c r="T138" s="8" t="str">
        <f>IF(Raw!CO139=2, "YES", "")</f>
        <v/>
      </c>
      <c r="U138" s="96" t="str">
        <f>IF(Raw!CP139=1, "YES", "")</f>
        <v>YES</v>
      </c>
      <c r="V138" s="96"/>
      <c r="X138" s="23">
        <f>SUMPRODUCT(Raw!$BT$3:$CC$3, Raw!BT139:CC139)</f>
        <v>140</v>
      </c>
      <c r="Y138" s="23">
        <f>SUMPRODUCT(Raw!$BT$3:$CC$3, Raw!BU139:CD139)</f>
        <v>257</v>
      </c>
      <c r="Z138" s="28">
        <f t="shared" si="23"/>
        <v>957</v>
      </c>
      <c r="AA138" s="28">
        <f t="shared" si="24"/>
        <v>49904</v>
      </c>
      <c r="AC138">
        <f t="shared" si="25"/>
        <v>12.6</v>
      </c>
      <c r="AD138" s="23">
        <f>IF(U138="YES",SUMPRODUCT(Raw!$BT$3:$CC$3,Raw!BT139:CC139)*0.6,SUMPRODUCT(Raw!$BT$3:$CC$3,Raw!BT139:CC139))</f>
        <v>84</v>
      </c>
      <c r="AE138" s="23">
        <f>IF(U138="YES",SUMPRODUCT(Raw!$BT$3:$CC$3,Raw!BU139:CD139)*0.6,SUMPRODUCT(Raw!$BT$3:$CC$3,Raw!BU139:CD139))</f>
        <v>154.19999999999999</v>
      </c>
      <c r="AF138" s="28">
        <f t="shared" si="26"/>
        <v>574.20000000000005</v>
      </c>
      <c r="AG138" s="28">
        <f t="shared" si="27"/>
        <v>29942.400000000001</v>
      </c>
      <c r="AI138" s="88">
        <f t="shared" si="21"/>
        <v>108</v>
      </c>
      <c r="AJ138" s="88">
        <f t="shared" si="22"/>
        <v>128</v>
      </c>
      <c r="AK138">
        <f t="shared" si="28"/>
        <v>3674</v>
      </c>
      <c r="AL138">
        <f t="shared" si="29"/>
        <v>191642</v>
      </c>
    </row>
    <row r="139" spans="1:38" x14ac:dyDescent="0.25">
      <c r="A139" s="4">
        <f>Raw!J140</f>
        <v>59</v>
      </c>
      <c r="B139" s="4" t="str">
        <f>Raw!K140</f>
        <v>Magnolia Ave</v>
      </c>
      <c r="C139" s="4" t="str">
        <f>Raw!L140</f>
        <v>Victoria Ave</v>
      </c>
      <c r="D139" s="4" t="str">
        <f>Raw!M140</f>
        <v>La Cruz Ave</v>
      </c>
      <c r="E139" s="23" t="str">
        <f>Raw!CG140</f>
        <v>E</v>
      </c>
      <c r="F139" s="7">
        <f>Raw!T140</f>
        <v>12</v>
      </c>
      <c r="G139" s="7">
        <f>Raw!AL140</f>
        <v>2</v>
      </c>
      <c r="H139" s="7">
        <f>Raw!AC140</f>
        <v>3</v>
      </c>
      <c r="I139" s="7">
        <f t="shared" si="20"/>
        <v>5</v>
      </c>
      <c r="J139" s="157" t="str">
        <f>Raw!BT140</f>
        <v>NA</v>
      </c>
      <c r="K139" s="157" t="str">
        <f>Raw!AW140</f>
        <v>NA</v>
      </c>
      <c r="L139" s="42" t="str">
        <f>IF(Raw!CE140 = "NA", "-", Raw!CE140)</f>
        <v>-</v>
      </c>
      <c r="M139" s="42" t="str">
        <f>IF(Raw!BH140 = "NA", "-", Raw!BH140)</f>
        <v>-</v>
      </c>
      <c r="N139" s="46" t="str">
        <f>IF(Raw!CD140 = "NA", "-", Raw!CD140)</f>
        <v>-</v>
      </c>
      <c r="O139" s="46" t="str">
        <f>IF(Raw!BG140 = "NA", "-", Raw!BG140)</f>
        <v>-</v>
      </c>
      <c r="P139" s="32" t="str">
        <f>IF(Raw!AW140 = "NA", "-", SUMPRODUCT(Raw!$BT$2:$CC$2, Raw!BT140:CC140))</f>
        <v>-</v>
      </c>
      <c r="Q139" s="32" t="str">
        <f>IF(Raw!AW140 = "NA", "-", SUMPRODUCT(Raw!$AW$2:$BF$2, Raw!AW140:BF140))</f>
        <v>-</v>
      </c>
      <c r="R139" s="7" t="e" cm="1">
        <f t="array" ref="R139">_xlfn.IFS(S139="YES", "Hourly", T139="YES", "Flat Rate")</f>
        <v>#N/A</v>
      </c>
      <c r="S139" s="8" t="str">
        <f>IF(Raw!CO140=1, "YES", "")</f>
        <v/>
      </c>
      <c r="T139" s="8" t="str">
        <f>IF(Raw!CO140=2, "YES", "")</f>
        <v/>
      </c>
      <c r="U139" s="96" t="str">
        <f>IF(Raw!CP140=1, "YES", "")</f>
        <v/>
      </c>
      <c r="V139" s="96"/>
      <c r="X139" s="23">
        <f>SUMPRODUCT(Raw!$BT$3:$CC$3, Raw!BT140:CC140)</f>
        <v>0</v>
      </c>
      <c r="Y139" s="23">
        <f>SUMPRODUCT(Raw!$BT$3:$CC$3, Raw!BU140:CD140)</f>
        <v>0</v>
      </c>
      <c r="Z139" s="28">
        <f t="shared" si="23"/>
        <v>0</v>
      </c>
      <c r="AA139" s="28">
        <f t="shared" si="24"/>
        <v>0</v>
      </c>
      <c r="AC139">
        <f t="shared" si="25"/>
        <v>12</v>
      </c>
      <c r="AD139" s="23">
        <f>IF(U139="YES",SUMPRODUCT(Raw!$BT$3:$CC$3,Raw!BT140:CC140)*0.6,SUMPRODUCT(Raw!$BT$3:$CC$3,Raw!BT140:CC140))</f>
        <v>0</v>
      </c>
      <c r="AE139" s="23">
        <f>IF(U139="YES",SUMPRODUCT(Raw!$BT$3:$CC$3,Raw!BU140:CD140)*0.6,SUMPRODUCT(Raw!$BT$3:$CC$3,Raw!BU140:CD140))</f>
        <v>0</v>
      </c>
      <c r="AF139" s="28">
        <f t="shared" si="26"/>
        <v>0</v>
      </c>
      <c r="AG139" s="28">
        <f t="shared" si="27"/>
        <v>0</v>
      </c>
      <c r="AI139" s="88" t="str">
        <f t="shared" si="21"/>
        <v>-</v>
      </c>
      <c r="AJ139" s="88" t="str">
        <f t="shared" si="22"/>
        <v>-</v>
      </c>
      <c r="AK139" t="e">
        <f t="shared" si="28"/>
        <v>#VALUE!</v>
      </c>
      <c r="AL139" t="e">
        <f t="shared" si="29"/>
        <v>#VALUE!</v>
      </c>
    </row>
    <row r="140" spans="1:38" x14ac:dyDescent="0.25">
      <c r="A140" s="4">
        <f>Raw!J141</f>
        <v>58</v>
      </c>
      <c r="B140" s="4" t="str">
        <f>Raw!K141</f>
        <v>Magnolia Ave</v>
      </c>
      <c r="C140" s="4" t="str">
        <f>Raw!L141</f>
        <v>La Cruz Ave</v>
      </c>
      <c r="D140" s="4" t="str">
        <f>Raw!M141</f>
        <v>Victoria Ave</v>
      </c>
      <c r="E140" s="23" t="str">
        <f>Raw!CG141</f>
        <v>W</v>
      </c>
      <c r="F140" s="7">
        <f>Raw!T141</f>
        <v>13</v>
      </c>
      <c r="G140" s="7">
        <f>Raw!AL141</f>
        <v>2</v>
      </c>
      <c r="H140" s="7">
        <f>Raw!AC141</f>
        <v>3</v>
      </c>
      <c r="I140" s="7">
        <f t="shared" si="20"/>
        <v>5</v>
      </c>
      <c r="J140" s="157" t="str">
        <f>Raw!BT141</f>
        <v>NA</v>
      </c>
      <c r="K140" s="157" t="str">
        <f>Raw!AW141</f>
        <v>NA</v>
      </c>
      <c r="L140" s="42" t="str">
        <f>IF(Raw!CE141 = "NA", "-", Raw!CE141)</f>
        <v>-</v>
      </c>
      <c r="M140" s="42" t="str">
        <f>IF(Raw!BH141 = "NA", "-", Raw!BH141)</f>
        <v>-</v>
      </c>
      <c r="N140" s="46" t="str">
        <f>IF(Raw!CD141 = "NA", "-", Raw!CD141)</f>
        <v>-</v>
      </c>
      <c r="O140" s="46" t="str">
        <f>IF(Raw!BG141 = "NA", "-", Raw!BG141)</f>
        <v>-</v>
      </c>
      <c r="P140" s="32" t="str">
        <f>IF(Raw!AW141 = "NA", "-", SUMPRODUCT(Raw!$BT$2:$CC$2, Raw!BT141:CC141))</f>
        <v>-</v>
      </c>
      <c r="Q140" s="32" t="str">
        <f>IF(Raw!AW141 = "NA", "-", SUMPRODUCT(Raw!$AW$2:$BF$2, Raw!AW141:BF141))</f>
        <v>-</v>
      </c>
      <c r="R140" s="7" t="e" cm="1">
        <f t="array" ref="R140">_xlfn.IFS(S140="YES", "Hourly", T140="YES", "Flat Rate")</f>
        <v>#N/A</v>
      </c>
      <c r="S140" s="8" t="str">
        <f>IF(Raw!CO141=1, "YES", "")</f>
        <v/>
      </c>
      <c r="T140" s="8" t="str">
        <f>IF(Raw!CO141=2, "YES", "")</f>
        <v/>
      </c>
      <c r="U140" s="96" t="str">
        <f>IF(Raw!CP141=1, "YES", "")</f>
        <v/>
      </c>
      <c r="V140" s="96"/>
      <c r="X140" s="23">
        <f>SUMPRODUCT(Raw!$BT$3:$CC$3, Raw!BT141:CC141)</f>
        <v>0</v>
      </c>
      <c r="Y140" s="23">
        <f>SUMPRODUCT(Raw!$BT$3:$CC$3, Raw!BU141:CD141)</f>
        <v>0</v>
      </c>
      <c r="Z140" s="28">
        <f t="shared" si="23"/>
        <v>0</v>
      </c>
      <c r="AA140" s="28">
        <f t="shared" si="24"/>
        <v>0</v>
      </c>
      <c r="AC140">
        <f t="shared" si="25"/>
        <v>13</v>
      </c>
      <c r="AD140" s="23">
        <f>IF(U140="YES",SUMPRODUCT(Raw!$BT$3:$CC$3,Raw!BT141:CC141)*0.6,SUMPRODUCT(Raw!$BT$3:$CC$3,Raw!BT141:CC141))</f>
        <v>0</v>
      </c>
      <c r="AE140" s="23">
        <f>IF(U140="YES",SUMPRODUCT(Raw!$BT$3:$CC$3,Raw!BU141:CD141)*0.6,SUMPRODUCT(Raw!$BT$3:$CC$3,Raw!BU141:CD141))</f>
        <v>0</v>
      </c>
      <c r="AF140" s="28">
        <f t="shared" si="26"/>
        <v>0</v>
      </c>
      <c r="AG140" s="28">
        <f t="shared" si="27"/>
        <v>0</v>
      </c>
      <c r="AI140" s="88" t="str">
        <f t="shared" si="21"/>
        <v>-</v>
      </c>
      <c r="AJ140" s="88" t="str">
        <f t="shared" si="22"/>
        <v>-</v>
      </c>
      <c r="AK140" t="e">
        <f t="shared" si="28"/>
        <v>#VALUE!</v>
      </c>
      <c r="AL140" t="e">
        <f t="shared" si="29"/>
        <v>#VALUE!</v>
      </c>
    </row>
    <row r="141" spans="1:38" x14ac:dyDescent="0.25">
      <c r="A141" s="4">
        <f>Raw!J142</f>
        <v>41</v>
      </c>
      <c r="B141" s="4" t="str">
        <f>Raw!K142</f>
        <v>Lewis Ave</v>
      </c>
      <c r="C141" s="4" t="str">
        <f>Raw!L142</f>
        <v>Victoria Ave</v>
      </c>
      <c r="D141" s="4" t="str">
        <f>Raw!M142</f>
        <v>La Cruz Ave</v>
      </c>
      <c r="E141" s="23" t="str">
        <f>Raw!CG142</f>
        <v>E</v>
      </c>
      <c r="F141" s="7">
        <f>Raw!T142</f>
        <v>11</v>
      </c>
      <c r="G141" s="7">
        <f>Raw!AL142</f>
        <v>4</v>
      </c>
      <c r="H141" s="7">
        <f>Raw!AC142</f>
        <v>3</v>
      </c>
      <c r="I141" s="7">
        <f t="shared" si="20"/>
        <v>7</v>
      </c>
      <c r="J141" s="157" t="str">
        <f>Raw!BT142</f>
        <v>NA</v>
      </c>
      <c r="K141" s="157" t="str">
        <f>Raw!AW142</f>
        <v>NA</v>
      </c>
      <c r="L141" s="42" t="str">
        <f>IF(Raw!CE142 = "NA", "-", Raw!CE142)</f>
        <v>-</v>
      </c>
      <c r="M141" s="42" t="str">
        <f>IF(Raw!BH142 = "NA", "-", Raw!BH142)</f>
        <v>-</v>
      </c>
      <c r="N141" s="46" t="str">
        <f>IF(Raw!CD142 = "NA", "-", Raw!CD142)</f>
        <v>-</v>
      </c>
      <c r="O141" s="46" t="str">
        <f>IF(Raw!BG142 = "NA", "-", Raw!BG142)</f>
        <v>-</v>
      </c>
      <c r="P141" s="32" t="str">
        <f>IF(Raw!AW142 = "NA", "-", SUMPRODUCT(Raw!$BT$2:$CC$2, Raw!BT142:CC142))</f>
        <v>-</v>
      </c>
      <c r="Q141" s="32" t="str">
        <f>IF(Raw!AW142 = "NA", "-", SUMPRODUCT(Raw!$AW$2:$BF$2, Raw!AW142:BF142))</f>
        <v>-</v>
      </c>
      <c r="R141" s="7" t="e" cm="1">
        <f t="array" ref="R141">_xlfn.IFS(S141="YES", "Hourly", T141="YES", "Flat Rate")</f>
        <v>#N/A</v>
      </c>
      <c r="S141" s="8" t="str">
        <f>IF(Raw!CO142=1, "YES", "")</f>
        <v/>
      </c>
      <c r="T141" s="8" t="str">
        <f>IF(Raw!CO142=2, "YES", "")</f>
        <v/>
      </c>
      <c r="U141" s="96" t="str">
        <f>IF(Raw!CP142=1, "YES", "")</f>
        <v/>
      </c>
      <c r="V141" s="96"/>
      <c r="X141" s="23">
        <f>SUMPRODUCT(Raw!$BT$3:$CC$3, Raw!BT142:CC142)</f>
        <v>0</v>
      </c>
      <c r="Y141" s="23">
        <f>SUMPRODUCT(Raw!$BT$3:$CC$3, Raw!BU142:CD142)</f>
        <v>0</v>
      </c>
      <c r="Z141" s="28">
        <f t="shared" si="23"/>
        <v>0</v>
      </c>
      <c r="AA141" s="28">
        <f t="shared" si="24"/>
        <v>0</v>
      </c>
      <c r="AC141">
        <f t="shared" si="25"/>
        <v>11</v>
      </c>
      <c r="AD141" s="23">
        <f>IF(U141="YES",SUMPRODUCT(Raw!$BT$3:$CC$3,Raw!BT142:CC142)*0.6,SUMPRODUCT(Raw!$BT$3:$CC$3,Raw!BT142:CC142))</f>
        <v>0</v>
      </c>
      <c r="AE141" s="23">
        <f>IF(U141="YES",SUMPRODUCT(Raw!$BT$3:$CC$3,Raw!BU142:CD142)*0.6,SUMPRODUCT(Raw!$BT$3:$CC$3,Raw!BU142:CD142))</f>
        <v>0</v>
      </c>
      <c r="AF141" s="28">
        <f t="shared" si="26"/>
        <v>0</v>
      </c>
      <c r="AG141" s="28">
        <f t="shared" si="27"/>
        <v>0</v>
      </c>
      <c r="AI141" s="88" t="str">
        <f t="shared" si="21"/>
        <v>-</v>
      </c>
      <c r="AJ141" s="88" t="str">
        <f t="shared" si="22"/>
        <v>-</v>
      </c>
      <c r="AK141" t="e">
        <f t="shared" si="28"/>
        <v>#VALUE!</v>
      </c>
      <c r="AL141" t="e">
        <f t="shared" si="29"/>
        <v>#VALUE!</v>
      </c>
    </row>
    <row r="142" spans="1:38" x14ac:dyDescent="0.25">
      <c r="A142" s="4">
        <f>Raw!J143</f>
        <v>40</v>
      </c>
      <c r="B142" s="4" t="str">
        <f>Raw!K143</f>
        <v>Lewis Ave</v>
      </c>
      <c r="C142" s="4" t="str">
        <f>Raw!L143</f>
        <v>La Cruz Ave</v>
      </c>
      <c r="D142" s="4" t="str">
        <f>Raw!M143</f>
        <v>Chadbourne Ave</v>
      </c>
      <c r="E142" s="23" t="str">
        <f>Raw!CG143</f>
        <v>W</v>
      </c>
      <c r="F142" s="7">
        <f>Raw!T143</f>
        <v>32</v>
      </c>
      <c r="G142" s="7">
        <f>Raw!AL143</f>
        <v>0</v>
      </c>
      <c r="H142" s="7">
        <f>Raw!AC143</f>
        <v>0</v>
      </c>
      <c r="I142" s="7">
        <f t="shared" si="20"/>
        <v>0</v>
      </c>
      <c r="J142" s="157" t="str">
        <f>Raw!BT143</f>
        <v>NA</v>
      </c>
      <c r="K142" s="157" t="str">
        <f>Raw!AW143</f>
        <v>NA</v>
      </c>
      <c r="L142" s="42" t="str">
        <f>IF(Raw!CE143 = "NA", "-", Raw!CE143)</f>
        <v>-</v>
      </c>
      <c r="M142" s="42" t="str">
        <f>IF(Raw!BH143 = "NA", "-", Raw!BH143)</f>
        <v>-</v>
      </c>
      <c r="N142" s="46" t="str">
        <f>IF(Raw!CD143 = "NA", "-", Raw!CD143)</f>
        <v>-</v>
      </c>
      <c r="O142" s="46" t="str">
        <f>IF(Raw!BG143 = "NA", "-", Raw!BG143)</f>
        <v>-</v>
      </c>
      <c r="P142" s="32" t="str">
        <f>IF(Raw!AW143 = "NA", "-", SUMPRODUCT(Raw!$BT$2:$CC$2, Raw!BT143:CC143))</f>
        <v>-</v>
      </c>
      <c r="Q142" s="32" t="str">
        <f>IF(Raw!AW143 = "NA", "-", SUMPRODUCT(Raw!$AW$2:$BF$2, Raw!AW143:BF143))</f>
        <v>-</v>
      </c>
      <c r="R142" s="7" t="e" cm="1">
        <f t="array" ref="R142">_xlfn.IFS(S142="YES", "Hourly", T142="YES", "Flat Rate")</f>
        <v>#N/A</v>
      </c>
      <c r="S142" s="8" t="str">
        <f>IF(Raw!CO143=1, "YES", "")</f>
        <v/>
      </c>
      <c r="T142" s="8" t="str">
        <f>IF(Raw!CO143=2, "YES", "")</f>
        <v/>
      </c>
      <c r="U142" s="96" t="str">
        <f>IF(Raw!CP143=1, "YES", "")</f>
        <v/>
      </c>
      <c r="V142" s="96"/>
      <c r="X142" s="23">
        <f>SUMPRODUCT(Raw!$BT$3:$CC$3, Raw!BT143:CC143)</f>
        <v>0</v>
      </c>
      <c r="Y142" s="23">
        <f>SUMPRODUCT(Raw!$BT$3:$CC$3, Raw!BU143:CD143)</f>
        <v>0</v>
      </c>
      <c r="Z142" s="28">
        <f t="shared" si="23"/>
        <v>0</v>
      </c>
      <c r="AA142" s="28">
        <f t="shared" si="24"/>
        <v>0</v>
      </c>
      <c r="AC142">
        <f t="shared" si="25"/>
        <v>32</v>
      </c>
      <c r="AD142" s="23">
        <f>IF(U142="YES",SUMPRODUCT(Raw!$BT$3:$CC$3,Raw!BT143:CC143)*0.6,SUMPRODUCT(Raw!$BT$3:$CC$3,Raw!BT143:CC143))</f>
        <v>0</v>
      </c>
      <c r="AE142" s="23">
        <f>IF(U142="YES",SUMPRODUCT(Raw!$BT$3:$CC$3,Raw!BU143:CD143)*0.6,SUMPRODUCT(Raw!$BT$3:$CC$3,Raw!BU143:CD143))</f>
        <v>0</v>
      </c>
      <c r="AF142" s="28">
        <f t="shared" si="26"/>
        <v>0</v>
      </c>
      <c r="AG142" s="28">
        <f t="shared" si="27"/>
        <v>0</v>
      </c>
      <c r="AI142" s="88" t="str">
        <f t="shared" si="21"/>
        <v>-</v>
      </c>
      <c r="AJ142" s="88" t="str">
        <f t="shared" si="22"/>
        <v>-</v>
      </c>
      <c r="AK142" t="e">
        <f t="shared" si="28"/>
        <v>#VALUE!</v>
      </c>
      <c r="AL142" t="e">
        <f t="shared" si="29"/>
        <v>#VALUE!</v>
      </c>
    </row>
    <row r="143" spans="1:38" x14ac:dyDescent="0.25">
      <c r="A143" s="4">
        <f>Raw!J144</f>
        <v>37</v>
      </c>
      <c r="B143" s="4" t="str">
        <f>Raw!K144</f>
        <v>Willow Ave</v>
      </c>
      <c r="C143" s="4" t="str">
        <f>Raw!L144</f>
        <v>Chadbourne Ave</v>
      </c>
      <c r="D143" s="4" t="str">
        <f>Raw!M144</f>
        <v>La Cruz Ave</v>
      </c>
      <c r="E143" s="23" t="str">
        <f>Raw!CG144</f>
        <v>E</v>
      </c>
      <c r="F143" s="7">
        <f>Raw!T144</f>
        <v>28</v>
      </c>
      <c r="G143" s="7">
        <f>Raw!AL144</f>
        <v>1</v>
      </c>
      <c r="H143" s="7">
        <f>Raw!AC144</f>
        <v>1</v>
      </c>
      <c r="I143" s="7">
        <f t="shared" si="20"/>
        <v>2</v>
      </c>
      <c r="J143" s="157" t="str">
        <f>Raw!BT144</f>
        <v>NA</v>
      </c>
      <c r="K143" s="157" t="str">
        <f>Raw!AW144</f>
        <v>NA</v>
      </c>
      <c r="L143" s="42" t="str">
        <f>IF(Raw!CE144 = "NA", "-", Raw!CE144)</f>
        <v>-</v>
      </c>
      <c r="M143" s="42" t="str">
        <f>IF(Raw!BH144 = "NA", "-", Raw!BH144)</f>
        <v>-</v>
      </c>
      <c r="N143" s="46" t="str">
        <f>IF(Raw!CD144 = "NA", "-", Raw!CD144)</f>
        <v>-</v>
      </c>
      <c r="O143" s="46" t="str">
        <f>IF(Raw!BG144 = "NA", "-", Raw!BG144)</f>
        <v>-</v>
      </c>
      <c r="P143" s="32" t="str">
        <f>IF(Raw!AW144 = "NA", "-", SUMPRODUCT(Raw!$BT$2:$CC$2, Raw!BT144:CC144))</f>
        <v>-</v>
      </c>
      <c r="Q143" s="32" t="str">
        <f>IF(Raw!AW144 = "NA", "-", SUMPRODUCT(Raw!$AW$2:$BF$2, Raw!AW144:BF144))</f>
        <v>-</v>
      </c>
      <c r="R143" s="7" t="e" cm="1">
        <f t="array" ref="R143">_xlfn.IFS(S143="YES", "Hourly", T143="YES", "Flat Rate")</f>
        <v>#N/A</v>
      </c>
      <c r="S143" s="8" t="str">
        <f>IF(Raw!CO144=1, "YES", "")</f>
        <v/>
      </c>
      <c r="T143" s="8" t="str">
        <f>IF(Raw!CO144=2, "YES", "")</f>
        <v/>
      </c>
      <c r="U143" s="96" t="str">
        <f>IF(Raw!CP144=1, "YES", "")</f>
        <v/>
      </c>
      <c r="V143" s="96"/>
      <c r="X143" s="23">
        <f>SUMPRODUCT(Raw!$BT$3:$CC$3, Raw!BT144:CC144)</f>
        <v>0</v>
      </c>
      <c r="Y143" s="23">
        <f>SUMPRODUCT(Raw!$BT$3:$CC$3, Raw!BU144:CD144)</f>
        <v>0</v>
      </c>
      <c r="Z143" s="28">
        <f t="shared" si="23"/>
        <v>0</v>
      </c>
      <c r="AA143" s="28">
        <f t="shared" si="24"/>
        <v>0</v>
      </c>
      <c r="AC143">
        <f t="shared" si="25"/>
        <v>28</v>
      </c>
      <c r="AD143" s="23">
        <f>IF(U143="YES",SUMPRODUCT(Raw!$BT$3:$CC$3,Raw!BT144:CC144)*0.6,SUMPRODUCT(Raw!$BT$3:$CC$3,Raw!BT144:CC144))</f>
        <v>0</v>
      </c>
      <c r="AE143" s="23">
        <f>IF(U143="YES",SUMPRODUCT(Raw!$BT$3:$CC$3,Raw!BU144:CD144)*0.6,SUMPRODUCT(Raw!$BT$3:$CC$3,Raw!BU144:CD144))</f>
        <v>0</v>
      </c>
      <c r="AF143" s="28">
        <f t="shared" si="26"/>
        <v>0</v>
      </c>
      <c r="AG143" s="28">
        <f t="shared" si="27"/>
        <v>0</v>
      </c>
      <c r="AI143" s="88" t="str">
        <f t="shared" si="21"/>
        <v>-</v>
      </c>
      <c r="AJ143" s="88" t="str">
        <f t="shared" si="22"/>
        <v>-</v>
      </c>
      <c r="AK143" t="e">
        <f t="shared" si="28"/>
        <v>#VALUE!</v>
      </c>
      <c r="AL143" t="e">
        <f t="shared" si="29"/>
        <v>#VALUE!</v>
      </c>
    </row>
    <row r="144" spans="1:38" x14ac:dyDescent="0.25">
      <c r="A144" s="4">
        <f>Raw!J145</f>
        <v>36</v>
      </c>
      <c r="B144" s="4" t="str">
        <f>Raw!K145</f>
        <v>Willow Ave</v>
      </c>
      <c r="C144" s="4" t="str">
        <f>Raw!L145</f>
        <v>La Cruz Ave</v>
      </c>
      <c r="D144" s="4" t="str">
        <f>Raw!M145</f>
        <v>Chadbourne Ave</v>
      </c>
      <c r="E144" s="23" t="str">
        <f>Raw!CG145</f>
        <v>W</v>
      </c>
      <c r="F144" s="7">
        <f>Raw!T145</f>
        <v>26</v>
      </c>
      <c r="G144" s="7">
        <f>Raw!AL145</f>
        <v>0</v>
      </c>
      <c r="H144" s="7">
        <f>Raw!AC145</f>
        <v>4</v>
      </c>
      <c r="I144" s="7">
        <f t="shared" si="20"/>
        <v>4</v>
      </c>
      <c r="J144" s="157" t="str">
        <f>Raw!BT145</f>
        <v>NA</v>
      </c>
      <c r="K144" s="157" t="str">
        <f>Raw!AW145</f>
        <v>NA</v>
      </c>
      <c r="L144" s="42" t="str">
        <f>IF(Raw!CE145 = "NA", "-", Raw!CE145)</f>
        <v>-</v>
      </c>
      <c r="M144" s="42" t="str">
        <f>IF(Raw!BH145 = "NA", "-", Raw!BH145)</f>
        <v>-</v>
      </c>
      <c r="N144" s="46" t="str">
        <f>IF(Raw!CD145 = "NA", "-", Raw!CD145)</f>
        <v>-</v>
      </c>
      <c r="O144" s="46" t="str">
        <f>IF(Raw!BG145 = "NA", "-", Raw!BG145)</f>
        <v>-</v>
      </c>
      <c r="P144" s="32" t="str">
        <f>IF(Raw!AW145 = "NA", "-", SUMPRODUCT(Raw!$BT$2:$CC$2, Raw!BT145:CC145))</f>
        <v>-</v>
      </c>
      <c r="Q144" s="32" t="str">
        <f>IF(Raw!AW145 = "NA", "-", SUMPRODUCT(Raw!$AW$2:$BF$2, Raw!AW145:BF145))</f>
        <v>-</v>
      </c>
      <c r="R144" s="7" t="e" cm="1">
        <f t="array" ref="R144">_xlfn.IFS(S144="YES", "Hourly", T144="YES", "Flat Rate")</f>
        <v>#N/A</v>
      </c>
      <c r="S144" s="8" t="str">
        <f>IF(Raw!CO145=1, "YES", "")</f>
        <v/>
      </c>
      <c r="T144" s="8" t="str">
        <f>IF(Raw!CO145=2, "YES", "")</f>
        <v/>
      </c>
      <c r="U144" s="96" t="str">
        <f>IF(Raw!CP145=1, "YES", "")</f>
        <v/>
      </c>
      <c r="V144" s="96"/>
      <c r="X144" s="23">
        <f>SUMPRODUCT(Raw!$BT$3:$CC$3, Raw!BT145:CC145)</f>
        <v>0</v>
      </c>
      <c r="Y144" s="23">
        <f>SUMPRODUCT(Raw!$BT$3:$CC$3, Raw!BU145:CD145)</f>
        <v>0</v>
      </c>
      <c r="Z144" s="28">
        <f t="shared" si="23"/>
        <v>0</v>
      </c>
      <c r="AA144" s="28">
        <f t="shared" si="24"/>
        <v>0</v>
      </c>
      <c r="AC144">
        <f t="shared" si="25"/>
        <v>26</v>
      </c>
      <c r="AD144" s="23">
        <f>IF(U144="YES",SUMPRODUCT(Raw!$BT$3:$CC$3,Raw!BT145:CC145)*0.6,SUMPRODUCT(Raw!$BT$3:$CC$3,Raw!BT145:CC145))</f>
        <v>0</v>
      </c>
      <c r="AE144" s="23">
        <f>IF(U144="YES",SUMPRODUCT(Raw!$BT$3:$CC$3,Raw!BU145:CD145)*0.6,SUMPRODUCT(Raw!$BT$3:$CC$3,Raw!BU145:CD145))</f>
        <v>0</v>
      </c>
      <c r="AF144" s="28">
        <f t="shared" si="26"/>
        <v>0</v>
      </c>
      <c r="AG144" s="28">
        <f t="shared" si="27"/>
        <v>0</v>
      </c>
      <c r="AI144" s="88" t="str">
        <f t="shared" si="21"/>
        <v>-</v>
      </c>
      <c r="AJ144" s="88" t="str">
        <f t="shared" si="22"/>
        <v>-</v>
      </c>
      <c r="AK144" t="e">
        <f t="shared" si="28"/>
        <v>#VALUE!</v>
      </c>
      <c r="AL144" t="e">
        <f t="shared" si="29"/>
        <v>#VALUE!</v>
      </c>
    </row>
    <row r="145" spans="1:38" x14ac:dyDescent="0.25">
      <c r="A145" s="4">
        <f>Raw!J146</f>
        <v>220</v>
      </c>
      <c r="B145" s="4" t="str">
        <f>Raw!K146</f>
        <v>Victoria Ave</v>
      </c>
      <c r="C145" s="4" t="str">
        <f>Raw!L146</f>
        <v>Magnolia Ave</v>
      </c>
      <c r="D145" s="4" t="str">
        <f>Raw!M146</f>
        <v>Lewis Ave</v>
      </c>
      <c r="E145" s="23" t="str">
        <f>Raw!CG146</f>
        <v>N</v>
      </c>
      <c r="F145" s="7">
        <f>Raw!T146</f>
        <v>8</v>
      </c>
      <c r="G145" s="7">
        <f>Raw!AL146</f>
        <v>0</v>
      </c>
      <c r="H145" s="7">
        <f>Raw!AC146</f>
        <v>3</v>
      </c>
      <c r="I145" s="7">
        <f t="shared" si="20"/>
        <v>3</v>
      </c>
      <c r="J145" s="157" t="str">
        <f>Raw!BT146</f>
        <v>NA</v>
      </c>
      <c r="K145" s="157" t="str">
        <f>Raw!AW146</f>
        <v>NA</v>
      </c>
      <c r="L145" s="42" t="str">
        <f>IF(Raw!CE146 = "NA", "-", Raw!CE146)</f>
        <v>-</v>
      </c>
      <c r="M145" s="42" t="str">
        <f>IF(Raw!BH146 = "NA", "-", Raw!BH146)</f>
        <v>-</v>
      </c>
      <c r="N145" s="46" t="str">
        <f>IF(Raw!CD146 = "NA", "-", Raw!CD146)</f>
        <v>-</v>
      </c>
      <c r="O145" s="46" t="str">
        <f>IF(Raw!BG146 = "NA", "-", Raw!BG146)</f>
        <v>-</v>
      </c>
      <c r="P145" s="32" t="str">
        <f>IF(Raw!AW146 = "NA", "-", SUMPRODUCT(Raw!$BT$2:$CC$2, Raw!BT146:CC146))</f>
        <v>-</v>
      </c>
      <c r="Q145" s="32" t="str">
        <f>IF(Raw!AW146 = "NA", "-", SUMPRODUCT(Raw!$AW$2:$BF$2, Raw!AW146:BF146))</f>
        <v>-</v>
      </c>
      <c r="R145" s="7" t="e" cm="1">
        <f t="array" ref="R145">_xlfn.IFS(S145="YES", "Hourly", T145="YES", "Flat Rate")</f>
        <v>#N/A</v>
      </c>
      <c r="S145" s="8" t="str">
        <f>IF(Raw!CO146=1, "YES", "")</f>
        <v/>
      </c>
      <c r="T145" s="8" t="str">
        <f>IF(Raw!CO146=2, "YES", "")</f>
        <v/>
      </c>
      <c r="U145" s="96" t="str">
        <f>IF(Raw!CP146=1, "YES", "")</f>
        <v/>
      </c>
      <c r="V145" s="96"/>
      <c r="X145" s="23">
        <f>SUMPRODUCT(Raw!$BT$3:$CC$3, Raw!BT146:CC146)</f>
        <v>0</v>
      </c>
      <c r="Y145" s="23">
        <f>SUMPRODUCT(Raw!$BT$3:$CC$3, Raw!BU146:CD146)</f>
        <v>0</v>
      </c>
      <c r="Z145" s="28">
        <f t="shared" si="23"/>
        <v>0</v>
      </c>
      <c r="AA145" s="28">
        <f t="shared" si="24"/>
        <v>0</v>
      </c>
      <c r="AC145">
        <f t="shared" si="25"/>
        <v>8</v>
      </c>
      <c r="AD145" s="23">
        <f>IF(U145="YES",SUMPRODUCT(Raw!$BT$3:$CC$3,Raw!BT146:CC146)*0.6,SUMPRODUCT(Raw!$BT$3:$CC$3,Raw!BT146:CC146))</f>
        <v>0</v>
      </c>
      <c r="AE145" s="23">
        <f>IF(U145="YES",SUMPRODUCT(Raw!$BT$3:$CC$3,Raw!BU146:CD146)*0.6,SUMPRODUCT(Raw!$BT$3:$CC$3,Raw!BU146:CD146))</f>
        <v>0</v>
      </c>
      <c r="AF145" s="28">
        <f t="shared" si="26"/>
        <v>0</v>
      </c>
      <c r="AG145" s="28">
        <f t="shared" si="27"/>
        <v>0</v>
      </c>
      <c r="AI145" s="88" t="str">
        <f t="shared" si="21"/>
        <v>-</v>
      </c>
      <c r="AJ145" s="88" t="str">
        <f t="shared" si="22"/>
        <v>-</v>
      </c>
      <c r="AK145" t="e">
        <f t="shared" si="28"/>
        <v>#VALUE!</v>
      </c>
      <c r="AL145" t="e">
        <f t="shared" si="29"/>
        <v>#VALUE!</v>
      </c>
    </row>
    <row r="146" spans="1:38" x14ac:dyDescent="0.25">
      <c r="A146" s="4">
        <f>Raw!J147</f>
        <v>222</v>
      </c>
      <c r="B146" s="4" t="str">
        <f>Raw!K147</f>
        <v>Victoria Ave</v>
      </c>
      <c r="C146" s="4" t="str">
        <f>Raw!L147</f>
        <v>Broadway</v>
      </c>
      <c r="D146" s="4" t="str">
        <f>Raw!M147</f>
        <v>Magnolia Ave</v>
      </c>
      <c r="E146" s="23" t="str">
        <f>Raw!CG147</f>
        <v>N</v>
      </c>
      <c r="F146" s="7">
        <f>Raw!T147</f>
        <v>8</v>
      </c>
      <c r="G146" s="7">
        <f>Raw!AL147</f>
        <v>4</v>
      </c>
      <c r="H146" s="7">
        <f>Raw!AC147</f>
        <v>4</v>
      </c>
      <c r="I146" s="7">
        <f t="shared" si="20"/>
        <v>8</v>
      </c>
      <c r="J146" s="157" t="str">
        <f>Raw!BT147</f>
        <v>NA</v>
      </c>
      <c r="K146" s="157" t="str">
        <f>Raw!AW147</f>
        <v>NA</v>
      </c>
      <c r="L146" s="42" t="str">
        <f>IF(Raw!CE147 = "NA", "-", Raw!CE147)</f>
        <v>-</v>
      </c>
      <c r="M146" s="42" t="str">
        <f>IF(Raw!BH147 = "NA", "-", Raw!BH147)</f>
        <v>-</v>
      </c>
      <c r="N146" s="46" t="str">
        <f>IF(Raw!CD147 = "NA", "-", Raw!CD147)</f>
        <v>-</v>
      </c>
      <c r="O146" s="46" t="str">
        <f>IF(Raw!BG147 = "NA", "-", Raw!BG147)</f>
        <v>-</v>
      </c>
      <c r="P146" s="32" t="str">
        <f>IF(Raw!AW147 = "NA", "-", SUMPRODUCT(Raw!$BT$2:$CC$2, Raw!BT147:CC147))</f>
        <v>-</v>
      </c>
      <c r="Q146" s="32" t="str">
        <f>IF(Raw!AW147 = "NA", "-", SUMPRODUCT(Raw!$AW$2:$BF$2, Raw!AW147:BF147))</f>
        <v>-</v>
      </c>
      <c r="R146" s="7" t="e" cm="1">
        <f t="array" ref="R146">_xlfn.IFS(S146="YES", "Hourly", T146="YES", "Flat Rate")</f>
        <v>#N/A</v>
      </c>
      <c r="S146" s="8" t="str">
        <f>IF(Raw!CO147=1, "YES", "")</f>
        <v/>
      </c>
      <c r="T146" s="8" t="str">
        <f>IF(Raw!CO147=2, "YES", "")</f>
        <v/>
      </c>
      <c r="U146" s="96" t="str">
        <f>IF(Raw!CP147=1, "YES", "")</f>
        <v/>
      </c>
      <c r="V146" s="96"/>
      <c r="X146" s="23">
        <f>SUMPRODUCT(Raw!$BT$3:$CC$3, Raw!BT147:CC147)</f>
        <v>0</v>
      </c>
      <c r="Y146" s="23">
        <f>SUMPRODUCT(Raw!$BT$3:$CC$3, Raw!BU147:CD147)</f>
        <v>0</v>
      </c>
      <c r="Z146" s="28">
        <f t="shared" si="23"/>
        <v>0</v>
      </c>
      <c r="AA146" s="28">
        <f t="shared" si="24"/>
        <v>0</v>
      </c>
      <c r="AC146">
        <f t="shared" si="25"/>
        <v>8</v>
      </c>
      <c r="AD146" s="23">
        <f>IF(U146="YES",SUMPRODUCT(Raw!$BT$3:$CC$3,Raw!BT147:CC147)*0.6,SUMPRODUCT(Raw!$BT$3:$CC$3,Raw!BT147:CC147))</f>
        <v>0</v>
      </c>
      <c r="AE146" s="23">
        <f>IF(U146="YES",SUMPRODUCT(Raw!$BT$3:$CC$3,Raw!BU147:CD147)*0.6,SUMPRODUCT(Raw!$BT$3:$CC$3,Raw!BU147:CD147))</f>
        <v>0</v>
      </c>
      <c r="AF146" s="28">
        <f t="shared" si="26"/>
        <v>0</v>
      </c>
      <c r="AG146" s="28">
        <f t="shared" si="27"/>
        <v>0</v>
      </c>
      <c r="AI146" s="88" t="str">
        <f t="shared" si="21"/>
        <v>-</v>
      </c>
      <c r="AJ146" s="88" t="str">
        <f t="shared" si="22"/>
        <v>-</v>
      </c>
      <c r="AK146" t="e">
        <f t="shared" si="28"/>
        <v>#VALUE!</v>
      </c>
      <c r="AL146" t="e">
        <f t="shared" si="29"/>
        <v>#VALUE!</v>
      </c>
    </row>
    <row r="147" spans="1:38" x14ac:dyDescent="0.25">
      <c r="A147" s="4">
        <f>Raw!J148</f>
        <v>224</v>
      </c>
      <c r="B147" s="4" t="str">
        <f>Raw!K148</f>
        <v>Victoria Ave</v>
      </c>
      <c r="C147" s="4" t="str">
        <f>Raw!L148</f>
        <v>El Camino Real</v>
      </c>
      <c r="D147" s="4" t="str">
        <f>Raw!M148</f>
        <v>Broadway</v>
      </c>
      <c r="E147" s="23" t="str">
        <f>Raw!CG148</f>
        <v>N</v>
      </c>
      <c r="F147" s="7">
        <f>Raw!T148</f>
        <v>7</v>
      </c>
      <c r="G147" s="7">
        <f>Raw!AL148</f>
        <v>3</v>
      </c>
      <c r="H147" s="7">
        <f>Raw!AC148</f>
        <v>3</v>
      </c>
      <c r="I147" s="7">
        <f t="shared" si="20"/>
        <v>6</v>
      </c>
      <c r="J147" s="157">
        <f>Raw!BT148</f>
        <v>6</v>
      </c>
      <c r="K147" s="157">
        <f>Raw!AW148</f>
        <v>18</v>
      </c>
      <c r="L147" s="42">
        <f>IF(Raw!CE148 = "NA", "-", Raw!CE148)</f>
        <v>2.4</v>
      </c>
      <c r="M147" s="42">
        <f>IF(Raw!BH148 = "NA", "-", Raw!BH148)</f>
        <v>4.4000000000000004</v>
      </c>
      <c r="N147" s="46">
        <f>IF(Raw!CD148 = "NA", "-", Raw!CD148)</f>
        <v>16</v>
      </c>
      <c r="O147" s="46">
        <f>IF(Raw!BG148 = "NA", "-", Raw!BG148)</f>
        <v>29</v>
      </c>
      <c r="P147" s="32">
        <f>IF(Raw!AW148 = "NA", "-", SUMPRODUCT(Raw!$BT$2:$CC$2, Raw!BT148:CC148))</f>
        <v>65</v>
      </c>
      <c r="Q147" s="32">
        <f>IF(Raw!AW148 = "NA", "-", SUMPRODUCT(Raw!$AW$2:$BF$2, Raw!AW148:BF148))</f>
        <v>65</v>
      </c>
      <c r="R147" s="7" t="str" cm="1">
        <f t="array" ref="R147">_xlfn.IFS(S147="YES", "Hourly", T147="YES", "Flat Rate")</f>
        <v>Hourly</v>
      </c>
      <c r="S147" s="8" t="str">
        <f>IF(Raw!CO148=1, "YES", "")</f>
        <v>YES</v>
      </c>
      <c r="T147" s="8" t="str">
        <f>IF(Raw!CO148=2, "YES", "")</f>
        <v/>
      </c>
      <c r="U147" s="96" t="str">
        <f>IF(Raw!CP148=1, "YES", "")</f>
        <v/>
      </c>
      <c r="V147" s="96"/>
      <c r="X147" s="23">
        <f>SUMPRODUCT(Raw!$BT$3:$CC$3, Raw!BT148:CC148)</f>
        <v>26</v>
      </c>
      <c r="Y147" s="23">
        <f>SUMPRODUCT(Raw!$BT$3:$CC$3, Raw!BU148:CD148)</f>
        <v>52</v>
      </c>
      <c r="Z147" s="28">
        <f t="shared" si="23"/>
        <v>182</v>
      </c>
      <c r="AA147" s="28">
        <f t="shared" si="24"/>
        <v>9490</v>
      </c>
      <c r="AC147">
        <f t="shared" si="25"/>
        <v>7</v>
      </c>
      <c r="AD147" s="23">
        <f>IF(U147="YES",SUMPRODUCT(Raw!$BT$3:$CC$3,Raw!BT148:CC148)*0.6,SUMPRODUCT(Raw!$BT$3:$CC$3,Raw!BT148:CC148))</f>
        <v>26</v>
      </c>
      <c r="AE147" s="23">
        <f>IF(U147="YES",SUMPRODUCT(Raw!$BT$3:$CC$3,Raw!BU148:CD148)*0.6,SUMPRODUCT(Raw!$BT$3:$CC$3,Raw!BU148:CD148))</f>
        <v>52</v>
      </c>
      <c r="AF147" s="28">
        <f t="shared" si="26"/>
        <v>182</v>
      </c>
      <c r="AG147" s="28">
        <f t="shared" si="27"/>
        <v>9490</v>
      </c>
      <c r="AI147" s="88">
        <f t="shared" si="21"/>
        <v>16</v>
      </c>
      <c r="AJ147" s="88">
        <f t="shared" si="22"/>
        <v>29</v>
      </c>
      <c r="AK147">
        <f t="shared" si="28"/>
        <v>599.5</v>
      </c>
      <c r="AL147">
        <f t="shared" si="29"/>
        <v>31262</v>
      </c>
    </row>
    <row r="148" spans="1:38" x14ac:dyDescent="0.25">
      <c r="A148" s="4">
        <f>Raw!J149</f>
        <v>221</v>
      </c>
      <c r="B148" s="4" t="str">
        <f>Raw!K149</f>
        <v>Victoria Ave</v>
      </c>
      <c r="C148" s="4" t="str">
        <f>Raw!L149</f>
        <v>Lewis Ave</v>
      </c>
      <c r="D148" s="4" t="str">
        <f>Raw!M149</f>
        <v>Magnolia Ave</v>
      </c>
      <c r="E148" s="23" t="str">
        <f>Raw!CG149</f>
        <v>S</v>
      </c>
      <c r="F148" s="7">
        <f>Raw!T149</f>
        <v>8</v>
      </c>
      <c r="G148" s="7">
        <f>Raw!AL149</f>
        <v>1</v>
      </c>
      <c r="H148" s="7">
        <f>Raw!AC149</f>
        <v>3</v>
      </c>
      <c r="I148" s="7">
        <f t="shared" si="20"/>
        <v>4</v>
      </c>
      <c r="J148" s="157" t="str">
        <f>Raw!BT149</f>
        <v>NA</v>
      </c>
      <c r="K148" s="157" t="str">
        <f>Raw!AW149</f>
        <v>NA</v>
      </c>
      <c r="L148" s="42" t="str">
        <f>IF(Raw!CE149 = "NA", "-", Raw!CE149)</f>
        <v>-</v>
      </c>
      <c r="M148" s="42" t="str">
        <f>IF(Raw!BH149 = "NA", "-", Raw!BH149)</f>
        <v>-</v>
      </c>
      <c r="N148" s="46" t="str">
        <f>IF(Raw!CD149 = "NA", "-", Raw!CD149)</f>
        <v>-</v>
      </c>
      <c r="O148" s="46" t="str">
        <f>IF(Raw!BG149 = "NA", "-", Raw!BG149)</f>
        <v>-</v>
      </c>
      <c r="P148" s="32" t="str">
        <f>IF(Raw!AW149 = "NA", "-", SUMPRODUCT(Raw!$BT$2:$CC$2, Raw!BT149:CC149))</f>
        <v>-</v>
      </c>
      <c r="Q148" s="32" t="str">
        <f>IF(Raw!AW149 = "NA", "-", SUMPRODUCT(Raw!$AW$2:$BF$2, Raw!AW149:BF149))</f>
        <v>-</v>
      </c>
      <c r="R148" s="7" t="e" cm="1">
        <f t="array" ref="R148">_xlfn.IFS(S148="YES", "Hourly", T148="YES", "Flat Rate")</f>
        <v>#N/A</v>
      </c>
      <c r="S148" s="8" t="str">
        <f>IF(Raw!CO149=1, "YES", "")</f>
        <v/>
      </c>
      <c r="T148" s="8" t="str">
        <f>IF(Raw!CO149=2, "YES", "")</f>
        <v/>
      </c>
      <c r="U148" s="96" t="str">
        <f>IF(Raw!CP149=1, "YES", "")</f>
        <v/>
      </c>
      <c r="V148" s="96"/>
      <c r="X148" s="23">
        <f>SUMPRODUCT(Raw!$BT$3:$CC$3, Raw!BT149:CC149)</f>
        <v>0</v>
      </c>
      <c r="Y148" s="23">
        <f>SUMPRODUCT(Raw!$BT$3:$CC$3, Raw!BU149:CD149)</f>
        <v>0</v>
      </c>
      <c r="Z148" s="28">
        <f t="shared" si="23"/>
        <v>0</v>
      </c>
      <c r="AA148" s="28">
        <f t="shared" si="24"/>
        <v>0</v>
      </c>
      <c r="AC148">
        <f t="shared" si="25"/>
        <v>8</v>
      </c>
      <c r="AD148" s="23">
        <f>IF(U148="YES",SUMPRODUCT(Raw!$BT$3:$CC$3,Raw!BT149:CC149)*0.6,SUMPRODUCT(Raw!$BT$3:$CC$3,Raw!BT149:CC149))</f>
        <v>0</v>
      </c>
      <c r="AE148" s="23">
        <f>IF(U148="YES",SUMPRODUCT(Raw!$BT$3:$CC$3,Raw!BU149:CD149)*0.6,SUMPRODUCT(Raw!$BT$3:$CC$3,Raw!BU149:CD149))</f>
        <v>0</v>
      </c>
      <c r="AF148" s="28">
        <f t="shared" si="26"/>
        <v>0</v>
      </c>
      <c r="AG148" s="28">
        <f t="shared" si="27"/>
        <v>0</v>
      </c>
      <c r="AI148" s="88" t="str">
        <f t="shared" si="21"/>
        <v>-</v>
      </c>
      <c r="AJ148" s="88" t="str">
        <f t="shared" si="22"/>
        <v>-</v>
      </c>
      <c r="AK148" t="e">
        <f t="shared" si="28"/>
        <v>#VALUE!</v>
      </c>
      <c r="AL148" t="e">
        <f t="shared" si="29"/>
        <v>#VALUE!</v>
      </c>
    </row>
    <row r="149" spans="1:38" x14ac:dyDescent="0.25">
      <c r="A149" s="4">
        <f>Raw!J150</f>
        <v>223</v>
      </c>
      <c r="B149" s="4" t="str">
        <f>Raw!K150</f>
        <v>Victoria Ave</v>
      </c>
      <c r="C149" s="4" t="str">
        <f>Raw!L150</f>
        <v>Magnolia Ave</v>
      </c>
      <c r="D149" s="4" t="str">
        <f>Raw!M150</f>
        <v>Broadway</v>
      </c>
      <c r="E149" s="23" t="str">
        <f>Raw!CG150</f>
        <v>S</v>
      </c>
      <c r="F149" s="7">
        <f>Raw!T150</f>
        <v>6</v>
      </c>
      <c r="G149" s="7">
        <f>Raw!AL150</f>
        <v>4</v>
      </c>
      <c r="H149" s="7">
        <f>Raw!AC150</f>
        <v>4</v>
      </c>
      <c r="I149" s="7">
        <f t="shared" si="20"/>
        <v>8</v>
      </c>
      <c r="J149" s="157" t="str">
        <f>Raw!BT150</f>
        <v>NA</v>
      </c>
      <c r="K149" s="157" t="str">
        <f>Raw!AW150</f>
        <v>NA</v>
      </c>
      <c r="L149" s="42" t="str">
        <f>IF(Raw!CE150 = "NA", "-", Raw!CE150)</f>
        <v>-</v>
      </c>
      <c r="M149" s="42" t="str">
        <f>IF(Raw!BH150 = "NA", "-", Raw!BH150)</f>
        <v>-</v>
      </c>
      <c r="N149" s="46" t="str">
        <f>IF(Raw!CD150 = "NA", "-", Raw!CD150)</f>
        <v>-</v>
      </c>
      <c r="O149" s="46" t="str">
        <f>IF(Raw!BG150 = "NA", "-", Raw!BG150)</f>
        <v>-</v>
      </c>
      <c r="P149" s="32" t="str">
        <f>IF(Raw!AW150 = "NA", "-", SUMPRODUCT(Raw!$BT$2:$CC$2, Raw!BT150:CC150))</f>
        <v>-</v>
      </c>
      <c r="Q149" s="32" t="str">
        <f>IF(Raw!AW150 = "NA", "-", SUMPRODUCT(Raw!$AW$2:$BF$2, Raw!AW150:BF150))</f>
        <v>-</v>
      </c>
      <c r="R149" s="7" t="e" cm="1">
        <f t="array" ref="R149">_xlfn.IFS(S149="YES", "Hourly", T149="YES", "Flat Rate")</f>
        <v>#N/A</v>
      </c>
      <c r="S149" s="8" t="str">
        <f>IF(Raw!CO150=1, "YES", "")</f>
        <v/>
      </c>
      <c r="T149" s="8" t="str">
        <f>IF(Raw!CO150=2, "YES", "")</f>
        <v/>
      </c>
      <c r="U149" s="96" t="str">
        <f>IF(Raw!CP150=1, "YES", "")</f>
        <v/>
      </c>
      <c r="V149" s="96"/>
      <c r="X149" s="23">
        <f>SUMPRODUCT(Raw!$BT$3:$CC$3, Raw!BT150:CC150)</f>
        <v>0</v>
      </c>
      <c r="Y149" s="23">
        <f>SUMPRODUCT(Raw!$BT$3:$CC$3, Raw!BU150:CD150)</f>
        <v>0</v>
      </c>
      <c r="Z149" s="28">
        <f t="shared" si="23"/>
        <v>0</v>
      </c>
      <c r="AA149" s="28">
        <f t="shared" si="24"/>
        <v>0</v>
      </c>
      <c r="AC149">
        <f t="shared" si="25"/>
        <v>6</v>
      </c>
      <c r="AD149" s="23">
        <f>IF(U149="YES",SUMPRODUCT(Raw!$BT$3:$CC$3,Raw!BT150:CC150)*0.6,SUMPRODUCT(Raw!$BT$3:$CC$3,Raw!BT150:CC150))</f>
        <v>0</v>
      </c>
      <c r="AE149" s="23">
        <f>IF(U149="YES",SUMPRODUCT(Raw!$BT$3:$CC$3,Raw!BU150:CD150)*0.6,SUMPRODUCT(Raw!$BT$3:$CC$3,Raw!BU150:CD150))</f>
        <v>0</v>
      </c>
      <c r="AF149" s="28">
        <f t="shared" si="26"/>
        <v>0</v>
      </c>
      <c r="AG149" s="28">
        <f t="shared" si="27"/>
        <v>0</v>
      </c>
      <c r="AI149" s="88" t="str">
        <f t="shared" si="21"/>
        <v>-</v>
      </c>
      <c r="AJ149" s="88" t="str">
        <f t="shared" si="22"/>
        <v>-</v>
      </c>
      <c r="AK149" t="e">
        <f t="shared" si="28"/>
        <v>#VALUE!</v>
      </c>
      <c r="AL149" t="e">
        <f t="shared" si="29"/>
        <v>#VALUE!</v>
      </c>
    </row>
    <row r="150" spans="1:38" x14ac:dyDescent="0.25">
      <c r="A150" s="4">
        <f>Raw!J151</f>
        <v>225</v>
      </c>
      <c r="B150" s="4" t="str">
        <f>Raw!K151</f>
        <v>Victoria Ave</v>
      </c>
      <c r="C150" s="4" t="str">
        <f>Raw!L151</f>
        <v>Broadway</v>
      </c>
      <c r="D150" s="4" t="str">
        <f>Raw!M151</f>
        <v>El Camino Real</v>
      </c>
      <c r="E150" s="23" t="str">
        <f>Raw!CG151</f>
        <v>S</v>
      </c>
      <c r="F150" s="7">
        <f>Raw!T151</f>
        <v>8</v>
      </c>
      <c r="G150" s="7">
        <f>Raw!AL151</f>
        <v>1</v>
      </c>
      <c r="H150" s="7">
        <f>Raw!AC151</f>
        <v>1</v>
      </c>
      <c r="I150" s="7">
        <f t="shared" si="20"/>
        <v>2</v>
      </c>
      <c r="J150" s="157">
        <f>Raw!BT151</f>
        <v>10</v>
      </c>
      <c r="K150" s="157">
        <f>Raw!AW151</f>
        <v>9</v>
      </c>
      <c r="L150" s="42">
        <f>IF(Raw!CE151 = "NA", "-", Raw!CE151)</f>
        <v>3.3</v>
      </c>
      <c r="M150" s="42">
        <f>IF(Raw!BH151 = "NA", "-", Raw!BH151)</f>
        <v>2.1</v>
      </c>
      <c r="N150" s="46">
        <f>IF(Raw!CD151 = "NA", "-", Raw!CD151)</f>
        <v>27</v>
      </c>
      <c r="O150" s="46">
        <f>IF(Raw!BG151 = "NA", "-", Raw!BG151)</f>
        <v>17</v>
      </c>
      <c r="P150" s="32">
        <f>IF(Raw!AW151 = "NA", "-", SUMPRODUCT(Raw!$BT$2:$CC$2, Raw!BT151:CC151))</f>
        <v>67</v>
      </c>
      <c r="Q150" s="32">
        <f>IF(Raw!AW151 = "NA", "-", SUMPRODUCT(Raw!$AW$2:$BF$2, Raw!AW151:BF151))</f>
        <v>65</v>
      </c>
      <c r="R150" s="7" t="str" cm="1">
        <f t="array" ref="R150">_xlfn.IFS(S150="YES", "Hourly", T150="YES", "Flat Rate")</f>
        <v>Hourly</v>
      </c>
      <c r="S150" s="8" t="str">
        <f>IF(Raw!CO151=1, "YES", "")</f>
        <v>YES</v>
      </c>
      <c r="T150" s="8" t="str">
        <f>IF(Raw!CO151=2, "YES", "")</f>
        <v/>
      </c>
      <c r="U150" s="96" t="str">
        <f>IF(Raw!CP151=1, "YES", "")</f>
        <v/>
      </c>
      <c r="V150" s="96"/>
      <c r="X150" s="23">
        <f>SUMPRODUCT(Raw!$BT$3:$CC$3, Raw!BT151:CC151)</f>
        <v>44</v>
      </c>
      <c r="Y150" s="23">
        <f>SUMPRODUCT(Raw!$BT$3:$CC$3, Raw!BU151:CD151)</f>
        <v>77</v>
      </c>
      <c r="Z150" s="28">
        <f t="shared" si="23"/>
        <v>297</v>
      </c>
      <c r="AA150" s="28">
        <f t="shared" si="24"/>
        <v>15488</v>
      </c>
      <c r="AC150">
        <f t="shared" si="25"/>
        <v>8</v>
      </c>
      <c r="AD150" s="23">
        <f>IF(U150="YES",SUMPRODUCT(Raw!$BT$3:$CC$3,Raw!BT151:CC151)*0.6,SUMPRODUCT(Raw!$BT$3:$CC$3,Raw!BT151:CC151))</f>
        <v>44</v>
      </c>
      <c r="AE150" s="23">
        <f>IF(U150="YES",SUMPRODUCT(Raw!$BT$3:$CC$3,Raw!BU151:CD151)*0.6,SUMPRODUCT(Raw!$BT$3:$CC$3,Raw!BU151:CD151))</f>
        <v>77</v>
      </c>
      <c r="AF150" s="28">
        <f t="shared" si="26"/>
        <v>297</v>
      </c>
      <c r="AG150" s="28">
        <f t="shared" si="27"/>
        <v>15488</v>
      </c>
      <c r="AI150" s="88">
        <f t="shared" si="21"/>
        <v>27</v>
      </c>
      <c r="AJ150" s="88">
        <f t="shared" si="22"/>
        <v>17</v>
      </c>
      <c r="AK150">
        <f t="shared" si="28"/>
        <v>836</v>
      </c>
      <c r="AL150">
        <f t="shared" si="29"/>
        <v>43620.5</v>
      </c>
    </row>
    <row r="151" spans="1:38" x14ac:dyDescent="0.25">
      <c r="A151" s="4">
        <f>Raw!J152</f>
        <v>42</v>
      </c>
      <c r="B151" s="4" t="str">
        <f>Raw!K152</f>
        <v>Lewis Ave</v>
      </c>
      <c r="C151" s="4" t="str">
        <f>Raw!L152</f>
        <v>Chadbourne Ave</v>
      </c>
      <c r="D151" s="4" t="str">
        <f>Raw!M152</f>
        <v>Victoria Ave</v>
      </c>
      <c r="E151" s="23" t="str">
        <f>Raw!CG152</f>
        <v>E</v>
      </c>
      <c r="F151" s="7">
        <f>Raw!T152</f>
        <v>15</v>
      </c>
      <c r="G151" s="7">
        <f>Raw!AL152</f>
        <v>1</v>
      </c>
      <c r="H151" s="7">
        <f>Raw!AC152</f>
        <v>4</v>
      </c>
      <c r="I151" s="7">
        <f t="shared" si="20"/>
        <v>5</v>
      </c>
      <c r="J151" s="157" t="str">
        <f>Raw!BT152</f>
        <v>NA</v>
      </c>
      <c r="K151" s="157" t="str">
        <f>Raw!AW152</f>
        <v>NA</v>
      </c>
      <c r="L151" s="42" t="str">
        <f>IF(Raw!CE152 = "NA", "-", Raw!CE152)</f>
        <v>-</v>
      </c>
      <c r="M151" s="42" t="str">
        <f>IF(Raw!BH152 = "NA", "-", Raw!BH152)</f>
        <v>-</v>
      </c>
      <c r="N151" s="46" t="str">
        <f>IF(Raw!CD152 = "NA", "-", Raw!CD152)</f>
        <v>-</v>
      </c>
      <c r="O151" s="46" t="str">
        <f>IF(Raw!BG152 = "NA", "-", Raw!BG152)</f>
        <v>-</v>
      </c>
      <c r="P151" s="32" t="str">
        <f>IF(Raw!AW152 = "NA", "-", SUMPRODUCT(Raw!$BT$2:$CC$2, Raw!BT152:CC152))</f>
        <v>-</v>
      </c>
      <c r="Q151" s="32" t="str">
        <f>IF(Raw!AW152 = "NA", "-", SUMPRODUCT(Raw!$AW$2:$BF$2, Raw!AW152:BF152))</f>
        <v>-</v>
      </c>
      <c r="R151" s="7" t="e" cm="1">
        <f t="array" ref="R151">_xlfn.IFS(S151="YES", "Hourly", T151="YES", "Flat Rate")</f>
        <v>#N/A</v>
      </c>
      <c r="S151" s="8" t="str">
        <f>IF(Raw!CO152=1, "YES", "")</f>
        <v/>
      </c>
      <c r="T151" s="8" t="str">
        <f>IF(Raw!CO152=2, "YES", "")</f>
        <v/>
      </c>
      <c r="U151" s="96" t="str">
        <f>IF(Raw!CP152=1, "YES", "")</f>
        <v/>
      </c>
      <c r="V151" s="96"/>
      <c r="X151" s="23">
        <f>SUMPRODUCT(Raw!$BT$3:$CC$3, Raw!BT152:CC152)</f>
        <v>0</v>
      </c>
      <c r="Y151" s="23">
        <f>SUMPRODUCT(Raw!$BT$3:$CC$3, Raw!BU152:CD152)</f>
        <v>0</v>
      </c>
      <c r="Z151" s="28">
        <f t="shared" si="23"/>
        <v>0</v>
      </c>
      <c r="AA151" s="28">
        <f t="shared" si="24"/>
        <v>0</v>
      </c>
      <c r="AC151">
        <f t="shared" si="25"/>
        <v>15</v>
      </c>
      <c r="AD151" s="23">
        <f>IF(U151="YES",SUMPRODUCT(Raw!$BT$3:$CC$3,Raw!BT152:CC152)*0.6,SUMPRODUCT(Raw!$BT$3:$CC$3,Raw!BT152:CC152))</f>
        <v>0</v>
      </c>
      <c r="AE151" s="23">
        <f>IF(U151="YES",SUMPRODUCT(Raw!$BT$3:$CC$3,Raw!BU152:CD152)*0.6,SUMPRODUCT(Raw!$BT$3:$CC$3,Raw!BU152:CD152))</f>
        <v>0</v>
      </c>
      <c r="AF151" s="28">
        <f t="shared" si="26"/>
        <v>0</v>
      </c>
      <c r="AG151" s="28">
        <f t="shared" si="27"/>
        <v>0</v>
      </c>
      <c r="AI151" s="88" t="str">
        <f t="shared" si="21"/>
        <v>-</v>
      </c>
      <c r="AJ151" s="88" t="str">
        <f t="shared" si="22"/>
        <v>-</v>
      </c>
      <c r="AK151" t="e">
        <f t="shared" si="28"/>
        <v>#VALUE!</v>
      </c>
      <c r="AL151" t="e">
        <f t="shared" si="29"/>
        <v>#VALUE!</v>
      </c>
    </row>
    <row r="152" spans="1:38" x14ac:dyDescent="0.25">
      <c r="A152" s="4">
        <f>Raw!J153</f>
        <v>60</v>
      </c>
      <c r="B152" s="4" t="str">
        <f>Raw!K153</f>
        <v>Magnolia Ave</v>
      </c>
      <c r="C152" s="4" t="str">
        <f>Raw!L153</f>
        <v>Victoria Ave</v>
      </c>
      <c r="D152" s="4" t="str">
        <f>Raw!M153</f>
        <v>Chadbourne Ave</v>
      </c>
      <c r="E152" s="23" t="str">
        <f>Raw!CG153</f>
        <v>W</v>
      </c>
      <c r="F152" s="7">
        <f>Raw!T153</f>
        <v>14</v>
      </c>
      <c r="G152" s="7">
        <f>Raw!AL153</f>
        <v>2</v>
      </c>
      <c r="H152" s="7">
        <f>Raw!AC153</f>
        <v>4</v>
      </c>
      <c r="I152" s="7">
        <f t="shared" si="20"/>
        <v>6</v>
      </c>
      <c r="J152" s="157" t="str">
        <f>Raw!BT153</f>
        <v>NA</v>
      </c>
      <c r="K152" s="157" t="str">
        <f>Raw!AW153</f>
        <v>NA</v>
      </c>
      <c r="L152" s="42" t="str">
        <f>IF(Raw!CE153 = "NA", "-", Raw!CE153)</f>
        <v>-</v>
      </c>
      <c r="M152" s="42" t="str">
        <f>IF(Raw!BH153 = "NA", "-", Raw!BH153)</f>
        <v>-</v>
      </c>
      <c r="N152" s="46" t="str">
        <f>IF(Raw!CD153 = "NA", "-", Raw!CD153)</f>
        <v>-</v>
      </c>
      <c r="O152" s="46" t="str">
        <f>IF(Raw!BG153 = "NA", "-", Raw!BG153)</f>
        <v>-</v>
      </c>
      <c r="P152" s="32" t="str">
        <f>IF(Raw!AW153 = "NA", "-", SUMPRODUCT(Raw!$BT$2:$CC$2, Raw!BT153:CC153))</f>
        <v>-</v>
      </c>
      <c r="Q152" s="32" t="str">
        <f>IF(Raw!AW153 = "NA", "-", SUMPRODUCT(Raw!$AW$2:$BF$2, Raw!AW153:BF153))</f>
        <v>-</v>
      </c>
      <c r="R152" s="7" t="e" cm="1">
        <f t="array" ref="R152">_xlfn.IFS(S152="YES", "Hourly", T152="YES", "Flat Rate")</f>
        <v>#N/A</v>
      </c>
      <c r="S152" s="8" t="str">
        <f>IF(Raw!CO153=1, "YES", "")</f>
        <v/>
      </c>
      <c r="T152" s="8" t="str">
        <f>IF(Raw!CO153=2, "YES", "")</f>
        <v/>
      </c>
      <c r="U152" s="96" t="str">
        <f>IF(Raw!CP153=1, "YES", "")</f>
        <v/>
      </c>
      <c r="V152" s="96"/>
      <c r="X152" s="23">
        <f>SUMPRODUCT(Raw!$BT$3:$CC$3, Raw!BT153:CC153)</f>
        <v>0</v>
      </c>
      <c r="Y152" s="23">
        <f>SUMPRODUCT(Raw!$BT$3:$CC$3, Raw!BU153:CD153)</f>
        <v>0</v>
      </c>
      <c r="Z152" s="28">
        <f t="shared" si="23"/>
        <v>0</v>
      </c>
      <c r="AA152" s="28">
        <f t="shared" si="24"/>
        <v>0</v>
      </c>
      <c r="AC152">
        <f t="shared" si="25"/>
        <v>14</v>
      </c>
      <c r="AD152" s="23">
        <f>IF(U152="YES",SUMPRODUCT(Raw!$BT$3:$CC$3,Raw!BT153:CC153)*0.6,SUMPRODUCT(Raw!$BT$3:$CC$3,Raw!BT153:CC153))</f>
        <v>0</v>
      </c>
      <c r="AE152" s="23">
        <f>IF(U152="YES",SUMPRODUCT(Raw!$BT$3:$CC$3,Raw!BU153:CD153)*0.6,SUMPRODUCT(Raw!$BT$3:$CC$3,Raw!BU153:CD153))</f>
        <v>0</v>
      </c>
      <c r="AF152" s="28">
        <f t="shared" si="26"/>
        <v>0</v>
      </c>
      <c r="AG152" s="28">
        <f t="shared" si="27"/>
        <v>0</v>
      </c>
      <c r="AI152" s="88" t="str">
        <f t="shared" si="21"/>
        <v>-</v>
      </c>
      <c r="AJ152" s="88" t="str">
        <f t="shared" si="22"/>
        <v>-</v>
      </c>
      <c r="AK152" t="e">
        <f t="shared" si="28"/>
        <v>#VALUE!</v>
      </c>
      <c r="AL152" t="e">
        <f t="shared" si="29"/>
        <v>#VALUE!</v>
      </c>
    </row>
    <row r="153" spans="1:38" x14ac:dyDescent="0.25">
      <c r="A153" s="4">
        <f>Raw!J154</f>
        <v>61</v>
      </c>
      <c r="B153" s="4" t="str">
        <f>Raw!K154</f>
        <v>Magnolia Ave</v>
      </c>
      <c r="C153" s="4" t="str">
        <f>Raw!L154</f>
        <v>Chadbourne Ave</v>
      </c>
      <c r="D153" s="4" t="str">
        <f>Raw!M154</f>
        <v>Victoria Ave</v>
      </c>
      <c r="E153" s="23" t="str">
        <f>Raw!CG154</f>
        <v>E</v>
      </c>
      <c r="F153" s="7">
        <f>Raw!T154</f>
        <v>16</v>
      </c>
      <c r="G153" s="7">
        <f>Raw!AL154</f>
        <v>1</v>
      </c>
      <c r="H153" s="7">
        <f>Raw!AC154</f>
        <v>1</v>
      </c>
      <c r="I153" s="7">
        <f t="shared" si="20"/>
        <v>2</v>
      </c>
      <c r="J153" s="157" t="str">
        <f>Raw!BT154</f>
        <v>NA</v>
      </c>
      <c r="K153" s="157" t="str">
        <f>Raw!AW154</f>
        <v>NA</v>
      </c>
      <c r="L153" s="42" t="str">
        <f>IF(Raw!CE154 = "NA", "-", Raw!CE154)</f>
        <v>-</v>
      </c>
      <c r="M153" s="42" t="str">
        <f>IF(Raw!BH154 = "NA", "-", Raw!BH154)</f>
        <v>-</v>
      </c>
      <c r="N153" s="46" t="str">
        <f>IF(Raw!CD154 = "NA", "-", Raw!CD154)</f>
        <v>-</v>
      </c>
      <c r="O153" s="46" t="str">
        <f>IF(Raw!BG154 = "NA", "-", Raw!BG154)</f>
        <v>-</v>
      </c>
      <c r="P153" s="32" t="str">
        <f>IF(Raw!AW154 = "NA", "-", SUMPRODUCT(Raw!$BT$2:$CC$2, Raw!BT154:CC154))</f>
        <v>-</v>
      </c>
      <c r="Q153" s="32" t="str">
        <f>IF(Raw!AW154 = "NA", "-", SUMPRODUCT(Raw!$AW$2:$BF$2, Raw!AW154:BF154))</f>
        <v>-</v>
      </c>
      <c r="R153" s="7" t="e" cm="1">
        <f t="array" ref="R153">_xlfn.IFS(S153="YES", "Hourly", T153="YES", "Flat Rate")</f>
        <v>#N/A</v>
      </c>
      <c r="S153" s="8" t="str">
        <f>IF(Raw!CO154=1, "YES", "")</f>
        <v/>
      </c>
      <c r="T153" s="8" t="str">
        <f>IF(Raw!CO154=2, "YES", "")</f>
        <v/>
      </c>
      <c r="U153" s="96" t="str">
        <f>IF(Raw!CP154=1, "YES", "")</f>
        <v/>
      </c>
      <c r="V153" s="96"/>
      <c r="X153" s="23">
        <f>SUMPRODUCT(Raw!$BT$3:$CC$3, Raw!BT154:CC154)</f>
        <v>0</v>
      </c>
      <c r="Y153" s="23">
        <f>SUMPRODUCT(Raw!$BT$3:$CC$3, Raw!BU154:CD154)</f>
        <v>0</v>
      </c>
      <c r="Z153" s="28">
        <f t="shared" si="23"/>
        <v>0</v>
      </c>
      <c r="AA153" s="28">
        <f t="shared" si="24"/>
        <v>0</v>
      </c>
      <c r="AC153">
        <f t="shared" si="25"/>
        <v>16</v>
      </c>
      <c r="AD153" s="23">
        <f>IF(U153="YES",SUMPRODUCT(Raw!$BT$3:$CC$3,Raw!BT154:CC154)*0.6,SUMPRODUCT(Raw!$BT$3:$CC$3,Raw!BT154:CC154))</f>
        <v>0</v>
      </c>
      <c r="AE153" s="23">
        <f>IF(U153="YES",SUMPRODUCT(Raw!$BT$3:$CC$3,Raw!BU154:CD154)*0.6,SUMPRODUCT(Raw!$BT$3:$CC$3,Raw!BU154:CD154))</f>
        <v>0</v>
      </c>
      <c r="AF153" s="28">
        <f t="shared" si="26"/>
        <v>0</v>
      </c>
      <c r="AG153" s="28">
        <f t="shared" si="27"/>
        <v>0</v>
      </c>
      <c r="AI153" s="88" t="str">
        <f t="shared" si="21"/>
        <v>-</v>
      </c>
      <c r="AJ153" s="88" t="str">
        <f t="shared" si="22"/>
        <v>-</v>
      </c>
      <c r="AK153" t="e">
        <f t="shared" si="28"/>
        <v>#VALUE!</v>
      </c>
      <c r="AL153" t="e">
        <f t="shared" si="29"/>
        <v>#VALUE!</v>
      </c>
    </row>
    <row r="154" spans="1:38" x14ac:dyDescent="0.25">
      <c r="A154" s="4">
        <f>Raw!J155</f>
        <v>92</v>
      </c>
      <c r="B154" s="4" t="str">
        <f>Raw!K155</f>
        <v>Broadway</v>
      </c>
      <c r="C154" s="4" t="str">
        <f>Raw!L155</f>
        <v>Victoria Ave</v>
      </c>
      <c r="D154" s="4" t="str">
        <f>Raw!M155</f>
        <v>Chadbourne Ave</v>
      </c>
      <c r="E154" s="23" t="str">
        <f>Raw!CG155</f>
        <v>W</v>
      </c>
      <c r="F154" s="7">
        <f>Raw!T155</f>
        <v>20</v>
      </c>
      <c r="G154" s="7">
        <f>Raw!AL155</f>
        <v>2</v>
      </c>
      <c r="H154" s="7">
        <f>Raw!AC155</f>
        <v>4</v>
      </c>
      <c r="I154" s="7">
        <f t="shared" si="20"/>
        <v>6</v>
      </c>
      <c r="J154" s="157" t="str">
        <f>Raw!BT155</f>
        <v>NA</v>
      </c>
      <c r="K154" s="157" t="str">
        <f>Raw!AW155</f>
        <v>NA</v>
      </c>
      <c r="L154" s="42" t="str">
        <f>IF(Raw!CE155 = "NA", "-", Raw!CE155)</f>
        <v>-</v>
      </c>
      <c r="M154" s="42" t="str">
        <f>IF(Raw!BH155 = "NA", "-", Raw!BH155)</f>
        <v>-</v>
      </c>
      <c r="N154" s="46" t="str">
        <f>IF(Raw!CD155 = "NA", "-", Raw!CD155)</f>
        <v>-</v>
      </c>
      <c r="O154" s="46" t="str">
        <f>IF(Raw!BG155 = "NA", "-", Raw!BG155)</f>
        <v>-</v>
      </c>
      <c r="P154" s="32" t="str">
        <f>IF(Raw!AW155 = "NA", "-", SUMPRODUCT(Raw!$BT$2:$CC$2, Raw!BT155:CC155))</f>
        <v>-</v>
      </c>
      <c r="Q154" s="32" t="str">
        <f>IF(Raw!AW155 = "NA", "-", SUMPRODUCT(Raw!$AW$2:$BF$2, Raw!AW155:BF155))</f>
        <v>-</v>
      </c>
      <c r="R154" s="7" t="e" cm="1">
        <f t="array" ref="R154">_xlfn.IFS(S154="YES", "Hourly", T154="YES", "Flat Rate")</f>
        <v>#N/A</v>
      </c>
      <c r="S154" s="8" t="str">
        <f>IF(Raw!CO155=1, "YES", "")</f>
        <v/>
      </c>
      <c r="T154" s="8" t="str">
        <f>IF(Raw!CO155=2, "YES", "")</f>
        <v/>
      </c>
      <c r="U154" s="96" t="str">
        <f>IF(Raw!CP155=1, "YES", "")</f>
        <v/>
      </c>
      <c r="V154" s="96"/>
      <c r="X154" s="23">
        <f>SUMPRODUCT(Raw!$BT$3:$CC$3, Raw!BT155:CC155)</f>
        <v>0</v>
      </c>
      <c r="Y154" s="23">
        <f>SUMPRODUCT(Raw!$BT$3:$CC$3, Raw!BU155:CD155)</f>
        <v>0</v>
      </c>
      <c r="Z154" s="28">
        <f t="shared" si="23"/>
        <v>0</v>
      </c>
      <c r="AA154" s="28">
        <f t="shared" si="24"/>
        <v>0</v>
      </c>
      <c r="AC154">
        <f t="shared" si="25"/>
        <v>20</v>
      </c>
      <c r="AD154" s="23">
        <f>IF(U154="YES",SUMPRODUCT(Raw!$BT$3:$CC$3,Raw!BT155:CC155)*0.6,SUMPRODUCT(Raw!$BT$3:$CC$3,Raw!BT155:CC155))</f>
        <v>0</v>
      </c>
      <c r="AE154" s="23">
        <f>IF(U154="YES",SUMPRODUCT(Raw!$BT$3:$CC$3,Raw!BU155:CD155)*0.6,SUMPRODUCT(Raw!$BT$3:$CC$3,Raw!BU155:CD155))</f>
        <v>0</v>
      </c>
      <c r="AF154" s="28">
        <f t="shared" si="26"/>
        <v>0</v>
      </c>
      <c r="AG154" s="28">
        <f t="shared" si="27"/>
        <v>0</v>
      </c>
      <c r="AI154" s="88" t="str">
        <f t="shared" si="21"/>
        <v>-</v>
      </c>
      <c r="AJ154" s="88" t="str">
        <f t="shared" si="22"/>
        <v>-</v>
      </c>
      <c r="AK154" t="e">
        <f t="shared" si="28"/>
        <v>#VALUE!</v>
      </c>
      <c r="AL154" t="e">
        <f t="shared" si="29"/>
        <v>#VALUE!</v>
      </c>
    </row>
    <row r="155" spans="1:38" x14ac:dyDescent="0.25">
      <c r="A155" s="4">
        <f>Raw!J156</f>
        <v>93</v>
      </c>
      <c r="B155" s="4" t="str">
        <f>Raw!K156</f>
        <v>Broadway</v>
      </c>
      <c r="C155" s="4" t="str">
        <f>Raw!L156</f>
        <v>Chadbourne Ave</v>
      </c>
      <c r="D155" s="4" t="str">
        <f>Raw!M156</f>
        <v>Victoria Ave</v>
      </c>
      <c r="E155" s="23" t="str">
        <f>Raw!CG156</f>
        <v>E</v>
      </c>
      <c r="F155" s="7">
        <f>Raw!T156</f>
        <v>23</v>
      </c>
      <c r="G155" s="7">
        <f>Raw!AL156</f>
        <v>3</v>
      </c>
      <c r="H155" s="7">
        <f>Raw!AC156</f>
        <v>4</v>
      </c>
      <c r="I155" s="7">
        <f t="shared" si="20"/>
        <v>7</v>
      </c>
      <c r="J155" s="157" t="str">
        <f>Raw!BT156</f>
        <v>NA</v>
      </c>
      <c r="K155" s="157" t="str">
        <f>Raw!AW156</f>
        <v>NA</v>
      </c>
      <c r="L155" s="42" t="str">
        <f>IF(Raw!CE156 = "NA", "-", Raw!CE156)</f>
        <v>-</v>
      </c>
      <c r="M155" s="42" t="str">
        <f>IF(Raw!BH156 = "NA", "-", Raw!BH156)</f>
        <v>-</v>
      </c>
      <c r="N155" s="46" t="str">
        <f>IF(Raw!CD156 = "NA", "-", Raw!CD156)</f>
        <v>-</v>
      </c>
      <c r="O155" s="46" t="str">
        <f>IF(Raw!BG156 = "NA", "-", Raw!BG156)</f>
        <v>-</v>
      </c>
      <c r="P155" s="32" t="str">
        <f>IF(Raw!AW156 = "NA", "-", SUMPRODUCT(Raw!$BT$2:$CC$2, Raw!BT156:CC156))</f>
        <v>-</v>
      </c>
      <c r="Q155" s="32" t="str">
        <f>IF(Raw!AW156 = "NA", "-", SUMPRODUCT(Raw!$AW$2:$BF$2, Raw!AW156:BF156))</f>
        <v>-</v>
      </c>
      <c r="R155" s="7" t="e" cm="1">
        <f t="array" ref="R155">_xlfn.IFS(S155="YES", "Hourly", T155="YES", "Flat Rate")</f>
        <v>#N/A</v>
      </c>
      <c r="S155" s="8" t="str">
        <f>IF(Raw!CO156=1, "YES", "")</f>
        <v/>
      </c>
      <c r="T155" s="8" t="str">
        <f>IF(Raw!CO156=2, "YES", "")</f>
        <v/>
      </c>
      <c r="U155" s="96" t="str">
        <f>IF(Raw!CP156=1, "YES", "")</f>
        <v/>
      </c>
      <c r="V155" s="96"/>
      <c r="X155" s="23">
        <f>SUMPRODUCT(Raw!$BT$3:$CC$3, Raw!BT156:CC156)</f>
        <v>0</v>
      </c>
      <c r="Y155" s="23">
        <f>SUMPRODUCT(Raw!$BT$3:$CC$3, Raw!BU156:CD156)</f>
        <v>0</v>
      </c>
      <c r="Z155" s="28">
        <f t="shared" si="23"/>
        <v>0</v>
      </c>
      <c r="AA155" s="28">
        <f t="shared" si="24"/>
        <v>0</v>
      </c>
      <c r="AC155">
        <f t="shared" si="25"/>
        <v>23</v>
      </c>
      <c r="AD155" s="23">
        <f>IF(U155="YES",SUMPRODUCT(Raw!$BT$3:$CC$3,Raw!BT156:CC156)*0.6,SUMPRODUCT(Raw!$BT$3:$CC$3,Raw!BT156:CC156))</f>
        <v>0</v>
      </c>
      <c r="AE155" s="23">
        <f>IF(U155="YES",SUMPRODUCT(Raw!$BT$3:$CC$3,Raw!BU156:CD156)*0.6,SUMPRODUCT(Raw!$BT$3:$CC$3,Raw!BU156:CD156))</f>
        <v>0</v>
      </c>
      <c r="AF155" s="28">
        <f t="shared" si="26"/>
        <v>0</v>
      </c>
      <c r="AG155" s="28">
        <f t="shared" si="27"/>
        <v>0</v>
      </c>
      <c r="AI155" s="88" t="str">
        <f t="shared" si="21"/>
        <v>-</v>
      </c>
      <c r="AJ155" s="88" t="str">
        <f t="shared" si="22"/>
        <v>-</v>
      </c>
      <c r="AK155" t="e">
        <f t="shared" si="28"/>
        <v>#VALUE!</v>
      </c>
      <c r="AL155" t="e">
        <f t="shared" si="29"/>
        <v>#VALUE!</v>
      </c>
    </row>
    <row r="156" spans="1:38" x14ac:dyDescent="0.25">
      <c r="A156" s="4">
        <f>Raw!J157</f>
        <v>127</v>
      </c>
      <c r="B156" s="4" t="str">
        <f>Raw!K157</f>
        <v>El Camino Real E</v>
      </c>
      <c r="C156" s="4" t="str">
        <f>Raw!L157</f>
        <v>La Cruz Ave</v>
      </c>
      <c r="D156" s="4" t="str">
        <f>Raw!M157</f>
        <v>Victoria Ave</v>
      </c>
      <c r="E156" s="23" t="str">
        <f>Raw!CG157</f>
        <v>W</v>
      </c>
      <c r="F156" s="7">
        <f>Raw!T157</f>
        <v>16</v>
      </c>
      <c r="G156" s="7">
        <f>Raw!AL157</f>
        <v>3</v>
      </c>
      <c r="H156" s="7">
        <f>Raw!AC157</f>
        <v>3</v>
      </c>
      <c r="I156" s="7">
        <f t="shared" si="20"/>
        <v>6</v>
      </c>
      <c r="J156" s="157">
        <f>Raw!BT157</f>
        <v>21</v>
      </c>
      <c r="K156" s="157">
        <f>Raw!AW157</f>
        <v>24</v>
      </c>
      <c r="L156" s="42">
        <f>IF(Raw!CE157 = "NA", "-", Raw!CE157)</f>
        <v>3.4</v>
      </c>
      <c r="M156" s="42">
        <f>IF(Raw!BH157 = "NA", "-", Raw!BH157)</f>
        <v>4.5999999999999996</v>
      </c>
      <c r="N156" s="46">
        <f>IF(Raw!CD157 = "NA", "-", Raw!CD157)</f>
        <v>55</v>
      </c>
      <c r="O156" s="46">
        <f>IF(Raw!BG157 = "NA", "-", Raw!BG157)</f>
        <v>74</v>
      </c>
      <c r="P156" s="32">
        <f>IF(Raw!AW157 = "NA", "-", SUMPRODUCT(Raw!$BT$2:$CC$2, Raw!BT157:CC157))</f>
        <v>148</v>
      </c>
      <c r="Q156" s="32">
        <f>IF(Raw!AW157 = "NA", "-", SUMPRODUCT(Raw!$AW$2:$BF$2, Raw!AW157:BF157))</f>
        <v>154</v>
      </c>
      <c r="R156" s="7" t="str" cm="1">
        <f t="array" ref="R156">_xlfn.IFS(S156="YES", "Hourly", T156="YES", "Flat Rate")</f>
        <v>Hourly</v>
      </c>
      <c r="S156" s="8" t="str">
        <f>IF(Raw!CO157=1, "YES", "")</f>
        <v>YES</v>
      </c>
      <c r="T156" s="8" t="str">
        <f>IF(Raw!CO157=2, "YES", "")</f>
        <v/>
      </c>
      <c r="U156" s="96" t="str">
        <f>IF(Raw!CP157=1, "YES", "")</f>
        <v/>
      </c>
      <c r="V156" s="96"/>
      <c r="X156" s="23">
        <f>SUMPRODUCT(Raw!$BT$3:$CC$3, Raw!BT157:CC157)</f>
        <v>89</v>
      </c>
      <c r="Y156" s="23">
        <f>SUMPRODUCT(Raw!$BT$3:$CC$3, Raw!BU157:CD157)</f>
        <v>165</v>
      </c>
      <c r="Z156" s="28">
        <f t="shared" si="23"/>
        <v>610</v>
      </c>
      <c r="AA156" s="28">
        <f t="shared" si="24"/>
        <v>31809</v>
      </c>
      <c r="AC156">
        <f t="shared" si="25"/>
        <v>16</v>
      </c>
      <c r="AD156" s="23">
        <f>IF(U156="YES",SUMPRODUCT(Raw!$BT$3:$CC$3,Raw!BT157:CC157)*0.6,SUMPRODUCT(Raw!$BT$3:$CC$3,Raw!BT157:CC157))</f>
        <v>89</v>
      </c>
      <c r="AE156" s="23">
        <f>IF(U156="YES",SUMPRODUCT(Raw!$BT$3:$CC$3,Raw!BU157:CD157)*0.6,SUMPRODUCT(Raw!$BT$3:$CC$3,Raw!BU157:CD157))</f>
        <v>165</v>
      </c>
      <c r="AF156" s="28">
        <f t="shared" si="26"/>
        <v>610</v>
      </c>
      <c r="AG156" s="28">
        <f t="shared" si="27"/>
        <v>31809</v>
      </c>
      <c r="AI156" s="88">
        <f t="shared" si="21"/>
        <v>55</v>
      </c>
      <c r="AJ156" s="88">
        <f t="shared" si="22"/>
        <v>74</v>
      </c>
      <c r="AK156">
        <f t="shared" si="28"/>
        <v>1919.5</v>
      </c>
      <c r="AL156">
        <f t="shared" si="29"/>
        <v>100116.5</v>
      </c>
    </row>
    <row r="157" spans="1:38" x14ac:dyDescent="0.25">
      <c r="A157" s="4">
        <f>Raw!J158</f>
        <v>129</v>
      </c>
      <c r="B157" s="4" t="str">
        <f>Raw!K158</f>
        <v>El Camino Real</v>
      </c>
      <c r="C157" s="4" t="str">
        <f>Raw!L158</f>
        <v>Victoria Ave</v>
      </c>
      <c r="D157" s="4" t="str">
        <f>Raw!M158</f>
        <v>Chadbourne Ave</v>
      </c>
      <c r="E157" s="23" t="str">
        <f>Raw!CG158</f>
        <v>W</v>
      </c>
      <c r="F157" s="7">
        <f>Raw!T158</f>
        <v>25</v>
      </c>
      <c r="G157" s="7">
        <f>Raw!AL158</f>
        <v>1</v>
      </c>
      <c r="H157" s="7">
        <f>Raw!AC158</f>
        <v>3</v>
      </c>
      <c r="I157" s="7">
        <f t="shared" si="20"/>
        <v>4</v>
      </c>
      <c r="J157" s="157">
        <f>Raw!BT158</f>
        <v>25</v>
      </c>
      <c r="K157" s="157">
        <f>Raw!AW158</f>
        <v>68</v>
      </c>
      <c r="L157" s="42">
        <f>IF(Raw!CE158 = "NA", "-", Raw!CE158)</f>
        <v>2.6</v>
      </c>
      <c r="M157" s="42">
        <f>IF(Raw!BH158 = "NA", "-", Raw!BH158)</f>
        <v>4.8</v>
      </c>
      <c r="N157" s="46">
        <f>IF(Raw!CD158 = "NA", "-", Raw!CD158)</f>
        <v>66</v>
      </c>
      <c r="O157" s="46">
        <f>IF(Raw!BG158 = "NA", "-", Raw!BG158)</f>
        <v>119</v>
      </c>
      <c r="P157" s="32">
        <f>IF(Raw!AW158 = "NA", "-", SUMPRODUCT(Raw!$BT$2:$CC$2, Raw!BT158:CC158))</f>
        <v>139</v>
      </c>
      <c r="Q157" s="32">
        <f>IF(Raw!AW158 = "NA", "-", SUMPRODUCT(Raw!$AW$2:$BF$2, Raw!AW158:BF158))</f>
        <v>189</v>
      </c>
      <c r="R157" s="7" t="str" cm="1">
        <f t="array" ref="R157">_xlfn.IFS(S157="YES", "Hourly", T157="YES", "Flat Rate")</f>
        <v>Hourly</v>
      </c>
      <c r="S157" s="8" t="str">
        <f>IF(Raw!CO158=1, "YES", "")</f>
        <v>YES</v>
      </c>
      <c r="T157" s="8" t="str">
        <f>IF(Raw!CO158=2, "YES", "")</f>
        <v/>
      </c>
      <c r="U157" s="96" t="str">
        <f>IF(Raw!CP158=1, "YES", "")</f>
        <v/>
      </c>
      <c r="V157" s="96"/>
      <c r="X157" s="23">
        <f>SUMPRODUCT(Raw!$BT$3:$CC$3, Raw!BT158:CC158)</f>
        <v>107</v>
      </c>
      <c r="Y157" s="23">
        <f>SUMPRODUCT(Raw!$BT$3:$CC$3, Raw!BU158:CD158)</f>
        <v>198</v>
      </c>
      <c r="Z157" s="28">
        <f t="shared" si="23"/>
        <v>733</v>
      </c>
      <c r="AA157" s="28">
        <f t="shared" si="24"/>
        <v>38223</v>
      </c>
      <c r="AC157">
        <f t="shared" si="25"/>
        <v>25</v>
      </c>
      <c r="AD157" s="23">
        <f>IF(U157="YES",SUMPRODUCT(Raw!$BT$3:$CC$3,Raw!BT158:CC158)*0.6,SUMPRODUCT(Raw!$BT$3:$CC$3,Raw!BT158:CC158))</f>
        <v>107</v>
      </c>
      <c r="AE157" s="23">
        <f>IF(U157="YES",SUMPRODUCT(Raw!$BT$3:$CC$3,Raw!BU158:CD158)*0.6,SUMPRODUCT(Raw!$BT$3:$CC$3,Raw!BU158:CD158))</f>
        <v>198</v>
      </c>
      <c r="AF157" s="28">
        <f t="shared" si="26"/>
        <v>733</v>
      </c>
      <c r="AG157" s="28">
        <f t="shared" si="27"/>
        <v>38223</v>
      </c>
      <c r="AI157" s="88">
        <f t="shared" si="21"/>
        <v>66</v>
      </c>
      <c r="AJ157" s="88">
        <f t="shared" si="22"/>
        <v>119</v>
      </c>
      <c r="AK157">
        <f t="shared" si="28"/>
        <v>2469.5</v>
      </c>
      <c r="AL157">
        <f t="shared" si="29"/>
        <v>128777</v>
      </c>
    </row>
    <row r="158" spans="1:38" x14ac:dyDescent="0.25">
      <c r="A158" s="4">
        <f>Raw!J159</f>
        <v>130</v>
      </c>
      <c r="B158" s="4" t="str">
        <f>Raw!K159</f>
        <v>El Camino Real E</v>
      </c>
      <c r="C158" s="4" t="str">
        <f>Raw!L159</f>
        <v>Victoria Ave</v>
      </c>
      <c r="D158" s="4" t="str">
        <f>Raw!M159</f>
        <v>Chadbourne Ave</v>
      </c>
      <c r="E158" s="23" t="str">
        <f>Raw!CG159</f>
        <v>W</v>
      </c>
      <c r="F158" s="7">
        <f>Raw!T159</f>
        <v>14</v>
      </c>
      <c r="G158" s="7">
        <f>Raw!AL159</f>
        <v>0</v>
      </c>
      <c r="H158" s="7">
        <f>Raw!AC159</f>
        <v>2</v>
      </c>
      <c r="I158" s="7">
        <f t="shared" si="20"/>
        <v>2</v>
      </c>
      <c r="J158" s="157">
        <f>Raw!BT159</f>
        <v>15</v>
      </c>
      <c r="K158" s="157">
        <f>Raw!AW159</f>
        <v>29</v>
      </c>
      <c r="L158" s="42">
        <f>IF(Raw!CE159 = "NA", "-", Raw!CE159)</f>
        <v>2.2999999999999998</v>
      </c>
      <c r="M158" s="42">
        <f>IF(Raw!BH159 = "NA", "-", Raw!BH159)</f>
        <v>4.4000000000000004</v>
      </c>
      <c r="N158" s="46">
        <f>IF(Raw!CD159 = "NA", "-", Raw!CD159)</f>
        <v>32</v>
      </c>
      <c r="O158" s="46">
        <f>IF(Raw!BG159 = "NA", "-", Raw!BG159)</f>
        <v>61</v>
      </c>
      <c r="P158" s="32">
        <f>IF(Raw!AW159 = "NA", "-", SUMPRODUCT(Raw!$BT$2:$CC$2, Raw!BT159:CC159))</f>
        <v>53</v>
      </c>
      <c r="Q158" s="32">
        <f>IF(Raw!AW159 = "NA", "-", SUMPRODUCT(Raw!$AW$2:$BF$2, Raw!AW159:BF159))</f>
        <v>109</v>
      </c>
      <c r="R158" s="7" t="str" cm="1">
        <f t="array" ref="R158">_xlfn.IFS(S158="YES", "Hourly", T158="YES", "Flat Rate")</f>
        <v>Hourly</v>
      </c>
      <c r="S158" s="8" t="str">
        <f>IF(Raw!CO159=1, "YES", "")</f>
        <v>YES</v>
      </c>
      <c r="T158" s="8" t="str">
        <f>IF(Raw!CO159=2, "YES", "")</f>
        <v/>
      </c>
      <c r="U158" s="96" t="str">
        <f>IF(Raw!CP159=1, "YES", "")</f>
        <v/>
      </c>
      <c r="V158" s="96"/>
      <c r="X158" s="23">
        <f>SUMPRODUCT(Raw!$BT$3:$CC$3, Raw!BT159:CC159)</f>
        <v>49</v>
      </c>
      <c r="Y158" s="23">
        <f>SUMPRODUCT(Raw!$BT$3:$CC$3, Raw!BU159:CD159)</f>
        <v>85</v>
      </c>
      <c r="Z158" s="28">
        <f t="shared" si="23"/>
        <v>330</v>
      </c>
      <c r="AA158" s="28">
        <f t="shared" si="24"/>
        <v>17209</v>
      </c>
      <c r="AC158">
        <f t="shared" si="25"/>
        <v>14</v>
      </c>
      <c r="AD158" s="23">
        <f>IF(U158="YES",SUMPRODUCT(Raw!$BT$3:$CC$3,Raw!BT159:CC159)*0.6,SUMPRODUCT(Raw!$BT$3:$CC$3,Raw!BT159:CC159))</f>
        <v>49</v>
      </c>
      <c r="AE158" s="23">
        <f>IF(U158="YES",SUMPRODUCT(Raw!$BT$3:$CC$3,Raw!BU159:CD159)*0.6,SUMPRODUCT(Raw!$BT$3:$CC$3,Raw!BU159:CD159))</f>
        <v>85</v>
      </c>
      <c r="AF158" s="28">
        <f t="shared" si="26"/>
        <v>330</v>
      </c>
      <c r="AG158" s="28">
        <f t="shared" si="27"/>
        <v>17209</v>
      </c>
      <c r="AI158" s="88">
        <f t="shared" si="21"/>
        <v>32</v>
      </c>
      <c r="AJ158" s="88">
        <f t="shared" si="22"/>
        <v>61</v>
      </c>
      <c r="AK158">
        <f t="shared" si="28"/>
        <v>1215.5</v>
      </c>
      <c r="AL158">
        <f t="shared" si="29"/>
        <v>63382</v>
      </c>
    </row>
    <row r="159" spans="1:38" x14ac:dyDescent="0.25">
      <c r="A159" s="4">
        <f>Raw!J160</f>
        <v>131</v>
      </c>
      <c r="B159" s="4" t="str">
        <f>Raw!K160</f>
        <v>El Camino Real</v>
      </c>
      <c r="C159" s="4" t="str">
        <f>Raw!L160</f>
        <v>Linden Ave</v>
      </c>
      <c r="D159" s="4" t="str">
        <f>Raw!M160</f>
        <v>Sierra Ave</v>
      </c>
      <c r="E159" s="23" t="str">
        <f>Raw!CG160</f>
        <v>E</v>
      </c>
      <c r="F159" s="7">
        <f>Raw!T160</f>
        <v>8</v>
      </c>
      <c r="G159" s="7">
        <f>Raw!AL160</f>
        <v>2</v>
      </c>
      <c r="H159" s="7">
        <f>Raw!AC160</f>
        <v>1</v>
      </c>
      <c r="I159" s="7">
        <f t="shared" si="20"/>
        <v>3</v>
      </c>
      <c r="J159" s="157">
        <f>Raw!BT160</f>
        <v>8</v>
      </c>
      <c r="K159" s="157">
        <f>Raw!AW160</f>
        <v>18</v>
      </c>
      <c r="L159" s="42">
        <f>IF(Raw!CE160 = "NA", "-", Raw!CE160)</f>
        <v>2.2999999999999998</v>
      </c>
      <c r="M159" s="42">
        <f>IF(Raw!BH160 = "NA", "-", Raw!BH160)</f>
        <v>3.3</v>
      </c>
      <c r="N159" s="46">
        <f>IF(Raw!CD160 = "NA", "-", Raw!CD160)</f>
        <v>19</v>
      </c>
      <c r="O159" s="46">
        <f>IF(Raw!BG160 = "NA", "-", Raw!BG160)</f>
        <v>28</v>
      </c>
      <c r="P159" s="32">
        <f>IF(Raw!AW160 = "NA", "-", SUMPRODUCT(Raw!$BT$2:$CC$2, Raw!BT160:CC160))</f>
        <v>64</v>
      </c>
      <c r="Q159" s="32">
        <f>IF(Raw!AW160 = "NA", "-", SUMPRODUCT(Raw!$AW$2:$BF$2, Raw!AW160:BF160))</f>
        <v>59</v>
      </c>
      <c r="R159" s="7" t="str" cm="1">
        <f t="array" ref="R159">_xlfn.IFS(S159="YES", "Hourly", T159="YES", "Flat Rate")</f>
        <v>Hourly</v>
      </c>
      <c r="S159" s="8" t="str">
        <f>IF(Raw!CO160=1, "YES", "")</f>
        <v>YES</v>
      </c>
      <c r="T159" s="8" t="str">
        <f>IF(Raw!CO160=2, "YES", "")</f>
        <v/>
      </c>
      <c r="U159" s="96" t="str">
        <f>IF(Raw!CP160=1, "YES", "")</f>
        <v/>
      </c>
      <c r="V159" s="96"/>
      <c r="X159" s="23">
        <f>SUMPRODUCT(Raw!$BT$3:$CC$3, Raw!BT160:CC160)</f>
        <v>30</v>
      </c>
      <c r="Y159" s="23">
        <f>SUMPRODUCT(Raw!$BT$3:$CC$3, Raw!BU160:CD160)</f>
        <v>59</v>
      </c>
      <c r="Z159" s="28">
        <f t="shared" si="23"/>
        <v>209</v>
      </c>
      <c r="AA159" s="28">
        <f t="shared" si="24"/>
        <v>10898</v>
      </c>
      <c r="AC159">
        <f t="shared" si="25"/>
        <v>8</v>
      </c>
      <c r="AD159" s="23">
        <f>IF(U159="YES",SUMPRODUCT(Raw!$BT$3:$CC$3,Raw!BT160:CC160)*0.6,SUMPRODUCT(Raw!$BT$3:$CC$3,Raw!BT160:CC160))</f>
        <v>30</v>
      </c>
      <c r="AE159" s="23">
        <f>IF(U159="YES",SUMPRODUCT(Raw!$BT$3:$CC$3,Raw!BU160:CD160)*0.6,SUMPRODUCT(Raw!$BT$3:$CC$3,Raw!BU160:CD160))</f>
        <v>59</v>
      </c>
      <c r="AF159" s="28">
        <f t="shared" si="26"/>
        <v>209</v>
      </c>
      <c r="AG159" s="28">
        <f t="shared" si="27"/>
        <v>10898</v>
      </c>
      <c r="AI159" s="88">
        <f t="shared" si="21"/>
        <v>19</v>
      </c>
      <c r="AJ159" s="88">
        <f t="shared" si="22"/>
        <v>28</v>
      </c>
      <c r="AK159">
        <f t="shared" si="28"/>
        <v>676.5</v>
      </c>
      <c r="AL159">
        <f t="shared" si="29"/>
        <v>35282.5</v>
      </c>
    </row>
    <row r="160" spans="1:38" x14ac:dyDescent="0.25">
      <c r="A160" s="4">
        <f>Raw!J161</f>
        <v>133</v>
      </c>
      <c r="B160" s="4" t="str">
        <f>Raw!K161</f>
        <v>El Camino Real</v>
      </c>
      <c r="C160" s="4" t="str">
        <f>Raw!L161</f>
        <v>Millbrae Ave</v>
      </c>
      <c r="D160" s="4" t="str">
        <f>Raw!M161</f>
        <v>Linden Ave</v>
      </c>
      <c r="E160" s="23" t="str">
        <f>Raw!CG161</f>
        <v>E</v>
      </c>
      <c r="F160" s="7">
        <f>Raw!T161</f>
        <v>0</v>
      </c>
      <c r="G160" s="7">
        <f>Raw!AL161</f>
        <v>0</v>
      </c>
      <c r="H160" s="7">
        <f>Raw!AC161</f>
        <v>0</v>
      </c>
      <c r="I160" s="7">
        <f t="shared" si="20"/>
        <v>0</v>
      </c>
      <c r="J160" s="157">
        <f>Raw!BT161</f>
        <v>0</v>
      </c>
      <c r="K160" s="157">
        <f>Raw!AW161</f>
        <v>0</v>
      </c>
      <c r="L160" s="42">
        <f>IF(Raw!CE161 = "NA", "-", Raw!CE161)</f>
        <v>0</v>
      </c>
      <c r="M160" s="42">
        <f>IF(Raw!BH161 = "NA", "-", Raw!BH161)</f>
        <v>0</v>
      </c>
      <c r="N160" s="46">
        <f>IF(Raw!CD161 = "NA", "-", Raw!CD161)</f>
        <v>0</v>
      </c>
      <c r="O160" s="46">
        <f>IF(Raw!BG161 = "NA", "-", Raw!BG161)</f>
        <v>0</v>
      </c>
      <c r="P160" s="32">
        <f>IF(Raw!AW161 = "NA", "-", SUMPRODUCT(Raw!$BT$2:$CC$2, Raw!BT161:CC161))</f>
        <v>0</v>
      </c>
      <c r="Q160" s="32">
        <f>IF(Raw!AW161 = "NA", "-", SUMPRODUCT(Raw!$AW$2:$BF$2, Raw!AW161:BF161))</f>
        <v>0</v>
      </c>
      <c r="R160" s="7" t="e" cm="1">
        <f t="array" ref="R160">_xlfn.IFS(S160="YES", "Hourly", T160="YES", "Flat Rate")</f>
        <v>#N/A</v>
      </c>
      <c r="S160" s="8" t="str">
        <f>IF(Raw!CO161=1, "YES", "")</f>
        <v/>
      </c>
      <c r="T160" s="8" t="str">
        <f>IF(Raw!CO161=2, "YES", "")</f>
        <v/>
      </c>
      <c r="U160" s="96" t="str">
        <f>IF(Raw!CP161=1, "YES", "")</f>
        <v/>
      </c>
      <c r="V160" s="96"/>
      <c r="X160" s="23">
        <f>SUMPRODUCT(Raw!$BT$3:$CC$3, Raw!BT161:CC161)</f>
        <v>0</v>
      </c>
      <c r="Y160" s="23">
        <f>SUMPRODUCT(Raw!$BT$3:$CC$3, Raw!BU161:CD161)</f>
        <v>0</v>
      </c>
      <c r="Z160" s="28">
        <f t="shared" si="23"/>
        <v>0</v>
      </c>
      <c r="AA160" s="28">
        <f t="shared" si="24"/>
        <v>0</v>
      </c>
      <c r="AC160">
        <f t="shared" si="25"/>
        <v>0</v>
      </c>
      <c r="AD160" s="23">
        <f>IF(U160="YES",SUMPRODUCT(Raw!$BT$3:$CC$3,Raw!BT161:CC161)*0.6,SUMPRODUCT(Raw!$BT$3:$CC$3,Raw!BT161:CC161))</f>
        <v>0</v>
      </c>
      <c r="AE160" s="23">
        <f>IF(U160="YES",SUMPRODUCT(Raw!$BT$3:$CC$3,Raw!BU161:CD161)*0.6,SUMPRODUCT(Raw!$BT$3:$CC$3,Raw!BU161:CD161))</f>
        <v>0</v>
      </c>
      <c r="AF160" s="28">
        <f t="shared" si="26"/>
        <v>0</v>
      </c>
      <c r="AG160" s="28">
        <f t="shared" si="27"/>
        <v>0</v>
      </c>
      <c r="AI160" s="88">
        <f t="shared" si="21"/>
        <v>0</v>
      </c>
      <c r="AJ160" s="88">
        <f t="shared" si="22"/>
        <v>0</v>
      </c>
      <c r="AK160">
        <f t="shared" si="28"/>
        <v>0</v>
      </c>
      <c r="AL160">
        <f t="shared" si="29"/>
        <v>0</v>
      </c>
    </row>
    <row r="161" spans="1:38" x14ac:dyDescent="0.25">
      <c r="A161" s="4">
        <f>Raw!J162</f>
        <v>232</v>
      </c>
      <c r="B161" s="4" t="str">
        <f>Raw!K162</f>
        <v>Chadbourne Ave</v>
      </c>
      <c r="C161" s="4" t="str">
        <f>Raw!L162</f>
        <v>Lewis Ave</v>
      </c>
      <c r="D161" s="4" t="str">
        <f>Raw!M162</f>
        <v>Willow Ave</v>
      </c>
      <c r="E161" s="23" t="str">
        <f>Raw!CG162</f>
        <v>N</v>
      </c>
      <c r="F161" s="7">
        <f>Raw!T162</f>
        <v>8</v>
      </c>
      <c r="G161" s="7">
        <f>Raw!AL162</f>
        <v>0</v>
      </c>
      <c r="H161" s="7">
        <f>Raw!AC162</f>
        <v>1</v>
      </c>
      <c r="I161" s="7">
        <f t="shared" si="20"/>
        <v>1</v>
      </c>
      <c r="J161" s="157" t="str">
        <f>Raw!BT162</f>
        <v>NA</v>
      </c>
      <c r="K161" s="157" t="str">
        <f>Raw!AW162</f>
        <v>NA</v>
      </c>
      <c r="L161" s="42" t="str">
        <f>IF(Raw!CE162 = "NA", "-", Raw!CE162)</f>
        <v>-</v>
      </c>
      <c r="M161" s="42" t="str">
        <f>IF(Raw!BH162 = "NA", "-", Raw!BH162)</f>
        <v>-</v>
      </c>
      <c r="N161" s="46" t="str">
        <f>IF(Raw!CD162 = "NA", "-", Raw!CD162)</f>
        <v>-</v>
      </c>
      <c r="O161" s="46" t="str">
        <f>IF(Raw!BG162 = "NA", "-", Raw!BG162)</f>
        <v>-</v>
      </c>
      <c r="P161" s="32" t="str">
        <f>IF(Raw!AW162 = "NA", "-", SUMPRODUCT(Raw!$BT$2:$CC$2, Raw!BT162:CC162))</f>
        <v>-</v>
      </c>
      <c r="Q161" s="32" t="str">
        <f>IF(Raw!AW162 = "NA", "-", SUMPRODUCT(Raw!$AW$2:$BF$2, Raw!AW162:BF162))</f>
        <v>-</v>
      </c>
      <c r="R161" s="7" t="e" cm="1">
        <f t="array" ref="R161">_xlfn.IFS(S161="YES", "Hourly", T161="YES", "Flat Rate")</f>
        <v>#N/A</v>
      </c>
      <c r="S161" s="8" t="str">
        <f>IF(Raw!CO162=1, "YES", "")</f>
        <v/>
      </c>
      <c r="T161" s="8" t="str">
        <f>IF(Raw!CO162=2, "YES", "")</f>
        <v/>
      </c>
      <c r="U161" s="96" t="str">
        <f>IF(Raw!CP162=1, "YES", "")</f>
        <v/>
      </c>
      <c r="V161" s="96"/>
      <c r="X161" s="23">
        <f>SUMPRODUCT(Raw!$BT$3:$CC$3, Raw!BT162:CC162)</f>
        <v>0</v>
      </c>
      <c r="Y161" s="23">
        <f>SUMPRODUCT(Raw!$BT$3:$CC$3, Raw!BU162:CD162)</f>
        <v>0</v>
      </c>
      <c r="Z161" s="28">
        <f t="shared" si="23"/>
        <v>0</v>
      </c>
      <c r="AA161" s="28">
        <f t="shared" si="24"/>
        <v>0</v>
      </c>
      <c r="AC161">
        <f t="shared" si="25"/>
        <v>8</v>
      </c>
      <c r="AD161" s="23">
        <f>IF(U161="YES",SUMPRODUCT(Raw!$BT$3:$CC$3,Raw!BT162:CC162)*0.6,SUMPRODUCT(Raw!$BT$3:$CC$3,Raw!BT162:CC162))</f>
        <v>0</v>
      </c>
      <c r="AE161" s="23">
        <f>IF(U161="YES",SUMPRODUCT(Raw!$BT$3:$CC$3,Raw!BU162:CD162)*0.6,SUMPRODUCT(Raw!$BT$3:$CC$3,Raw!BU162:CD162))</f>
        <v>0</v>
      </c>
      <c r="AF161" s="28">
        <f t="shared" si="26"/>
        <v>0</v>
      </c>
      <c r="AG161" s="28">
        <f t="shared" si="27"/>
        <v>0</v>
      </c>
      <c r="AI161" s="88" t="str">
        <f t="shared" si="21"/>
        <v>-</v>
      </c>
      <c r="AJ161" s="88" t="str">
        <f t="shared" si="22"/>
        <v>-</v>
      </c>
      <c r="AK161" t="e">
        <f t="shared" si="28"/>
        <v>#VALUE!</v>
      </c>
      <c r="AL161" t="e">
        <f t="shared" si="29"/>
        <v>#VALUE!</v>
      </c>
    </row>
    <row r="162" spans="1:38" x14ac:dyDescent="0.25">
      <c r="A162" s="4">
        <f>Raw!J163</f>
        <v>234</v>
      </c>
      <c r="B162" s="4" t="str">
        <f>Raw!K163</f>
        <v>Chadbourne Ave</v>
      </c>
      <c r="C162" s="4" t="str">
        <f>Raw!L163</f>
        <v>Magnolia Ave</v>
      </c>
      <c r="D162" s="4" t="str">
        <f>Raw!M163</f>
        <v>Lewis Ave</v>
      </c>
      <c r="E162" s="23" t="str">
        <f>Raw!CG163</f>
        <v>N</v>
      </c>
      <c r="F162" s="7">
        <f>Raw!T163</f>
        <v>9</v>
      </c>
      <c r="G162" s="7">
        <f>Raw!AL163</f>
        <v>1</v>
      </c>
      <c r="H162" s="7">
        <f>Raw!AC163</f>
        <v>4</v>
      </c>
      <c r="I162" s="7">
        <f t="shared" si="20"/>
        <v>5</v>
      </c>
      <c r="J162" s="157" t="str">
        <f>Raw!BT163</f>
        <v>NA</v>
      </c>
      <c r="K162" s="157" t="str">
        <f>Raw!AW163</f>
        <v>NA</v>
      </c>
      <c r="L162" s="42" t="str">
        <f>IF(Raw!CE163 = "NA", "-", Raw!CE163)</f>
        <v>-</v>
      </c>
      <c r="M162" s="42" t="str">
        <f>IF(Raw!BH163 = "NA", "-", Raw!BH163)</f>
        <v>-</v>
      </c>
      <c r="N162" s="46" t="str">
        <f>IF(Raw!CD163 = "NA", "-", Raw!CD163)</f>
        <v>-</v>
      </c>
      <c r="O162" s="46" t="str">
        <f>IF(Raw!BG163 = "NA", "-", Raw!BG163)</f>
        <v>-</v>
      </c>
      <c r="P162" s="32" t="str">
        <f>IF(Raw!AW163 = "NA", "-", SUMPRODUCT(Raw!$BT$2:$CC$2, Raw!BT163:CC163))</f>
        <v>-</v>
      </c>
      <c r="Q162" s="32" t="str">
        <f>IF(Raw!AW163 = "NA", "-", SUMPRODUCT(Raw!$AW$2:$BF$2, Raw!AW163:BF163))</f>
        <v>-</v>
      </c>
      <c r="R162" s="7" t="e" cm="1">
        <f t="array" ref="R162">_xlfn.IFS(S162="YES", "Hourly", T162="YES", "Flat Rate")</f>
        <v>#N/A</v>
      </c>
      <c r="S162" s="8" t="str">
        <f>IF(Raw!CO163=1, "YES", "")</f>
        <v/>
      </c>
      <c r="T162" s="8" t="str">
        <f>IF(Raw!CO163=2, "YES", "")</f>
        <v/>
      </c>
      <c r="U162" s="96" t="str">
        <f>IF(Raw!CP163=1, "YES", "")</f>
        <v/>
      </c>
      <c r="V162" s="96"/>
      <c r="X162" s="23">
        <f>SUMPRODUCT(Raw!$BT$3:$CC$3, Raw!BT163:CC163)</f>
        <v>0</v>
      </c>
      <c r="Y162" s="23">
        <f>SUMPRODUCT(Raw!$BT$3:$CC$3, Raw!BU163:CD163)</f>
        <v>0</v>
      </c>
      <c r="Z162" s="28">
        <f t="shared" si="23"/>
        <v>0</v>
      </c>
      <c r="AA162" s="28">
        <f t="shared" si="24"/>
        <v>0</v>
      </c>
      <c r="AC162">
        <f t="shared" si="25"/>
        <v>9</v>
      </c>
      <c r="AD162" s="23">
        <f>IF(U162="YES",SUMPRODUCT(Raw!$BT$3:$CC$3,Raw!BT163:CC163)*0.6,SUMPRODUCT(Raw!$BT$3:$CC$3,Raw!BT163:CC163))</f>
        <v>0</v>
      </c>
      <c r="AE162" s="23">
        <f>IF(U162="YES",SUMPRODUCT(Raw!$BT$3:$CC$3,Raw!BU163:CD163)*0.6,SUMPRODUCT(Raw!$BT$3:$CC$3,Raw!BU163:CD163))</f>
        <v>0</v>
      </c>
      <c r="AF162" s="28">
        <f t="shared" si="26"/>
        <v>0</v>
      </c>
      <c r="AG162" s="28">
        <f t="shared" si="27"/>
        <v>0</v>
      </c>
      <c r="AI162" s="88" t="str">
        <f t="shared" si="21"/>
        <v>-</v>
      </c>
      <c r="AJ162" s="88" t="str">
        <f t="shared" si="22"/>
        <v>-</v>
      </c>
      <c r="AK162" t="e">
        <f t="shared" si="28"/>
        <v>#VALUE!</v>
      </c>
      <c r="AL162" t="e">
        <f t="shared" si="29"/>
        <v>#VALUE!</v>
      </c>
    </row>
    <row r="163" spans="1:38" x14ac:dyDescent="0.25">
      <c r="A163" s="4">
        <f>Raw!J164</f>
        <v>236</v>
      </c>
      <c r="B163" s="4" t="str">
        <f>Raw!K164</f>
        <v>Chadbourne Ave</v>
      </c>
      <c r="C163" s="4" t="str">
        <f>Raw!L164</f>
        <v>Broadway</v>
      </c>
      <c r="D163" s="4" t="str">
        <f>Raw!M164</f>
        <v>Magnolia Ave</v>
      </c>
      <c r="E163" s="23" t="str">
        <f>Raw!CG164</f>
        <v>N</v>
      </c>
      <c r="F163" s="7">
        <f>Raw!T164</f>
        <v>7</v>
      </c>
      <c r="G163" s="7">
        <f>Raw!AL164</f>
        <v>1</v>
      </c>
      <c r="H163" s="7">
        <f>Raw!AC164</f>
        <v>2</v>
      </c>
      <c r="I163" s="7">
        <f t="shared" si="20"/>
        <v>3</v>
      </c>
      <c r="J163" s="157" t="str">
        <f>Raw!BT164</f>
        <v>NA</v>
      </c>
      <c r="K163" s="157" t="str">
        <f>Raw!AW164</f>
        <v>NA</v>
      </c>
      <c r="L163" s="42" t="str">
        <f>IF(Raw!CE164 = "NA", "-", Raw!CE164)</f>
        <v>-</v>
      </c>
      <c r="M163" s="42" t="str">
        <f>IF(Raw!BH164 = "NA", "-", Raw!BH164)</f>
        <v>-</v>
      </c>
      <c r="N163" s="46" t="str">
        <f>IF(Raw!CD164 = "NA", "-", Raw!CD164)</f>
        <v>-</v>
      </c>
      <c r="O163" s="46" t="str">
        <f>IF(Raw!BG164 = "NA", "-", Raw!BG164)</f>
        <v>-</v>
      </c>
      <c r="P163" s="32" t="str">
        <f>IF(Raw!AW164 = "NA", "-", SUMPRODUCT(Raw!$BT$2:$CC$2, Raw!BT164:CC164))</f>
        <v>-</v>
      </c>
      <c r="Q163" s="32" t="str">
        <f>IF(Raw!AW164 = "NA", "-", SUMPRODUCT(Raw!$AW$2:$BF$2, Raw!AW164:BF164))</f>
        <v>-</v>
      </c>
      <c r="R163" s="7" t="e" cm="1">
        <f t="array" ref="R163">_xlfn.IFS(S163="YES", "Hourly", T163="YES", "Flat Rate")</f>
        <v>#N/A</v>
      </c>
      <c r="S163" s="8" t="str">
        <f>IF(Raw!CO164=1, "YES", "")</f>
        <v/>
      </c>
      <c r="T163" s="8" t="str">
        <f>IF(Raw!CO164=2, "YES", "")</f>
        <v/>
      </c>
      <c r="U163" s="96" t="str">
        <f>IF(Raw!CP164=1, "YES", "")</f>
        <v/>
      </c>
      <c r="V163" s="96"/>
      <c r="X163" s="23">
        <f>SUMPRODUCT(Raw!$BT$3:$CC$3, Raw!BT164:CC164)</f>
        <v>0</v>
      </c>
      <c r="Y163" s="23">
        <f>SUMPRODUCT(Raw!$BT$3:$CC$3, Raw!BU164:CD164)</f>
        <v>0</v>
      </c>
      <c r="Z163" s="28">
        <f t="shared" si="23"/>
        <v>0</v>
      </c>
      <c r="AA163" s="28">
        <f t="shared" si="24"/>
        <v>0</v>
      </c>
      <c r="AC163">
        <f t="shared" si="25"/>
        <v>7</v>
      </c>
      <c r="AD163" s="23">
        <f>IF(U163="YES",SUMPRODUCT(Raw!$BT$3:$CC$3,Raw!BT164:CC164)*0.6,SUMPRODUCT(Raw!$BT$3:$CC$3,Raw!BT164:CC164))</f>
        <v>0</v>
      </c>
      <c r="AE163" s="23">
        <f>IF(U163="YES",SUMPRODUCT(Raw!$BT$3:$CC$3,Raw!BU164:CD164)*0.6,SUMPRODUCT(Raw!$BT$3:$CC$3,Raw!BU164:CD164))</f>
        <v>0</v>
      </c>
      <c r="AF163" s="28">
        <f t="shared" si="26"/>
        <v>0</v>
      </c>
      <c r="AG163" s="28">
        <f t="shared" si="27"/>
        <v>0</v>
      </c>
      <c r="AI163" s="88" t="str">
        <f t="shared" si="21"/>
        <v>-</v>
      </c>
      <c r="AJ163" s="88" t="str">
        <f t="shared" si="22"/>
        <v>-</v>
      </c>
      <c r="AK163" t="e">
        <f t="shared" si="28"/>
        <v>#VALUE!</v>
      </c>
      <c r="AL163" t="e">
        <f t="shared" si="29"/>
        <v>#VALUE!</v>
      </c>
    </row>
    <row r="164" spans="1:38" x14ac:dyDescent="0.25">
      <c r="A164" s="4">
        <f>Raw!J165</f>
        <v>238</v>
      </c>
      <c r="B164" s="4" t="str">
        <f>Raw!K165</f>
        <v>Chadbourne Ave</v>
      </c>
      <c r="C164" s="4" t="str">
        <f>Raw!L165</f>
        <v>El Camino Real</v>
      </c>
      <c r="D164" s="4" t="str">
        <f>Raw!M165</f>
        <v>Broadway</v>
      </c>
      <c r="E164" s="23" t="str">
        <f>Raw!CG165</f>
        <v>N</v>
      </c>
      <c r="F164" s="7">
        <f>Raw!T165</f>
        <v>9</v>
      </c>
      <c r="G164" s="7">
        <f>Raw!AL165</f>
        <v>0</v>
      </c>
      <c r="H164" s="7">
        <f>Raw!AC165</f>
        <v>3</v>
      </c>
      <c r="I164" s="7">
        <f t="shared" si="20"/>
        <v>3</v>
      </c>
      <c r="J164" s="157" t="str">
        <f>Raw!BT165</f>
        <v>NA</v>
      </c>
      <c r="K164" s="157" t="str">
        <f>Raw!AW165</f>
        <v>NA</v>
      </c>
      <c r="L164" s="42" t="str">
        <f>IF(Raw!CE165 = "NA", "-", Raw!CE165)</f>
        <v>-</v>
      </c>
      <c r="M164" s="42" t="str">
        <f>IF(Raw!BH165 = "NA", "-", Raw!BH165)</f>
        <v>-</v>
      </c>
      <c r="N164" s="46" t="str">
        <f>IF(Raw!CD165 = "NA", "-", Raw!CD165)</f>
        <v>-</v>
      </c>
      <c r="O164" s="46" t="str">
        <f>IF(Raw!BG165 = "NA", "-", Raw!BG165)</f>
        <v>-</v>
      </c>
      <c r="P164" s="32" t="str">
        <f>IF(Raw!AW165 = "NA", "-", SUMPRODUCT(Raw!$BT$2:$CC$2, Raw!BT165:CC165))</f>
        <v>-</v>
      </c>
      <c r="Q164" s="32" t="str">
        <f>IF(Raw!AW165 = "NA", "-", SUMPRODUCT(Raw!$AW$2:$BF$2, Raw!AW165:BF165))</f>
        <v>-</v>
      </c>
      <c r="R164" s="7" t="e" cm="1">
        <f t="array" ref="R164">_xlfn.IFS(S164="YES", "Hourly", T164="YES", "Flat Rate")</f>
        <v>#N/A</v>
      </c>
      <c r="S164" s="8" t="str">
        <f>IF(Raw!CO165=1, "YES", "")</f>
        <v/>
      </c>
      <c r="T164" s="8" t="str">
        <f>IF(Raw!CO165=2, "YES", "")</f>
        <v/>
      </c>
      <c r="U164" s="96" t="str">
        <f>IF(Raw!CP165=1, "YES", "")</f>
        <v/>
      </c>
      <c r="V164" s="96"/>
      <c r="X164" s="23">
        <f>SUMPRODUCT(Raw!$BT$3:$CC$3, Raw!BT165:CC165)</f>
        <v>0</v>
      </c>
      <c r="Y164" s="23">
        <f>SUMPRODUCT(Raw!$BT$3:$CC$3, Raw!BU165:CD165)</f>
        <v>0</v>
      </c>
      <c r="Z164" s="28">
        <f t="shared" si="23"/>
        <v>0</v>
      </c>
      <c r="AA164" s="28">
        <f t="shared" si="24"/>
        <v>0</v>
      </c>
      <c r="AC164">
        <f t="shared" si="25"/>
        <v>9</v>
      </c>
      <c r="AD164" s="23">
        <f>IF(U164="YES",SUMPRODUCT(Raw!$BT$3:$CC$3,Raw!BT165:CC165)*0.6,SUMPRODUCT(Raw!$BT$3:$CC$3,Raw!BT165:CC165))</f>
        <v>0</v>
      </c>
      <c r="AE164" s="23">
        <f>IF(U164="YES",SUMPRODUCT(Raw!$BT$3:$CC$3,Raw!BU165:CD165)*0.6,SUMPRODUCT(Raw!$BT$3:$CC$3,Raw!BU165:CD165))</f>
        <v>0</v>
      </c>
      <c r="AF164" s="28">
        <f t="shared" si="26"/>
        <v>0</v>
      </c>
      <c r="AG164" s="28">
        <f t="shared" si="27"/>
        <v>0</v>
      </c>
      <c r="AI164" s="88" t="str">
        <f t="shared" si="21"/>
        <v>-</v>
      </c>
      <c r="AJ164" s="88" t="str">
        <f t="shared" si="22"/>
        <v>-</v>
      </c>
      <c r="AK164" t="e">
        <f t="shared" si="28"/>
        <v>#VALUE!</v>
      </c>
      <c r="AL164" t="e">
        <f t="shared" si="29"/>
        <v>#VALUE!</v>
      </c>
    </row>
    <row r="165" spans="1:38" x14ac:dyDescent="0.25">
      <c r="A165" s="4">
        <f>Raw!J166</f>
        <v>239</v>
      </c>
      <c r="B165" s="4" t="str">
        <f>Raw!K166</f>
        <v>Chadbourne Ave</v>
      </c>
      <c r="C165" s="4" t="str">
        <f>Raw!L166</f>
        <v>Broadway</v>
      </c>
      <c r="D165" s="4" t="str">
        <f>Raw!M166</f>
        <v>El Camino Real</v>
      </c>
      <c r="E165" s="23" t="str">
        <f>Raw!CG166</f>
        <v>S</v>
      </c>
      <c r="F165" s="7">
        <f>Raw!T166</f>
        <v>5</v>
      </c>
      <c r="G165" s="7">
        <f>Raw!AL166</f>
        <v>4</v>
      </c>
      <c r="H165" s="7">
        <f>Raw!AC166</f>
        <v>4</v>
      </c>
      <c r="I165" s="7">
        <f t="shared" si="20"/>
        <v>8</v>
      </c>
      <c r="J165" s="157" t="str">
        <f>Raw!BT166</f>
        <v>NA</v>
      </c>
      <c r="K165" s="157" t="str">
        <f>Raw!AW166</f>
        <v>NA</v>
      </c>
      <c r="L165" s="42" t="str">
        <f>IF(Raw!CE166 = "NA", "-", Raw!CE166)</f>
        <v>-</v>
      </c>
      <c r="M165" s="42" t="str">
        <f>IF(Raw!BH166 = "NA", "-", Raw!BH166)</f>
        <v>-</v>
      </c>
      <c r="N165" s="46" t="str">
        <f>IF(Raw!CD166 = "NA", "-", Raw!CD166)</f>
        <v>-</v>
      </c>
      <c r="O165" s="46" t="str">
        <f>IF(Raw!BG166 = "NA", "-", Raw!BG166)</f>
        <v>-</v>
      </c>
      <c r="P165" s="32" t="str">
        <f>IF(Raw!AW166 = "NA", "-", SUMPRODUCT(Raw!$BT$2:$CC$2, Raw!BT166:CC166))</f>
        <v>-</v>
      </c>
      <c r="Q165" s="32" t="str">
        <f>IF(Raw!AW166 = "NA", "-", SUMPRODUCT(Raw!$AW$2:$BF$2, Raw!AW166:BF166))</f>
        <v>-</v>
      </c>
      <c r="R165" s="7" t="e" cm="1">
        <f t="array" ref="R165">_xlfn.IFS(S165="YES", "Hourly", T165="YES", "Flat Rate")</f>
        <v>#N/A</v>
      </c>
      <c r="S165" s="8" t="str">
        <f>IF(Raw!CO166=1, "YES", "")</f>
        <v/>
      </c>
      <c r="T165" s="8" t="str">
        <f>IF(Raw!CO166=2, "YES", "")</f>
        <v/>
      </c>
      <c r="U165" s="96" t="str">
        <f>IF(Raw!CP166=1, "YES", "")</f>
        <v/>
      </c>
      <c r="V165" s="96"/>
      <c r="X165" s="23">
        <f>SUMPRODUCT(Raw!$BT$3:$CC$3, Raw!BT166:CC166)</f>
        <v>0</v>
      </c>
      <c r="Y165" s="23">
        <f>SUMPRODUCT(Raw!$BT$3:$CC$3, Raw!BU166:CD166)</f>
        <v>0</v>
      </c>
      <c r="Z165" s="28">
        <f t="shared" si="23"/>
        <v>0</v>
      </c>
      <c r="AA165" s="28">
        <f t="shared" si="24"/>
        <v>0</v>
      </c>
      <c r="AC165">
        <f t="shared" si="25"/>
        <v>5</v>
      </c>
      <c r="AD165" s="23">
        <f>IF(U165="YES",SUMPRODUCT(Raw!$BT$3:$CC$3,Raw!BT166:CC166)*0.6,SUMPRODUCT(Raw!$BT$3:$CC$3,Raw!BT166:CC166))</f>
        <v>0</v>
      </c>
      <c r="AE165" s="23">
        <f>IF(U165="YES",SUMPRODUCT(Raw!$BT$3:$CC$3,Raw!BU166:CD166)*0.6,SUMPRODUCT(Raw!$BT$3:$CC$3,Raw!BU166:CD166))</f>
        <v>0</v>
      </c>
      <c r="AF165" s="28">
        <f t="shared" si="26"/>
        <v>0</v>
      </c>
      <c r="AG165" s="28">
        <f t="shared" si="27"/>
        <v>0</v>
      </c>
      <c r="AI165" s="88" t="str">
        <f t="shared" si="21"/>
        <v>-</v>
      </c>
      <c r="AJ165" s="88" t="str">
        <f t="shared" si="22"/>
        <v>-</v>
      </c>
      <c r="AK165" t="e">
        <f t="shared" si="28"/>
        <v>#VALUE!</v>
      </c>
      <c r="AL165" t="e">
        <f t="shared" si="29"/>
        <v>#VALUE!</v>
      </c>
    </row>
    <row r="166" spans="1:38" x14ac:dyDescent="0.25">
      <c r="A166" s="4">
        <f>Raw!J167</f>
        <v>237</v>
      </c>
      <c r="B166" s="4" t="str">
        <f>Raw!K167</f>
        <v>Chadbourne Ave</v>
      </c>
      <c r="C166" s="4" t="str">
        <f>Raw!L167</f>
        <v>Magnolia Ave</v>
      </c>
      <c r="D166" s="4" t="str">
        <f>Raw!M167</f>
        <v>Broadway</v>
      </c>
      <c r="E166" s="23" t="str">
        <f>Raw!CG167</f>
        <v>S</v>
      </c>
      <c r="F166" s="7">
        <f>Raw!T167</f>
        <v>8</v>
      </c>
      <c r="G166" s="7">
        <f>Raw!AL167</f>
        <v>4</v>
      </c>
      <c r="H166" s="7">
        <f>Raw!AC167</f>
        <v>4</v>
      </c>
      <c r="I166" s="7">
        <f t="shared" si="20"/>
        <v>8</v>
      </c>
      <c r="J166" s="157" t="str">
        <f>Raw!BT167</f>
        <v>NA</v>
      </c>
      <c r="K166" s="157" t="str">
        <f>Raw!AW167</f>
        <v>NA</v>
      </c>
      <c r="L166" s="42" t="str">
        <f>IF(Raw!CE167 = "NA", "-", Raw!CE167)</f>
        <v>-</v>
      </c>
      <c r="M166" s="42" t="str">
        <f>IF(Raw!BH167 = "NA", "-", Raw!BH167)</f>
        <v>-</v>
      </c>
      <c r="N166" s="46" t="str">
        <f>IF(Raw!CD167 = "NA", "-", Raw!CD167)</f>
        <v>-</v>
      </c>
      <c r="O166" s="46" t="str">
        <f>IF(Raw!BG167 = "NA", "-", Raw!BG167)</f>
        <v>-</v>
      </c>
      <c r="P166" s="32" t="str">
        <f>IF(Raw!AW167 = "NA", "-", SUMPRODUCT(Raw!$BT$2:$CC$2, Raw!BT167:CC167))</f>
        <v>-</v>
      </c>
      <c r="Q166" s="32" t="str">
        <f>IF(Raw!AW167 = "NA", "-", SUMPRODUCT(Raw!$AW$2:$BF$2, Raw!AW167:BF167))</f>
        <v>-</v>
      </c>
      <c r="R166" s="7" t="e" cm="1">
        <f t="array" ref="R166">_xlfn.IFS(S166="YES", "Hourly", T166="YES", "Flat Rate")</f>
        <v>#N/A</v>
      </c>
      <c r="S166" s="8" t="str">
        <f>IF(Raw!CO167=1, "YES", "")</f>
        <v/>
      </c>
      <c r="T166" s="8" t="str">
        <f>IF(Raw!CO167=2, "YES", "")</f>
        <v/>
      </c>
      <c r="U166" s="96" t="str">
        <f>IF(Raw!CP167=1, "YES", "")</f>
        <v/>
      </c>
      <c r="V166" s="96"/>
      <c r="X166" s="23">
        <f>SUMPRODUCT(Raw!$BT$3:$CC$3, Raw!BT167:CC167)</f>
        <v>0</v>
      </c>
      <c r="Y166" s="23">
        <f>SUMPRODUCT(Raw!$BT$3:$CC$3, Raw!BU167:CD167)</f>
        <v>0</v>
      </c>
      <c r="Z166" s="28">
        <f t="shared" si="23"/>
        <v>0</v>
      </c>
      <c r="AA166" s="28">
        <f t="shared" si="24"/>
        <v>0</v>
      </c>
      <c r="AC166">
        <f t="shared" si="25"/>
        <v>8</v>
      </c>
      <c r="AD166" s="23">
        <f>IF(U166="YES",SUMPRODUCT(Raw!$BT$3:$CC$3,Raw!BT167:CC167)*0.6,SUMPRODUCT(Raw!$BT$3:$CC$3,Raw!BT167:CC167))</f>
        <v>0</v>
      </c>
      <c r="AE166" s="23">
        <f>IF(U166="YES",SUMPRODUCT(Raw!$BT$3:$CC$3,Raw!BU167:CD167)*0.6,SUMPRODUCT(Raw!$BT$3:$CC$3,Raw!BU167:CD167))</f>
        <v>0</v>
      </c>
      <c r="AF166" s="28">
        <f t="shared" si="26"/>
        <v>0</v>
      </c>
      <c r="AG166" s="28">
        <f t="shared" si="27"/>
        <v>0</v>
      </c>
      <c r="AI166" s="88" t="str">
        <f t="shared" si="21"/>
        <v>-</v>
      </c>
      <c r="AJ166" s="88" t="str">
        <f t="shared" si="22"/>
        <v>-</v>
      </c>
      <c r="AK166" t="e">
        <f t="shared" si="28"/>
        <v>#VALUE!</v>
      </c>
      <c r="AL166" t="e">
        <f t="shared" si="29"/>
        <v>#VALUE!</v>
      </c>
    </row>
    <row r="167" spans="1:38" x14ac:dyDescent="0.25">
      <c r="A167" s="4">
        <f>Raw!J168</f>
        <v>235</v>
      </c>
      <c r="B167" s="4" t="str">
        <f>Raw!K168</f>
        <v>Chadbourne Ave</v>
      </c>
      <c r="C167" s="4" t="str">
        <f>Raw!L168</f>
        <v>Lewis Ave</v>
      </c>
      <c r="D167" s="4" t="str">
        <f>Raw!M168</f>
        <v>Magnolia Ave</v>
      </c>
      <c r="E167" s="23" t="str">
        <f>Raw!CG168</f>
        <v>S</v>
      </c>
      <c r="F167" s="7">
        <f>Raw!T168</f>
        <v>8</v>
      </c>
      <c r="G167" s="7">
        <f>Raw!AL168</f>
        <v>3</v>
      </c>
      <c r="H167" s="7">
        <f>Raw!AC168</f>
        <v>3</v>
      </c>
      <c r="I167" s="7">
        <f t="shared" si="20"/>
        <v>6</v>
      </c>
      <c r="J167" s="157" t="str">
        <f>Raw!BT168</f>
        <v>NA</v>
      </c>
      <c r="K167" s="157" t="str">
        <f>Raw!AW168</f>
        <v>NA</v>
      </c>
      <c r="L167" s="42" t="str">
        <f>IF(Raw!CE168 = "NA", "-", Raw!CE168)</f>
        <v>-</v>
      </c>
      <c r="M167" s="42" t="str">
        <f>IF(Raw!BH168 = "NA", "-", Raw!BH168)</f>
        <v>-</v>
      </c>
      <c r="N167" s="46" t="str">
        <f>IF(Raw!CD168 = "NA", "-", Raw!CD168)</f>
        <v>-</v>
      </c>
      <c r="O167" s="46" t="str">
        <f>IF(Raw!BG168 = "NA", "-", Raw!BG168)</f>
        <v>-</v>
      </c>
      <c r="P167" s="32" t="str">
        <f>IF(Raw!AW168 = "NA", "-", SUMPRODUCT(Raw!$BT$2:$CC$2, Raw!BT168:CC168))</f>
        <v>-</v>
      </c>
      <c r="Q167" s="32" t="str">
        <f>IF(Raw!AW168 = "NA", "-", SUMPRODUCT(Raw!$AW$2:$BF$2, Raw!AW168:BF168))</f>
        <v>-</v>
      </c>
      <c r="R167" s="7" t="e" cm="1">
        <f t="array" ref="R167">_xlfn.IFS(S167="YES", "Hourly", T167="YES", "Flat Rate")</f>
        <v>#N/A</v>
      </c>
      <c r="S167" s="8" t="str">
        <f>IF(Raw!CO168=1, "YES", "")</f>
        <v/>
      </c>
      <c r="T167" s="8" t="str">
        <f>IF(Raw!CO168=2, "YES", "")</f>
        <v/>
      </c>
      <c r="U167" s="96" t="str">
        <f>IF(Raw!CP168=1, "YES", "")</f>
        <v/>
      </c>
      <c r="V167" s="96"/>
      <c r="X167" s="23">
        <f>SUMPRODUCT(Raw!$BT$3:$CC$3, Raw!BT168:CC168)</f>
        <v>0</v>
      </c>
      <c r="Y167" s="23">
        <f>SUMPRODUCT(Raw!$BT$3:$CC$3, Raw!BU168:CD168)</f>
        <v>0</v>
      </c>
      <c r="Z167" s="28">
        <f t="shared" si="23"/>
        <v>0</v>
      </c>
      <c r="AA167" s="28">
        <f t="shared" si="24"/>
        <v>0</v>
      </c>
      <c r="AC167">
        <f t="shared" si="25"/>
        <v>8</v>
      </c>
      <c r="AD167" s="23">
        <f>IF(U167="YES",SUMPRODUCT(Raw!$BT$3:$CC$3,Raw!BT168:CC168)*0.6,SUMPRODUCT(Raw!$BT$3:$CC$3,Raw!BT168:CC168))</f>
        <v>0</v>
      </c>
      <c r="AE167" s="23">
        <f>IF(U167="YES",SUMPRODUCT(Raw!$BT$3:$CC$3,Raw!BU168:CD168)*0.6,SUMPRODUCT(Raw!$BT$3:$CC$3,Raw!BU168:CD168))</f>
        <v>0</v>
      </c>
      <c r="AF167" s="28">
        <f t="shared" si="26"/>
        <v>0</v>
      </c>
      <c r="AG167" s="28">
        <f t="shared" si="27"/>
        <v>0</v>
      </c>
      <c r="AI167" s="88" t="str">
        <f t="shared" si="21"/>
        <v>-</v>
      </c>
      <c r="AJ167" s="88" t="str">
        <f t="shared" si="22"/>
        <v>-</v>
      </c>
      <c r="AK167" t="e">
        <f t="shared" si="28"/>
        <v>#VALUE!</v>
      </c>
      <c r="AL167" t="e">
        <f t="shared" si="29"/>
        <v>#VALUE!</v>
      </c>
    </row>
    <row r="168" spans="1:38" x14ac:dyDescent="0.25">
      <c r="A168" s="4">
        <f>Raw!J169</f>
        <v>233</v>
      </c>
      <c r="B168" s="4" t="str">
        <f>Raw!K169</f>
        <v>Chadbourne Ave</v>
      </c>
      <c r="C168" s="4" t="str">
        <f>Raw!L169</f>
        <v>Willow Ave</v>
      </c>
      <c r="D168" s="4" t="str">
        <f>Raw!M169</f>
        <v>Lewis Ave</v>
      </c>
      <c r="E168" s="23" t="str">
        <f>Raw!CG169</f>
        <v>S</v>
      </c>
      <c r="F168" s="7">
        <f>Raw!T169</f>
        <v>10</v>
      </c>
      <c r="G168" s="7">
        <f>Raw!AL169</f>
        <v>0</v>
      </c>
      <c r="H168" s="7">
        <f>Raw!AC169</f>
        <v>1</v>
      </c>
      <c r="I168" s="7">
        <f t="shared" si="20"/>
        <v>1</v>
      </c>
      <c r="J168" s="157" t="str">
        <f>Raw!BT169</f>
        <v>NA</v>
      </c>
      <c r="K168" s="157" t="str">
        <f>Raw!AW169</f>
        <v>NA</v>
      </c>
      <c r="L168" s="42" t="str">
        <f>IF(Raw!CE169 = "NA", "-", Raw!CE169)</f>
        <v>-</v>
      </c>
      <c r="M168" s="42" t="str">
        <f>IF(Raw!BH169 = "NA", "-", Raw!BH169)</f>
        <v>-</v>
      </c>
      <c r="N168" s="46" t="str">
        <f>IF(Raw!CD169 = "NA", "-", Raw!CD169)</f>
        <v>-</v>
      </c>
      <c r="O168" s="46" t="str">
        <f>IF(Raw!BG169 = "NA", "-", Raw!BG169)</f>
        <v>-</v>
      </c>
      <c r="P168" s="32" t="str">
        <f>IF(Raw!AW169 = "NA", "-", SUMPRODUCT(Raw!$BT$2:$CC$2, Raw!BT169:CC169))</f>
        <v>-</v>
      </c>
      <c r="Q168" s="32" t="str">
        <f>IF(Raw!AW169 = "NA", "-", SUMPRODUCT(Raw!$AW$2:$BF$2, Raw!AW169:BF169))</f>
        <v>-</v>
      </c>
      <c r="R168" s="7" t="e" cm="1">
        <f t="array" ref="R168">_xlfn.IFS(S168="YES", "Hourly", T168="YES", "Flat Rate")</f>
        <v>#N/A</v>
      </c>
      <c r="S168" s="8" t="str">
        <f>IF(Raw!CO169=1, "YES", "")</f>
        <v/>
      </c>
      <c r="T168" s="8" t="str">
        <f>IF(Raw!CO169=2, "YES", "")</f>
        <v/>
      </c>
      <c r="U168" s="96" t="str">
        <f>IF(Raw!CP169=1, "YES", "")</f>
        <v/>
      </c>
      <c r="V168" s="96"/>
      <c r="X168" s="23">
        <f>SUMPRODUCT(Raw!$BT$3:$CC$3, Raw!BT169:CC169)</f>
        <v>0</v>
      </c>
      <c r="Y168" s="23">
        <f>SUMPRODUCT(Raw!$BT$3:$CC$3, Raw!BU169:CD169)</f>
        <v>0</v>
      </c>
      <c r="Z168" s="28">
        <f t="shared" si="23"/>
        <v>0</v>
      </c>
      <c r="AA168" s="28">
        <f t="shared" si="24"/>
        <v>0</v>
      </c>
      <c r="AC168">
        <f t="shared" si="25"/>
        <v>10</v>
      </c>
      <c r="AD168" s="23">
        <f>IF(U168="YES",SUMPRODUCT(Raw!$BT$3:$CC$3,Raw!BT169:CC169)*0.6,SUMPRODUCT(Raw!$BT$3:$CC$3,Raw!BT169:CC169))</f>
        <v>0</v>
      </c>
      <c r="AE168" s="23">
        <f>IF(U168="YES",SUMPRODUCT(Raw!$BT$3:$CC$3,Raw!BU169:CD169)*0.6,SUMPRODUCT(Raw!$BT$3:$CC$3,Raw!BU169:CD169))</f>
        <v>0</v>
      </c>
      <c r="AF168" s="28">
        <f t="shared" si="26"/>
        <v>0</v>
      </c>
      <c r="AG168" s="28">
        <f t="shared" si="27"/>
        <v>0</v>
      </c>
      <c r="AI168" s="88" t="str">
        <f t="shared" si="21"/>
        <v>-</v>
      </c>
      <c r="AJ168" s="88" t="str">
        <f t="shared" si="22"/>
        <v>-</v>
      </c>
      <c r="AK168" t="e">
        <f t="shared" si="28"/>
        <v>#VALUE!</v>
      </c>
      <c r="AL168" t="e">
        <f t="shared" si="29"/>
        <v>#VALUE!</v>
      </c>
    </row>
    <row r="169" spans="1:38" x14ac:dyDescent="0.25">
      <c r="A169" s="4">
        <f>Raw!J170</f>
        <v>1</v>
      </c>
      <c r="B169" s="4" t="str">
        <f>Raw!K170</f>
        <v>Palm Ave</v>
      </c>
      <c r="C169" s="4" t="str">
        <f>Raw!L170</f>
        <v>Richmond Dr</v>
      </c>
      <c r="D169" s="4" t="str">
        <f>Raw!M170</f>
        <v>Taylor Blvd</v>
      </c>
      <c r="E169" s="23" t="str">
        <f>Raw!CG170</f>
        <v>W</v>
      </c>
      <c r="F169" s="7">
        <f>Raw!T170</f>
        <v>44</v>
      </c>
      <c r="G169" s="7">
        <f>Raw!AL170</f>
        <v>0</v>
      </c>
      <c r="H169" s="7">
        <f>Raw!AC170</f>
        <v>0</v>
      </c>
      <c r="I169" s="7">
        <f t="shared" si="20"/>
        <v>0</v>
      </c>
      <c r="J169" s="157" t="str">
        <f>Raw!BT170</f>
        <v>NA</v>
      </c>
      <c r="K169" s="157" t="str">
        <f>Raw!AW170</f>
        <v>NA</v>
      </c>
      <c r="L169" s="42" t="str">
        <f>IF(Raw!CE170 = "NA", "-", Raw!CE170)</f>
        <v>-</v>
      </c>
      <c r="M169" s="42" t="str">
        <f>IF(Raw!BH170 = "NA", "-", Raw!BH170)</f>
        <v>-</v>
      </c>
      <c r="N169" s="46" t="str">
        <f>IF(Raw!CD170 = "NA", "-", Raw!CD170)</f>
        <v>-</v>
      </c>
      <c r="O169" s="46" t="str">
        <f>IF(Raw!BG170 = "NA", "-", Raw!BG170)</f>
        <v>-</v>
      </c>
      <c r="P169" s="32" t="str">
        <f>IF(Raw!AW170 = "NA", "-", SUMPRODUCT(Raw!$BT$2:$CC$2, Raw!BT170:CC170))</f>
        <v>-</v>
      </c>
      <c r="Q169" s="32" t="str">
        <f>IF(Raw!AW170 = "NA", "-", SUMPRODUCT(Raw!$AW$2:$BF$2, Raw!AW170:BF170))</f>
        <v>-</v>
      </c>
      <c r="R169" s="7" t="e" cm="1">
        <f t="array" ref="R169">_xlfn.IFS(S169="YES", "Hourly", T169="YES", "Flat Rate")</f>
        <v>#N/A</v>
      </c>
      <c r="S169" s="8" t="str">
        <f>IF(Raw!CO170=1, "YES", "")</f>
        <v/>
      </c>
      <c r="T169" s="8" t="str">
        <f>IF(Raw!CO170=2, "YES", "")</f>
        <v/>
      </c>
      <c r="U169" s="96" t="str">
        <f>IF(Raw!CP170=1, "YES", "")</f>
        <v/>
      </c>
      <c r="V169" s="96"/>
      <c r="X169" s="23">
        <f>SUMPRODUCT(Raw!$BT$3:$CC$3, Raw!BT170:CC170)</f>
        <v>0</v>
      </c>
      <c r="Y169" s="23">
        <f>SUMPRODUCT(Raw!$BT$3:$CC$3, Raw!BU170:CD170)</f>
        <v>0</v>
      </c>
      <c r="Z169" s="28">
        <f t="shared" si="23"/>
        <v>0</v>
      </c>
      <c r="AA169" s="28">
        <f t="shared" si="24"/>
        <v>0</v>
      </c>
      <c r="AC169">
        <f t="shared" si="25"/>
        <v>44</v>
      </c>
      <c r="AD169" s="23">
        <f>IF(U169="YES",SUMPRODUCT(Raw!$BT$3:$CC$3,Raw!BT170:CC170)*0.6,SUMPRODUCT(Raw!$BT$3:$CC$3,Raw!BT170:CC170))</f>
        <v>0</v>
      </c>
      <c r="AE169" s="23">
        <f>IF(U169="YES",SUMPRODUCT(Raw!$BT$3:$CC$3,Raw!BU170:CD170)*0.6,SUMPRODUCT(Raw!$BT$3:$CC$3,Raw!BU170:CD170))</f>
        <v>0</v>
      </c>
      <c r="AF169" s="28">
        <f t="shared" si="26"/>
        <v>0</v>
      </c>
      <c r="AG169" s="28">
        <f t="shared" si="27"/>
        <v>0</v>
      </c>
      <c r="AI169" s="88" t="str">
        <f t="shared" si="21"/>
        <v>-</v>
      </c>
      <c r="AJ169" s="88" t="str">
        <f t="shared" si="22"/>
        <v>-</v>
      </c>
      <c r="AK169" t="e">
        <f t="shared" si="28"/>
        <v>#VALUE!</v>
      </c>
      <c r="AL169" t="e">
        <f t="shared" si="29"/>
        <v>#VALUE!</v>
      </c>
    </row>
    <row r="170" spans="1:38" x14ac:dyDescent="0.25">
      <c r="A170" s="4">
        <f>Raw!J171</f>
        <v>181</v>
      </c>
      <c r="B170" s="4" t="str">
        <f>Raw!K171</f>
        <v>Lansdale Ave</v>
      </c>
      <c r="C170" s="4" t="str">
        <f>Raw!L171</f>
        <v>Palm Ave</v>
      </c>
      <c r="D170" s="4" t="str">
        <f>Raw!M171</f>
        <v>Poplar Ave</v>
      </c>
      <c r="E170" s="23" t="str">
        <f>Raw!CG171</f>
        <v>S</v>
      </c>
      <c r="F170" s="7">
        <f>Raw!T171</f>
        <v>20</v>
      </c>
      <c r="G170" s="7">
        <f>Raw!AL171</f>
        <v>0</v>
      </c>
      <c r="H170" s="7">
        <f>Raw!AC171</f>
        <v>1</v>
      </c>
      <c r="I170" s="7">
        <f t="shared" si="20"/>
        <v>1</v>
      </c>
      <c r="J170" s="157" t="str">
        <f>Raw!BT171</f>
        <v>NA</v>
      </c>
      <c r="K170" s="157" t="str">
        <f>Raw!AW171</f>
        <v>NA</v>
      </c>
      <c r="L170" s="42" t="str">
        <f>IF(Raw!CE171 = "NA", "-", Raw!CE171)</f>
        <v>-</v>
      </c>
      <c r="M170" s="42" t="str">
        <f>IF(Raw!BH171 = "NA", "-", Raw!BH171)</f>
        <v>-</v>
      </c>
      <c r="N170" s="46" t="str">
        <f>IF(Raw!CD171 = "NA", "-", Raw!CD171)</f>
        <v>-</v>
      </c>
      <c r="O170" s="46" t="str">
        <f>IF(Raw!BG171 = "NA", "-", Raw!BG171)</f>
        <v>-</v>
      </c>
      <c r="P170" s="32" t="str">
        <f>IF(Raw!AW171 = "NA", "-", SUMPRODUCT(Raw!$BT$2:$CC$2, Raw!BT171:CC171))</f>
        <v>-</v>
      </c>
      <c r="Q170" s="32" t="str">
        <f>IF(Raw!AW171 = "NA", "-", SUMPRODUCT(Raw!$AW$2:$BF$2, Raw!AW171:BF171))</f>
        <v>-</v>
      </c>
      <c r="R170" s="7" t="e" cm="1">
        <f t="array" ref="R170">_xlfn.IFS(S170="YES", "Hourly", T170="YES", "Flat Rate")</f>
        <v>#N/A</v>
      </c>
      <c r="S170" s="8" t="str">
        <f>IF(Raw!CO171=1, "YES", "")</f>
        <v/>
      </c>
      <c r="T170" s="8" t="str">
        <f>IF(Raw!CO171=2, "YES", "")</f>
        <v/>
      </c>
      <c r="U170" s="96" t="str">
        <f>IF(Raw!CP171=1, "YES", "")</f>
        <v/>
      </c>
      <c r="V170" s="96"/>
      <c r="X170" s="23">
        <f>SUMPRODUCT(Raw!$BT$3:$CC$3, Raw!BT171:CC171)</f>
        <v>0</v>
      </c>
      <c r="Y170" s="23">
        <f>SUMPRODUCT(Raw!$BT$3:$CC$3, Raw!BU171:CD171)</f>
        <v>0</v>
      </c>
      <c r="Z170" s="28">
        <f t="shared" si="23"/>
        <v>0</v>
      </c>
      <c r="AA170" s="28">
        <f t="shared" si="24"/>
        <v>0</v>
      </c>
      <c r="AC170">
        <f t="shared" si="25"/>
        <v>20</v>
      </c>
      <c r="AD170" s="23">
        <f>IF(U170="YES",SUMPRODUCT(Raw!$BT$3:$CC$3,Raw!BT171:CC171)*0.6,SUMPRODUCT(Raw!$BT$3:$CC$3,Raw!BT171:CC171))</f>
        <v>0</v>
      </c>
      <c r="AE170" s="23">
        <f>IF(U170="YES",SUMPRODUCT(Raw!$BT$3:$CC$3,Raw!BU171:CD171)*0.6,SUMPRODUCT(Raw!$BT$3:$CC$3,Raw!BU171:CD171))</f>
        <v>0</v>
      </c>
      <c r="AF170" s="28">
        <f t="shared" si="26"/>
        <v>0</v>
      </c>
      <c r="AG170" s="28">
        <f t="shared" si="27"/>
        <v>0</v>
      </c>
      <c r="AI170" s="88" t="str">
        <f t="shared" si="21"/>
        <v>-</v>
      </c>
      <c r="AJ170" s="88" t="str">
        <f t="shared" si="22"/>
        <v>-</v>
      </c>
      <c r="AK170" t="e">
        <f t="shared" si="28"/>
        <v>#VALUE!</v>
      </c>
      <c r="AL170" t="e">
        <f t="shared" si="29"/>
        <v>#VALUE!</v>
      </c>
    </row>
    <row r="171" spans="1:38" x14ac:dyDescent="0.25">
      <c r="A171" s="4">
        <f>Raw!J172</f>
        <v>3</v>
      </c>
      <c r="B171" s="4" t="str">
        <f>Raw!K172</f>
        <v>Palm Ave</v>
      </c>
      <c r="C171" s="4" t="str">
        <f>Raw!L172</f>
        <v>Taylor Blvd</v>
      </c>
      <c r="D171" s="4" t="str">
        <f>Raw!M172</f>
        <v>Lansdale Ave</v>
      </c>
      <c r="E171" s="23" t="str">
        <f>Raw!CG172</f>
        <v>E</v>
      </c>
      <c r="F171" s="7">
        <f>Raw!T172</f>
        <v>23</v>
      </c>
      <c r="G171" s="7">
        <f>Raw!AL172</f>
        <v>0</v>
      </c>
      <c r="H171" s="7">
        <f>Raw!AC172</f>
        <v>0</v>
      </c>
      <c r="I171" s="7">
        <f t="shared" si="20"/>
        <v>0</v>
      </c>
      <c r="J171" s="157" t="str">
        <f>Raw!BT172</f>
        <v>NA</v>
      </c>
      <c r="K171" s="157" t="str">
        <f>Raw!AW172</f>
        <v>NA</v>
      </c>
      <c r="L171" s="42" t="str">
        <f>IF(Raw!CE172 = "NA", "-", Raw!CE172)</f>
        <v>-</v>
      </c>
      <c r="M171" s="42" t="str">
        <f>IF(Raw!BH172 = "NA", "-", Raw!BH172)</f>
        <v>-</v>
      </c>
      <c r="N171" s="46" t="str">
        <f>IF(Raw!CD172 = "NA", "-", Raw!CD172)</f>
        <v>-</v>
      </c>
      <c r="O171" s="46" t="str">
        <f>IF(Raw!BG172 = "NA", "-", Raw!BG172)</f>
        <v>-</v>
      </c>
      <c r="P171" s="32" t="str">
        <f>IF(Raw!AW172 = "NA", "-", SUMPRODUCT(Raw!$BT$2:$CC$2, Raw!BT172:CC172))</f>
        <v>-</v>
      </c>
      <c r="Q171" s="32" t="str">
        <f>IF(Raw!AW172 = "NA", "-", SUMPRODUCT(Raw!$AW$2:$BF$2, Raw!AW172:BF172))</f>
        <v>-</v>
      </c>
      <c r="R171" s="7" t="e" cm="1">
        <f t="array" ref="R171">_xlfn.IFS(S171="YES", "Hourly", T171="YES", "Flat Rate")</f>
        <v>#N/A</v>
      </c>
      <c r="S171" s="8" t="str">
        <f>IF(Raw!CO172=1, "YES", "")</f>
        <v/>
      </c>
      <c r="T171" s="8" t="str">
        <f>IF(Raw!CO172=2, "YES", "")</f>
        <v/>
      </c>
      <c r="U171" s="96" t="str">
        <f>IF(Raw!CP172=1, "YES", "")</f>
        <v/>
      </c>
      <c r="V171" s="96"/>
      <c r="X171" s="23">
        <f>SUMPRODUCT(Raw!$BT$3:$CC$3, Raw!BT172:CC172)</f>
        <v>0</v>
      </c>
      <c r="Y171" s="23">
        <f>SUMPRODUCT(Raw!$BT$3:$CC$3, Raw!BU172:CD172)</f>
        <v>0</v>
      </c>
      <c r="Z171" s="28">
        <f t="shared" si="23"/>
        <v>0</v>
      </c>
      <c r="AA171" s="28">
        <f t="shared" si="24"/>
        <v>0</v>
      </c>
      <c r="AC171">
        <f t="shared" si="25"/>
        <v>23</v>
      </c>
      <c r="AD171" s="23">
        <f>IF(U171="YES",SUMPRODUCT(Raw!$BT$3:$CC$3,Raw!BT172:CC172)*0.6,SUMPRODUCT(Raw!$BT$3:$CC$3,Raw!BT172:CC172))</f>
        <v>0</v>
      </c>
      <c r="AE171" s="23">
        <f>IF(U171="YES",SUMPRODUCT(Raw!$BT$3:$CC$3,Raw!BU172:CD172)*0.6,SUMPRODUCT(Raw!$BT$3:$CC$3,Raw!BU172:CD172))</f>
        <v>0</v>
      </c>
      <c r="AF171" s="28">
        <f t="shared" si="26"/>
        <v>0</v>
      </c>
      <c r="AG171" s="28">
        <f t="shared" si="27"/>
        <v>0</v>
      </c>
      <c r="AI171" s="88" t="str">
        <f t="shared" si="21"/>
        <v>-</v>
      </c>
      <c r="AJ171" s="88" t="str">
        <f t="shared" si="22"/>
        <v>-</v>
      </c>
      <c r="AK171" t="e">
        <f t="shared" si="28"/>
        <v>#VALUE!</v>
      </c>
      <c r="AL171" t="e">
        <f t="shared" si="29"/>
        <v>#VALUE!</v>
      </c>
    </row>
    <row r="172" spans="1:38" x14ac:dyDescent="0.25">
      <c r="A172" s="4">
        <f>Raw!J173</f>
        <v>188</v>
      </c>
      <c r="B172" s="4" t="str">
        <f>Raw!K173</f>
        <v>Taylor Blvd</v>
      </c>
      <c r="C172" s="4" t="str">
        <f>Raw!L173</f>
        <v>Elder Ave</v>
      </c>
      <c r="D172" s="4" t="str">
        <f>Raw!M173</f>
        <v>Palm Ave</v>
      </c>
      <c r="E172" s="23" t="str">
        <f>Raw!CG173</f>
        <v>N</v>
      </c>
      <c r="F172" s="7">
        <f>Raw!T173</f>
        <v>9</v>
      </c>
      <c r="G172" s="7">
        <f>Raw!AL173</f>
        <v>0</v>
      </c>
      <c r="H172" s="7">
        <f>Raw!AC173</f>
        <v>0</v>
      </c>
      <c r="I172" s="7">
        <f t="shared" si="20"/>
        <v>0</v>
      </c>
      <c r="J172" s="157" t="str">
        <f>Raw!BT173</f>
        <v>NA</v>
      </c>
      <c r="K172" s="157" t="str">
        <f>Raw!AW173</f>
        <v>NA</v>
      </c>
      <c r="L172" s="42" t="str">
        <f>IF(Raw!CE173 = "NA", "-", Raw!CE173)</f>
        <v>-</v>
      </c>
      <c r="M172" s="42" t="str">
        <f>IF(Raw!BH173 = "NA", "-", Raw!BH173)</f>
        <v>-</v>
      </c>
      <c r="N172" s="46" t="str">
        <f>IF(Raw!CD173 = "NA", "-", Raw!CD173)</f>
        <v>-</v>
      </c>
      <c r="O172" s="46" t="str">
        <f>IF(Raw!BG173 = "NA", "-", Raw!BG173)</f>
        <v>-</v>
      </c>
      <c r="P172" s="32" t="str">
        <f>IF(Raw!AW173 = "NA", "-", SUMPRODUCT(Raw!$BT$2:$CC$2, Raw!BT173:CC173))</f>
        <v>-</v>
      </c>
      <c r="Q172" s="32" t="str">
        <f>IF(Raw!AW173 = "NA", "-", SUMPRODUCT(Raw!$AW$2:$BF$2, Raw!AW173:BF173))</f>
        <v>-</v>
      </c>
      <c r="R172" s="7" t="e" cm="1">
        <f t="array" ref="R172">_xlfn.IFS(S172="YES", "Hourly", T172="YES", "Flat Rate")</f>
        <v>#N/A</v>
      </c>
      <c r="S172" s="8" t="str">
        <f>IF(Raw!CO173=1, "YES", "")</f>
        <v/>
      </c>
      <c r="T172" s="8" t="str">
        <f>IF(Raw!CO173=2, "YES", "")</f>
        <v/>
      </c>
      <c r="U172" s="96" t="str">
        <f>IF(Raw!CP173=1, "YES", "")</f>
        <v/>
      </c>
      <c r="V172" s="96"/>
      <c r="X172" s="23">
        <f>SUMPRODUCT(Raw!$BT$3:$CC$3, Raw!BT173:CC173)</f>
        <v>0</v>
      </c>
      <c r="Y172" s="23">
        <f>SUMPRODUCT(Raw!$BT$3:$CC$3, Raw!BU173:CD173)</f>
        <v>0</v>
      </c>
      <c r="Z172" s="28">
        <f t="shared" si="23"/>
        <v>0</v>
      </c>
      <c r="AA172" s="28">
        <f t="shared" si="24"/>
        <v>0</v>
      </c>
      <c r="AC172">
        <f t="shared" si="25"/>
        <v>9</v>
      </c>
      <c r="AD172" s="23">
        <f>IF(U172="YES",SUMPRODUCT(Raw!$BT$3:$CC$3,Raw!BT173:CC173)*0.6,SUMPRODUCT(Raw!$BT$3:$CC$3,Raw!BT173:CC173))</f>
        <v>0</v>
      </c>
      <c r="AE172" s="23">
        <f>IF(U172="YES",SUMPRODUCT(Raw!$BT$3:$CC$3,Raw!BU173:CD173)*0.6,SUMPRODUCT(Raw!$BT$3:$CC$3,Raw!BU173:CD173))</f>
        <v>0</v>
      </c>
      <c r="AF172" s="28">
        <f t="shared" si="26"/>
        <v>0</v>
      </c>
      <c r="AG172" s="28">
        <f t="shared" si="27"/>
        <v>0</v>
      </c>
      <c r="AI172" s="88" t="str">
        <f t="shared" si="21"/>
        <v>-</v>
      </c>
      <c r="AJ172" s="88" t="str">
        <f t="shared" si="22"/>
        <v>-</v>
      </c>
      <c r="AK172" t="e">
        <f t="shared" si="28"/>
        <v>#VALUE!</v>
      </c>
      <c r="AL172" t="e">
        <f t="shared" si="29"/>
        <v>#VALUE!</v>
      </c>
    </row>
    <row r="173" spans="1:38" x14ac:dyDescent="0.25">
      <c r="A173" s="4">
        <f>Raw!J174</f>
        <v>12</v>
      </c>
      <c r="B173" s="4" t="str">
        <f>Raw!K174</f>
        <v>Elder Ave</v>
      </c>
      <c r="C173" s="4" t="str">
        <f>Raw!L174</f>
        <v>Taylor Blvd</v>
      </c>
      <c r="D173" s="4" t="str">
        <f>Raw!M174</f>
        <v>End</v>
      </c>
      <c r="E173" s="23" t="str">
        <f>Raw!CG174</f>
        <v>W</v>
      </c>
      <c r="F173" s="7">
        <f>Raw!T174</f>
        <v>10</v>
      </c>
      <c r="G173" s="7">
        <f>Raw!AL174</f>
        <v>0</v>
      </c>
      <c r="H173" s="7">
        <f>Raw!AC174</f>
        <v>1</v>
      </c>
      <c r="I173" s="7">
        <f t="shared" si="20"/>
        <v>1</v>
      </c>
      <c r="J173" s="157" t="str">
        <f>Raw!BT174</f>
        <v>NA</v>
      </c>
      <c r="K173" s="157" t="str">
        <f>Raw!AW174</f>
        <v>NA</v>
      </c>
      <c r="L173" s="42" t="str">
        <f>IF(Raw!CE174 = "NA", "-", Raw!CE174)</f>
        <v>-</v>
      </c>
      <c r="M173" s="42" t="str">
        <f>IF(Raw!BH174 = "NA", "-", Raw!BH174)</f>
        <v>-</v>
      </c>
      <c r="N173" s="46" t="str">
        <f>IF(Raw!CD174 = "NA", "-", Raw!CD174)</f>
        <v>-</v>
      </c>
      <c r="O173" s="46" t="str">
        <f>IF(Raw!BG174 = "NA", "-", Raw!BG174)</f>
        <v>-</v>
      </c>
      <c r="P173" s="32" t="str">
        <f>IF(Raw!AW174 = "NA", "-", SUMPRODUCT(Raw!$BT$2:$CC$2, Raw!BT174:CC174))</f>
        <v>-</v>
      </c>
      <c r="Q173" s="32" t="str">
        <f>IF(Raw!AW174 = "NA", "-", SUMPRODUCT(Raw!$AW$2:$BF$2, Raw!AW174:BF174))</f>
        <v>-</v>
      </c>
      <c r="R173" s="7" t="e" cm="1">
        <f t="array" ref="R173">_xlfn.IFS(S173="YES", "Hourly", T173="YES", "Flat Rate")</f>
        <v>#N/A</v>
      </c>
      <c r="S173" s="8" t="str">
        <f>IF(Raw!CO174=1, "YES", "")</f>
        <v/>
      </c>
      <c r="T173" s="8" t="str">
        <f>IF(Raw!CO174=2, "YES", "")</f>
        <v/>
      </c>
      <c r="U173" s="96" t="str">
        <f>IF(Raw!CP174=1, "YES", "")</f>
        <v/>
      </c>
      <c r="V173" s="96"/>
      <c r="X173" s="23">
        <f>SUMPRODUCT(Raw!$BT$3:$CC$3, Raw!BT174:CC174)</f>
        <v>0</v>
      </c>
      <c r="Y173" s="23">
        <f>SUMPRODUCT(Raw!$BT$3:$CC$3, Raw!BU174:CD174)</f>
        <v>0</v>
      </c>
      <c r="Z173" s="28">
        <f t="shared" si="23"/>
        <v>0</v>
      </c>
      <c r="AA173" s="28">
        <f t="shared" si="24"/>
        <v>0</v>
      </c>
      <c r="AC173">
        <f t="shared" si="25"/>
        <v>10</v>
      </c>
      <c r="AD173" s="23">
        <f>IF(U173="YES",SUMPRODUCT(Raw!$BT$3:$CC$3,Raw!BT174:CC174)*0.6,SUMPRODUCT(Raw!$BT$3:$CC$3,Raw!BT174:CC174))</f>
        <v>0</v>
      </c>
      <c r="AE173" s="23">
        <f>IF(U173="YES",SUMPRODUCT(Raw!$BT$3:$CC$3,Raw!BU174:CD174)*0.6,SUMPRODUCT(Raw!$BT$3:$CC$3,Raw!BU174:CD174))</f>
        <v>0</v>
      </c>
      <c r="AF173" s="28">
        <f t="shared" si="26"/>
        <v>0</v>
      </c>
      <c r="AG173" s="28">
        <f t="shared" si="27"/>
        <v>0</v>
      </c>
      <c r="AI173" s="88" t="str">
        <f t="shared" si="21"/>
        <v>-</v>
      </c>
      <c r="AJ173" s="88" t="str">
        <f t="shared" si="22"/>
        <v>-</v>
      </c>
      <c r="AK173" t="e">
        <f t="shared" si="28"/>
        <v>#VALUE!</v>
      </c>
      <c r="AL173" t="e">
        <f t="shared" si="29"/>
        <v>#VALUE!</v>
      </c>
    </row>
    <row r="174" spans="1:38" x14ac:dyDescent="0.25">
      <c r="A174" s="4">
        <f>Raw!J175</f>
        <v>13</v>
      </c>
      <c r="B174" s="4" t="str">
        <f>Raw!K175</f>
        <v>Elder Ave</v>
      </c>
      <c r="C174" s="4" t="str">
        <f>Raw!L175</f>
        <v>End</v>
      </c>
      <c r="D174" s="4" t="str">
        <f>Raw!M175</f>
        <v>Taylor Blvd</v>
      </c>
      <c r="E174" s="23" t="str">
        <f>Raw!CG175</f>
        <v>E</v>
      </c>
      <c r="F174" s="7">
        <f>Raw!T175</f>
        <v>14</v>
      </c>
      <c r="G174" s="7">
        <f>Raw!AL175</f>
        <v>0</v>
      </c>
      <c r="H174" s="7">
        <f>Raw!AC175</f>
        <v>0</v>
      </c>
      <c r="I174" s="7">
        <f t="shared" si="20"/>
        <v>0</v>
      </c>
      <c r="J174" s="157" t="str">
        <f>Raw!BT175</f>
        <v>NA</v>
      </c>
      <c r="K174" s="157" t="str">
        <f>Raw!AW175</f>
        <v>NA</v>
      </c>
      <c r="L174" s="42" t="str">
        <f>IF(Raw!CE175 = "NA", "-", Raw!CE175)</f>
        <v>-</v>
      </c>
      <c r="M174" s="42" t="str">
        <f>IF(Raw!BH175 = "NA", "-", Raw!BH175)</f>
        <v>-</v>
      </c>
      <c r="N174" s="46" t="str">
        <f>IF(Raw!CD175 = "NA", "-", Raw!CD175)</f>
        <v>-</v>
      </c>
      <c r="O174" s="46" t="str">
        <f>IF(Raw!BG175 = "NA", "-", Raw!BG175)</f>
        <v>-</v>
      </c>
      <c r="P174" s="32" t="str">
        <f>IF(Raw!AW175 = "NA", "-", SUMPRODUCT(Raw!$BT$2:$CC$2, Raw!BT175:CC175))</f>
        <v>-</v>
      </c>
      <c r="Q174" s="32" t="str">
        <f>IF(Raw!AW175 = "NA", "-", SUMPRODUCT(Raw!$AW$2:$BF$2, Raw!AW175:BF175))</f>
        <v>-</v>
      </c>
      <c r="R174" s="7" t="e" cm="1">
        <f t="array" ref="R174">_xlfn.IFS(S174="YES", "Hourly", T174="YES", "Flat Rate")</f>
        <v>#N/A</v>
      </c>
      <c r="S174" s="8" t="str">
        <f>IF(Raw!CO175=1, "YES", "")</f>
        <v/>
      </c>
      <c r="T174" s="8" t="str">
        <f>IF(Raw!CO175=2, "YES", "")</f>
        <v/>
      </c>
      <c r="U174" s="96" t="str">
        <f>IF(Raw!CP175=1, "YES", "")</f>
        <v/>
      </c>
      <c r="V174" s="96"/>
      <c r="X174" s="23">
        <f>SUMPRODUCT(Raw!$BT$3:$CC$3, Raw!BT175:CC175)</f>
        <v>0</v>
      </c>
      <c r="Y174" s="23">
        <f>SUMPRODUCT(Raw!$BT$3:$CC$3, Raw!BU175:CD175)</f>
        <v>0</v>
      </c>
      <c r="Z174" s="28">
        <f t="shared" si="23"/>
        <v>0</v>
      </c>
      <c r="AA174" s="28">
        <f t="shared" si="24"/>
        <v>0</v>
      </c>
      <c r="AC174">
        <f t="shared" si="25"/>
        <v>14</v>
      </c>
      <c r="AD174" s="23">
        <f>IF(U174="YES",SUMPRODUCT(Raw!$BT$3:$CC$3,Raw!BT175:CC175)*0.6,SUMPRODUCT(Raw!$BT$3:$CC$3,Raw!BT175:CC175))</f>
        <v>0</v>
      </c>
      <c r="AE174" s="23">
        <f>IF(U174="YES",SUMPRODUCT(Raw!$BT$3:$CC$3,Raw!BU175:CD175)*0.6,SUMPRODUCT(Raw!$BT$3:$CC$3,Raw!BU175:CD175))</f>
        <v>0</v>
      </c>
      <c r="AF174" s="28">
        <f t="shared" si="26"/>
        <v>0</v>
      </c>
      <c r="AG174" s="28">
        <f t="shared" si="27"/>
        <v>0</v>
      </c>
      <c r="AI174" s="88" t="str">
        <f t="shared" si="21"/>
        <v>-</v>
      </c>
      <c r="AJ174" s="88" t="str">
        <f t="shared" si="22"/>
        <v>-</v>
      </c>
      <c r="AK174" t="e">
        <f t="shared" si="28"/>
        <v>#VALUE!</v>
      </c>
      <c r="AL174" t="e">
        <f t="shared" si="29"/>
        <v>#VALUE!</v>
      </c>
    </row>
    <row r="175" spans="1:38" x14ac:dyDescent="0.25">
      <c r="A175" s="4">
        <f>Raw!J176</f>
        <v>25</v>
      </c>
      <c r="B175" s="4" t="str">
        <f>Raw!K176</f>
        <v>Poplar Ave</v>
      </c>
      <c r="C175" s="4" t="str">
        <f>Raw!L176</f>
        <v>Lansdale Ave</v>
      </c>
      <c r="D175" s="4" t="str">
        <f>Raw!M176</f>
        <v>Taylor Blvd</v>
      </c>
      <c r="E175" s="23" t="str">
        <f>Raw!CG176</f>
        <v>W</v>
      </c>
      <c r="F175" s="7">
        <f>Raw!T176</f>
        <v>13</v>
      </c>
      <c r="G175" s="7">
        <f>Raw!AL176</f>
        <v>1</v>
      </c>
      <c r="H175" s="7">
        <f>Raw!AC176</f>
        <v>0</v>
      </c>
      <c r="I175" s="7">
        <f t="shared" si="20"/>
        <v>1</v>
      </c>
      <c r="J175" s="157" t="str">
        <f>Raw!BT176</f>
        <v>NA</v>
      </c>
      <c r="K175" s="157" t="str">
        <f>Raw!AW176</f>
        <v>NA</v>
      </c>
      <c r="L175" s="42" t="str">
        <f>IF(Raw!CE176 = "NA", "-", Raw!CE176)</f>
        <v>-</v>
      </c>
      <c r="M175" s="42" t="str">
        <f>IF(Raw!BH176 = "NA", "-", Raw!BH176)</f>
        <v>-</v>
      </c>
      <c r="N175" s="46" t="str">
        <f>IF(Raw!CD176 = "NA", "-", Raw!CD176)</f>
        <v>-</v>
      </c>
      <c r="O175" s="46" t="str">
        <f>IF(Raw!BG176 = "NA", "-", Raw!BG176)</f>
        <v>-</v>
      </c>
      <c r="P175" s="32" t="str">
        <f>IF(Raw!AW176 = "NA", "-", SUMPRODUCT(Raw!$BT$2:$CC$2, Raw!BT176:CC176))</f>
        <v>-</v>
      </c>
      <c r="Q175" s="32" t="str">
        <f>IF(Raw!AW176 = "NA", "-", SUMPRODUCT(Raw!$AW$2:$BF$2, Raw!AW176:BF176))</f>
        <v>-</v>
      </c>
      <c r="R175" s="7" t="e" cm="1">
        <f t="array" ref="R175">_xlfn.IFS(S175="YES", "Hourly", T175="YES", "Flat Rate")</f>
        <v>#N/A</v>
      </c>
      <c r="S175" s="8" t="str">
        <f>IF(Raw!CO176=1, "YES", "")</f>
        <v/>
      </c>
      <c r="T175" s="8" t="str">
        <f>IF(Raw!CO176=2, "YES", "")</f>
        <v/>
      </c>
      <c r="U175" s="96" t="str">
        <f>IF(Raw!CP176=1, "YES", "")</f>
        <v/>
      </c>
      <c r="V175" s="96"/>
      <c r="X175" s="23">
        <f>SUMPRODUCT(Raw!$BT$3:$CC$3, Raw!BT176:CC176)</f>
        <v>0</v>
      </c>
      <c r="Y175" s="23">
        <f>SUMPRODUCT(Raw!$BT$3:$CC$3, Raw!BU176:CD176)</f>
        <v>0</v>
      </c>
      <c r="Z175" s="28">
        <f t="shared" si="23"/>
        <v>0</v>
      </c>
      <c r="AA175" s="28">
        <f t="shared" si="24"/>
        <v>0</v>
      </c>
      <c r="AC175">
        <f t="shared" si="25"/>
        <v>13</v>
      </c>
      <c r="AD175" s="23">
        <f>IF(U175="YES",SUMPRODUCT(Raw!$BT$3:$CC$3,Raw!BT176:CC176)*0.6,SUMPRODUCT(Raw!$BT$3:$CC$3,Raw!BT176:CC176))</f>
        <v>0</v>
      </c>
      <c r="AE175" s="23">
        <f>IF(U175="YES",SUMPRODUCT(Raw!$BT$3:$CC$3,Raw!BU176:CD176)*0.6,SUMPRODUCT(Raw!$BT$3:$CC$3,Raw!BU176:CD176))</f>
        <v>0</v>
      </c>
      <c r="AF175" s="28">
        <f t="shared" si="26"/>
        <v>0</v>
      </c>
      <c r="AG175" s="28">
        <f t="shared" si="27"/>
        <v>0</v>
      </c>
      <c r="AI175" s="88" t="str">
        <f t="shared" si="21"/>
        <v>-</v>
      </c>
      <c r="AJ175" s="88" t="str">
        <f t="shared" si="22"/>
        <v>-</v>
      </c>
      <c r="AK175" t="e">
        <f t="shared" si="28"/>
        <v>#VALUE!</v>
      </c>
      <c r="AL175" t="e">
        <f t="shared" si="29"/>
        <v>#VALUE!</v>
      </c>
    </row>
    <row r="176" spans="1:38" x14ac:dyDescent="0.25">
      <c r="A176" s="4">
        <f>Raw!J177</f>
        <v>190</v>
      </c>
      <c r="B176" s="4" t="str">
        <f>Raw!K177</f>
        <v>Taylor Blvd</v>
      </c>
      <c r="C176" s="4" t="str">
        <f>Raw!L177</f>
        <v>Poplar Ave</v>
      </c>
      <c r="D176" s="4" t="str">
        <f>Raw!M177</f>
        <v>Elder Ave</v>
      </c>
      <c r="E176" s="23" t="str">
        <f>Raw!CG177</f>
        <v>N</v>
      </c>
      <c r="F176" s="7">
        <f>Raw!T177</f>
        <v>10</v>
      </c>
      <c r="G176" s="7">
        <f>Raw!AL177</f>
        <v>0</v>
      </c>
      <c r="H176" s="7">
        <f>Raw!AC177</f>
        <v>0</v>
      </c>
      <c r="I176" s="7">
        <f t="shared" si="20"/>
        <v>0</v>
      </c>
      <c r="J176" s="157" t="str">
        <f>Raw!BT177</f>
        <v>NA</v>
      </c>
      <c r="K176" s="157" t="str">
        <f>Raw!AW177</f>
        <v>NA</v>
      </c>
      <c r="L176" s="42" t="str">
        <f>IF(Raw!CE177 = "NA", "-", Raw!CE177)</f>
        <v>-</v>
      </c>
      <c r="M176" s="42" t="str">
        <f>IF(Raw!BH177 = "NA", "-", Raw!BH177)</f>
        <v>-</v>
      </c>
      <c r="N176" s="46" t="str">
        <f>IF(Raw!CD177 = "NA", "-", Raw!CD177)</f>
        <v>-</v>
      </c>
      <c r="O176" s="46" t="str">
        <f>IF(Raw!BG177 = "NA", "-", Raw!BG177)</f>
        <v>-</v>
      </c>
      <c r="P176" s="32" t="str">
        <f>IF(Raw!AW177 = "NA", "-", SUMPRODUCT(Raw!$BT$2:$CC$2, Raw!BT177:CC177))</f>
        <v>-</v>
      </c>
      <c r="Q176" s="32" t="str">
        <f>IF(Raw!AW177 = "NA", "-", SUMPRODUCT(Raw!$AW$2:$BF$2, Raw!AW177:BF177))</f>
        <v>-</v>
      </c>
      <c r="R176" s="7" t="e" cm="1">
        <f t="array" ref="R176">_xlfn.IFS(S176="YES", "Hourly", T176="YES", "Flat Rate")</f>
        <v>#N/A</v>
      </c>
      <c r="S176" s="8" t="str">
        <f>IF(Raw!CO177=1, "YES", "")</f>
        <v/>
      </c>
      <c r="T176" s="8" t="str">
        <f>IF(Raw!CO177=2, "YES", "")</f>
        <v/>
      </c>
      <c r="U176" s="96" t="str">
        <f>IF(Raw!CP177=1, "YES", "")</f>
        <v/>
      </c>
      <c r="V176" s="96"/>
      <c r="X176" s="23">
        <f>SUMPRODUCT(Raw!$BT$3:$CC$3, Raw!BT177:CC177)</f>
        <v>0</v>
      </c>
      <c r="Y176" s="23">
        <f>SUMPRODUCT(Raw!$BT$3:$CC$3, Raw!BU177:CD177)</f>
        <v>0</v>
      </c>
      <c r="Z176" s="28">
        <f t="shared" si="23"/>
        <v>0</v>
      </c>
      <c r="AA176" s="28">
        <f t="shared" si="24"/>
        <v>0</v>
      </c>
      <c r="AC176">
        <f t="shared" si="25"/>
        <v>10</v>
      </c>
      <c r="AD176" s="23">
        <f>IF(U176="YES",SUMPRODUCT(Raw!$BT$3:$CC$3,Raw!BT177:CC177)*0.6,SUMPRODUCT(Raw!$BT$3:$CC$3,Raw!BT177:CC177))</f>
        <v>0</v>
      </c>
      <c r="AE176" s="23">
        <f>IF(U176="YES",SUMPRODUCT(Raw!$BT$3:$CC$3,Raw!BU177:CD177)*0.6,SUMPRODUCT(Raw!$BT$3:$CC$3,Raw!BU177:CD177))</f>
        <v>0</v>
      </c>
      <c r="AF176" s="28">
        <f t="shared" si="26"/>
        <v>0</v>
      </c>
      <c r="AG176" s="28">
        <f t="shared" si="27"/>
        <v>0</v>
      </c>
      <c r="AI176" s="88" t="str">
        <f t="shared" si="21"/>
        <v>-</v>
      </c>
      <c r="AJ176" s="88" t="str">
        <f t="shared" si="22"/>
        <v>-</v>
      </c>
      <c r="AK176" t="e">
        <f t="shared" si="28"/>
        <v>#VALUE!</v>
      </c>
      <c r="AL176" t="e">
        <f t="shared" si="29"/>
        <v>#VALUE!</v>
      </c>
    </row>
    <row r="177" spans="1:38" x14ac:dyDescent="0.25">
      <c r="A177" s="4">
        <f>Raw!J178</f>
        <v>4</v>
      </c>
      <c r="B177" s="4" t="str">
        <f>Raw!K178</f>
        <v>Palm Ave</v>
      </c>
      <c r="C177" s="4" t="str">
        <f>Raw!L178</f>
        <v>Taylor Blvd</v>
      </c>
      <c r="D177" s="4" t="str">
        <f>Raw!M178</f>
        <v>Hillcrest Blvd</v>
      </c>
      <c r="E177" s="23" t="str">
        <f>Raw!CG178</f>
        <v>W</v>
      </c>
      <c r="F177" s="7">
        <f>Raw!T178</f>
        <v>17</v>
      </c>
      <c r="G177" s="7">
        <f>Raw!AL178</f>
        <v>0</v>
      </c>
      <c r="H177" s="7">
        <f>Raw!AC178</f>
        <v>0</v>
      </c>
      <c r="I177" s="7">
        <f t="shared" si="20"/>
        <v>0</v>
      </c>
      <c r="J177" s="157" t="str">
        <f>Raw!BT178</f>
        <v>NA</v>
      </c>
      <c r="K177" s="157" t="str">
        <f>Raw!AW178</f>
        <v>NA</v>
      </c>
      <c r="L177" s="42" t="str">
        <f>IF(Raw!CE178 = "NA", "-", Raw!CE178)</f>
        <v>-</v>
      </c>
      <c r="M177" s="42" t="str">
        <f>IF(Raw!BH178 = "NA", "-", Raw!BH178)</f>
        <v>-</v>
      </c>
      <c r="N177" s="46" t="str">
        <f>IF(Raw!CD178 = "NA", "-", Raw!CD178)</f>
        <v>-</v>
      </c>
      <c r="O177" s="46" t="str">
        <f>IF(Raw!BG178 = "NA", "-", Raw!BG178)</f>
        <v>-</v>
      </c>
      <c r="P177" s="32" t="str">
        <f>IF(Raw!AW178 = "NA", "-", SUMPRODUCT(Raw!$BT$2:$CC$2, Raw!BT178:CC178))</f>
        <v>-</v>
      </c>
      <c r="Q177" s="32" t="str">
        <f>IF(Raw!AW178 = "NA", "-", SUMPRODUCT(Raw!$AW$2:$BF$2, Raw!AW178:BF178))</f>
        <v>-</v>
      </c>
      <c r="R177" s="7" t="e" cm="1">
        <f t="array" ref="R177">_xlfn.IFS(S177="YES", "Hourly", T177="YES", "Flat Rate")</f>
        <v>#N/A</v>
      </c>
      <c r="S177" s="8" t="str">
        <f>IF(Raw!CO178=1, "YES", "")</f>
        <v/>
      </c>
      <c r="T177" s="8" t="str">
        <f>IF(Raw!CO178=2, "YES", "")</f>
        <v/>
      </c>
      <c r="U177" s="96" t="str">
        <f>IF(Raw!CP178=1, "YES", "")</f>
        <v/>
      </c>
      <c r="V177" s="96"/>
      <c r="X177" s="23">
        <f>SUMPRODUCT(Raw!$BT$3:$CC$3, Raw!BT178:CC178)</f>
        <v>0</v>
      </c>
      <c r="Y177" s="23">
        <f>SUMPRODUCT(Raw!$BT$3:$CC$3, Raw!BU178:CD178)</f>
        <v>0</v>
      </c>
      <c r="Z177" s="28">
        <f t="shared" si="23"/>
        <v>0</v>
      </c>
      <c r="AA177" s="28">
        <f t="shared" si="24"/>
        <v>0</v>
      </c>
      <c r="AC177">
        <f t="shared" si="25"/>
        <v>17</v>
      </c>
      <c r="AD177" s="23">
        <f>IF(U177="YES",SUMPRODUCT(Raw!$BT$3:$CC$3,Raw!BT178:CC178)*0.6,SUMPRODUCT(Raw!$BT$3:$CC$3,Raw!BT178:CC178))</f>
        <v>0</v>
      </c>
      <c r="AE177" s="23">
        <f>IF(U177="YES",SUMPRODUCT(Raw!$BT$3:$CC$3,Raw!BU178:CD178)*0.6,SUMPRODUCT(Raw!$BT$3:$CC$3,Raw!BU178:CD178))</f>
        <v>0</v>
      </c>
      <c r="AF177" s="28">
        <f t="shared" si="26"/>
        <v>0</v>
      </c>
      <c r="AG177" s="28">
        <f t="shared" si="27"/>
        <v>0</v>
      </c>
      <c r="AI177" s="88" t="str">
        <f t="shared" si="21"/>
        <v>-</v>
      </c>
      <c r="AJ177" s="88" t="str">
        <f t="shared" si="22"/>
        <v>-</v>
      </c>
      <c r="AK177" t="e">
        <f t="shared" si="28"/>
        <v>#VALUE!</v>
      </c>
      <c r="AL177" t="e">
        <f t="shared" si="29"/>
        <v>#VALUE!</v>
      </c>
    </row>
    <row r="178" spans="1:38" x14ac:dyDescent="0.25">
      <c r="A178" s="4">
        <f>Raw!J179</f>
        <v>5</v>
      </c>
      <c r="B178" s="4" t="str">
        <f>Raw!K179</f>
        <v>Palm Ave</v>
      </c>
      <c r="C178" s="4" t="str">
        <f>Raw!L179</f>
        <v>Hillcrest Blvd</v>
      </c>
      <c r="D178" s="4" t="str">
        <f>Raw!M179</f>
        <v>Taylor Blvd</v>
      </c>
      <c r="E178" s="23" t="str">
        <f>Raw!CG179</f>
        <v>E</v>
      </c>
      <c r="F178" s="7">
        <f>Raw!T179</f>
        <v>20</v>
      </c>
      <c r="G178" s="7">
        <f>Raw!AL179</f>
        <v>0</v>
      </c>
      <c r="H178" s="7">
        <f>Raw!AC179</f>
        <v>1</v>
      </c>
      <c r="I178" s="7">
        <f t="shared" si="20"/>
        <v>1</v>
      </c>
      <c r="J178" s="157" t="str">
        <f>Raw!BT179</f>
        <v>NA</v>
      </c>
      <c r="K178" s="157" t="str">
        <f>Raw!AW179</f>
        <v>NA</v>
      </c>
      <c r="L178" s="42" t="str">
        <f>IF(Raw!CE179 = "NA", "-", Raw!CE179)</f>
        <v>-</v>
      </c>
      <c r="M178" s="42" t="str">
        <f>IF(Raw!BH179 = "NA", "-", Raw!BH179)</f>
        <v>-</v>
      </c>
      <c r="N178" s="46" t="str">
        <f>IF(Raw!CD179 = "NA", "-", Raw!CD179)</f>
        <v>-</v>
      </c>
      <c r="O178" s="46" t="str">
        <f>IF(Raw!BG179 = "NA", "-", Raw!BG179)</f>
        <v>-</v>
      </c>
      <c r="P178" s="32" t="str">
        <f>IF(Raw!AW179 = "NA", "-", SUMPRODUCT(Raw!$BT$2:$CC$2, Raw!BT179:CC179))</f>
        <v>-</v>
      </c>
      <c r="Q178" s="32" t="str">
        <f>IF(Raw!AW179 = "NA", "-", SUMPRODUCT(Raw!$AW$2:$BF$2, Raw!AW179:BF179))</f>
        <v>-</v>
      </c>
      <c r="R178" s="7" t="e" cm="1">
        <f t="array" ref="R178">_xlfn.IFS(S178="YES", "Hourly", T178="YES", "Flat Rate")</f>
        <v>#N/A</v>
      </c>
      <c r="S178" s="8" t="str">
        <f>IF(Raw!CO179=1, "YES", "")</f>
        <v/>
      </c>
      <c r="T178" s="8" t="str">
        <f>IF(Raw!CO179=2, "YES", "")</f>
        <v/>
      </c>
      <c r="U178" s="96" t="str">
        <f>IF(Raw!CP179=1, "YES", "")</f>
        <v/>
      </c>
      <c r="V178" s="96"/>
      <c r="X178" s="23">
        <f>SUMPRODUCT(Raw!$BT$3:$CC$3, Raw!BT179:CC179)</f>
        <v>0</v>
      </c>
      <c r="Y178" s="23">
        <f>SUMPRODUCT(Raw!$BT$3:$CC$3, Raw!BU179:CD179)</f>
        <v>0</v>
      </c>
      <c r="Z178" s="28">
        <f t="shared" si="23"/>
        <v>0</v>
      </c>
      <c r="AA178" s="28">
        <f t="shared" si="24"/>
        <v>0</v>
      </c>
      <c r="AC178">
        <f t="shared" si="25"/>
        <v>20</v>
      </c>
      <c r="AD178" s="23">
        <f>IF(U178="YES",SUMPRODUCT(Raw!$BT$3:$CC$3,Raw!BT179:CC179)*0.6,SUMPRODUCT(Raw!$BT$3:$CC$3,Raw!BT179:CC179))</f>
        <v>0</v>
      </c>
      <c r="AE178" s="23">
        <f>IF(U178="YES",SUMPRODUCT(Raw!$BT$3:$CC$3,Raw!BU179:CD179)*0.6,SUMPRODUCT(Raw!$BT$3:$CC$3,Raw!BU179:CD179))</f>
        <v>0</v>
      </c>
      <c r="AF178" s="28">
        <f t="shared" si="26"/>
        <v>0</v>
      </c>
      <c r="AG178" s="28">
        <f t="shared" si="27"/>
        <v>0</v>
      </c>
      <c r="AI178" s="88" t="str">
        <f t="shared" si="21"/>
        <v>-</v>
      </c>
      <c r="AJ178" s="88" t="str">
        <f t="shared" si="22"/>
        <v>-</v>
      </c>
      <c r="AK178" t="e">
        <f t="shared" si="28"/>
        <v>#VALUE!</v>
      </c>
      <c r="AL178" t="e">
        <f t="shared" si="29"/>
        <v>#VALUE!</v>
      </c>
    </row>
    <row r="179" spans="1:38" x14ac:dyDescent="0.25">
      <c r="A179" s="4">
        <f>Raw!J180</f>
        <v>189</v>
      </c>
      <c r="B179" s="4" t="str">
        <f>Raw!K180</f>
        <v>Taylor Blvd</v>
      </c>
      <c r="C179" s="4" t="str">
        <f>Raw!L180</f>
        <v>Palm Ave</v>
      </c>
      <c r="D179" s="4" t="str">
        <f>Raw!M180</f>
        <v>Elder Ave</v>
      </c>
      <c r="E179" s="23" t="str">
        <f>Raw!CG180</f>
        <v>S</v>
      </c>
      <c r="F179" s="7">
        <f>Raw!T180</f>
        <v>9</v>
      </c>
      <c r="G179" s="7">
        <f>Raw!AL180</f>
        <v>1</v>
      </c>
      <c r="H179" s="7">
        <f>Raw!AC180</f>
        <v>0</v>
      </c>
      <c r="I179" s="7">
        <f t="shared" si="20"/>
        <v>1</v>
      </c>
      <c r="J179" s="157" t="str">
        <f>Raw!BT180</f>
        <v>NA</v>
      </c>
      <c r="K179" s="157" t="str">
        <f>Raw!AW180</f>
        <v>NA</v>
      </c>
      <c r="L179" s="42" t="str">
        <f>IF(Raw!CE180 = "NA", "-", Raw!CE180)</f>
        <v>-</v>
      </c>
      <c r="M179" s="42" t="str">
        <f>IF(Raw!BH180 = "NA", "-", Raw!BH180)</f>
        <v>-</v>
      </c>
      <c r="N179" s="46" t="str">
        <f>IF(Raw!CD180 = "NA", "-", Raw!CD180)</f>
        <v>-</v>
      </c>
      <c r="O179" s="46" t="str">
        <f>IF(Raw!BG180 = "NA", "-", Raw!BG180)</f>
        <v>-</v>
      </c>
      <c r="P179" s="32" t="str">
        <f>IF(Raw!AW180 = "NA", "-", SUMPRODUCT(Raw!$BT$2:$CC$2, Raw!BT180:CC180))</f>
        <v>-</v>
      </c>
      <c r="Q179" s="32" t="str">
        <f>IF(Raw!AW180 = "NA", "-", SUMPRODUCT(Raw!$AW$2:$BF$2, Raw!AW180:BF180))</f>
        <v>-</v>
      </c>
      <c r="R179" s="7" t="e" cm="1">
        <f t="array" ref="R179">_xlfn.IFS(S179="YES", "Hourly", T179="YES", "Flat Rate")</f>
        <v>#N/A</v>
      </c>
      <c r="S179" s="8" t="str">
        <f>IF(Raw!CO180=1, "YES", "")</f>
        <v/>
      </c>
      <c r="T179" s="8" t="str">
        <f>IF(Raw!CO180=2, "YES", "")</f>
        <v/>
      </c>
      <c r="U179" s="96" t="str">
        <f>IF(Raw!CP180=1, "YES", "")</f>
        <v/>
      </c>
      <c r="V179" s="96"/>
      <c r="X179" s="23">
        <f>SUMPRODUCT(Raw!$BT$3:$CC$3, Raw!BT180:CC180)</f>
        <v>0</v>
      </c>
      <c r="Y179" s="23">
        <f>SUMPRODUCT(Raw!$BT$3:$CC$3, Raw!BU180:CD180)</f>
        <v>0</v>
      </c>
      <c r="Z179" s="28">
        <f t="shared" si="23"/>
        <v>0</v>
      </c>
      <c r="AA179" s="28">
        <f t="shared" si="24"/>
        <v>0</v>
      </c>
      <c r="AC179">
        <f t="shared" si="25"/>
        <v>9</v>
      </c>
      <c r="AD179" s="23">
        <f>IF(U179="YES",SUMPRODUCT(Raw!$BT$3:$CC$3,Raw!BT180:CC180)*0.6,SUMPRODUCT(Raw!$BT$3:$CC$3,Raw!BT180:CC180))</f>
        <v>0</v>
      </c>
      <c r="AE179" s="23">
        <f>IF(U179="YES",SUMPRODUCT(Raw!$BT$3:$CC$3,Raw!BU180:CD180)*0.6,SUMPRODUCT(Raw!$BT$3:$CC$3,Raw!BU180:CD180))</f>
        <v>0</v>
      </c>
      <c r="AF179" s="28">
        <f t="shared" si="26"/>
        <v>0</v>
      </c>
      <c r="AG179" s="28">
        <f t="shared" si="27"/>
        <v>0</v>
      </c>
      <c r="AI179" s="88" t="str">
        <f t="shared" si="21"/>
        <v>-</v>
      </c>
      <c r="AJ179" s="88" t="str">
        <f t="shared" si="22"/>
        <v>-</v>
      </c>
      <c r="AK179" t="e">
        <f t="shared" si="28"/>
        <v>#VALUE!</v>
      </c>
      <c r="AL179" t="e">
        <f t="shared" si="29"/>
        <v>#VALUE!</v>
      </c>
    </row>
    <row r="180" spans="1:38" x14ac:dyDescent="0.25">
      <c r="A180" s="4">
        <f>Raw!J181</f>
        <v>14</v>
      </c>
      <c r="B180" s="4" t="str">
        <f>Raw!K181</f>
        <v>Elder Ave</v>
      </c>
      <c r="C180" s="4" t="str">
        <f>Raw!L181</f>
        <v>Taylor Blvd</v>
      </c>
      <c r="D180" s="4" t="str">
        <f>Raw!M181</f>
        <v>Hillcrest Blvd</v>
      </c>
      <c r="E180" s="23" t="str">
        <f>Raw!CG181</f>
        <v>W</v>
      </c>
      <c r="F180" s="7">
        <f>Raw!T181</f>
        <v>21</v>
      </c>
      <c r="G180" s="7">
        <f>Raw!AL181</f>
        <v>0</v>
      </c>
      <c r="H180" s="7">
        <f>Raw!AC181</f>
        <v>0</v>
      </c>
      <c r="I180" s="7">
        <f t="shared" si="20"/>
        <v>0</v>
      </c>
      <c r="J180" s="157" t="str">
        <f>Raw!BT181</f>
        <v>NA</v>
      </c>
      <c r="K180" s="157" t="str">
        <f>Raw!AW181</f>
        <v>NA</v>
      </c>
      <c r="L180" s="42" t="str">
        <f>IF(Raw!CE181 = "NA", "-", Raw!CE181)</f>
        <v>-</v>
      </c>
      <c r="M180" s="42" t="str">
        <f>IF(Raw!BH181 = "NA", "-", Raw!BH181)</f>
        <v>-</v>
      </c>
      <c r="N180" s="46" t="str">
        <f>IF(Raw!CD181 = "NA", "-", Raw!CD181)</f>
        <v>-</v>
      </c>
      <c r="O180" s="46" t="str">
        <f>IF(Raw!BG181 = "NA", "-", Raw!BG181)</f>
        <v>-</v>
      </c>
      <c r="P180" s="32" t="str">
        <f>IF(Raw!AW181 = "NA", "-", SUMPRODUCT(Raw!$BT$2:$CC$2, Raw!BT181:CC181))</f>
        <v>-</v>
      </c>
      <c r="Q180" s="32" t="str">
        <f>IF(Raw!AW181 = "NA", "-", SUMPRODUCT(Raw!$AW$2:$BF$2, Raw!AW181:BF181))</f>
        <v>-</v>
      </c>
      <c r="R180" s="7" t="e" cm="1">
        <f t="array" ref="R180">_xlfn.IFS(S180="YES", "Hourly", T180="YES", "Flat Rate")</f>
        <v>#N/A</v>
      </c>
      <c r="S180" s="8" t="str">
        <f>IF(Raw!CO181=1, "YES", "")</f>
        <v/>
      </c>
      <c r="T180" s="8" t="str">
        <f>IF(Raw!CO181=2, "YES", "")</f>
        <v/>
      </c>
      <c r="U180" s="96" t="str">
        <f>IF(Raw!CP181=1, "YES", "")</f>
        <v/>
      </c>
      <c r="V180" s="96"/>
      <c r="X180" s="23">
        <f>SUMPRODUCT(Raw!$BT$3:$CC$3, Raw!BT181:CC181)</f>
        <v>0</v>
      </c>
      <c r="Y180" s="23">
        <f>SUMPRODUCT(Raw!$BT$3:$CC$3, Raw!BU181:CD181)</f>
        <v>0</v>
      </c>
      <c r="Z180" s="28">
        <f t="shared" si="23"/>
        <v>0</v>
      </c>
      <c r="AA180" s="28">
        <f t="shared" si="24"/>
        <v>0</v>
      </c>
      <c r="AC180">
        <f t="shared" si="25"/>
        <v>21</v>
      </c>
      <c r="AD180" s="23">
        <f>IF(U180="YES",SUMPRODUCT(Raw!$BT$3:$CC$3,Raw!BT181:CC181)*0.6,SUMPRODUCT(Raw!$BT$3:$CC$3,Raw!BT181:CC181))</f>
        <v>0</v>
      </c>
      <c r="AE180" s="23">
        <f>IF(U180="YES",SUMPRODUCT(Raw!$BT$3:$CC$3,Raw!BU181:CD181)*0.6,SUMPRODUCT(Raw!$BT$3:$CC$3,Raw!BU181:CD181))</f>
        <v>0</v>
      </c>
      <c r="AF180" s="28">
        <f t="shared" si="26"/>
        <v>0</v>
      </c>
      <c r="AG180" s="28">
        <f t="shared" si="27"/>
        <v>0</v>
      </c>
      <c r="AI180" s="88" t="str">
        <f t="shared" si="21"/>
        <v>-</v>
      </c>
      <c r="AJ180" s="88" t="str">
        <f t="shared" si="22"/>
        <v>-</v>
      </c>
      <c r="AK180" t="e">
        <f t="shared" si="28"/>
        <v>#VALUE!</v>
      </c>
      <c r="AL180" t="e">
        <f t="shared" si="29"/>
        <v>#VALUE!</v>
      </c>
    </row>
    <row r="181" spans="1:38" x14ac:dyDescent="0.25">
      <c r="A181" s="4">
        <f>Raw!J182</f>
        <v>191</v>
      </c>
      <c r="B181" s="4" t="str">
        <f>Raw!K182</f>
        <v>Taylor Blvd</v>
      </c>
      <c r="C181" s="4" t="str">
        <f>Raw!L182</f>
        <v>Elder Ave</v>
      </c>
      <c r="D181" s="4" t="str">
        <f>Raw!M182</f>
        <v>Poplar Ave</v>
      </c>
      <c r="E181" s="23" t="str">
        <f>Raw!CG182</f>
        <v>S</v>
      </c>
      <c r="F181" s="7">
        <f>Raw!T182</f>
        <v>8</v>
      </c>
      <c r="G181" s="7">
        <f>Raw!AL182</f>
        <v>0</v>
      </c>
      <c r="H181" s="7">
        <f>Raw!AC182</f>
        <v>0</v>
      </c>
      <c r="I181" s="7">
        <f t="shared" si="20"/>
        <v>0</v>
      </c>
      <c r="J181" s="157" t="str">
        <f>Raw!BT182</f>
        <v>NA</v>
      </c>
      <c r="K181" s="157" t="str">
        <f>Raw!AW182</f>
        <v>NA</v>
      </c>
      <c r="L181" s="42" t="str">
        <f>IF(Raw!CE182 = "NA", "-", Raw!CE182)</f>
        <v>-</v>
      </c>
      <c r="M181" s="42" t="str">
        <f>IF(Raw!BH182 = "NA", "-", Raw!BH182)</f>
        <v>-</v>
      </c>
      <c r="N181" s="46" t="str">
        <f>IF(Raw!CD182 = "NA", "-", Raw!CD182)</f>
        <v>-</v>
      </c>
      <c r="O181" s="46" t="str">
        <f>IF(Raw!BG182 = "NA", "-", Raw!BG182)</f>
        <v>-</v>
      </c>
      <c r="P181" s="32" t="str">
        <f>IF(Raw!AW182 = "NA", "-", SUMPRODUCT(Raw!$BT$2:$CC$2, Raw!BT182:CC182))</f>
        <v>-</v>
      </c>
      <c r="Q181" s="32" t="str">
        <f>IF(Raw!AW182 = "NA", "-", SUMPRODUCT(Raw!$AW$2:$BF$2, Raw!AW182:BF182))</f>
        <v>-</v>
      </c>
      <c r="R181" s="7" t="e" cm="1">
        <f t="array" ref="R181">_xlfn.IFS(S181="YES", "Hourly", T181="YES", "Flat Rate")</f>
        <v>#N/A</v>
      </c>
      <c r="S181" s="8" t="str">
        <f>IF(Raw!CO182=1, "YES", "")</f>
        <v/>
      </c>
      <c r="T181" s="8" t="str">
        <f>IF(Raw!CO182=2, "YES", "")</f>
        <v/>
      </c>
      <c r="U181" s="96" t="str">
        <f>IF(Raw!CP182=1, "YES", "")</f>
        <v/>
      </c>
      <c r="V181" s="96"/>
      <c r="X181" s="23">
        <f>SUMPRODUCT(Raw!$BT$3:$CC$3, Raw!BT182:CC182)</f>
        <v>0</v>
      </c>
      <c r="Y181" s="23">
        <f>SUMPRODUCT(Raw!$BT$3:$CC$3, Raw!BU182:CD182)</f>
        <v>0</v>
      </c>
      <c r="Z181" s="28">
        <f t="shared" si="23"/>
        <v>0</v>
      </c>
      <c r="AA181" s="28">
        <f t="shared" si="24"/>
        <v>0</v>
      </c>
      <c r="AC181">
        <f t="shared" si="25"/>
        <v>8</v>
      </c>
      <c r="AD181" s="23">
        <f>IF(U181="YES",SUMPRODUCT(Raw!$BT$3:$CC$3,Raw!BT182:CC182)*0.6,SUMPRODUCT(Raw!$BT$3:$CC$3,Raw!BT182:CC182))</f>
        <v>0</v>
      </c>
      <c r="AE181" s="23">
        <f>IF(U181="YES",SUMPRODUCT(Raw!$BT$3:$CC$3,Raw!BU182:CD182)*0.6,SUMPRODUCT(Raw!$BT$3:$CC$3,Raw!BU182:CD182))</f>
        <v>0</v>
      </c>
      <c r="AF181" s="28">
        <f t="shared" si="26"/>
        <v>0</v>
      </c>
      <c r="AG181" s="28">
        <f t="shared" si="27"/>
        <v>0</v>
      </c>
      <c r="AI181" s="88" t="str">
        <f t="shared" si="21"/>
        <v>-</v>
      </c>
      <c r="AJ181" s="88" t="str">
        <f t="shared" si="22"/>
        <v>-</v>
      </c>
      <c r="AK181" t="e">
        <f t="shared" si="28"/>
        <v>#VALUE!</v>
      </c>
      <c r="AL181" t="e">
        <f t="shared" si="29"/>
        <v>#VALUE!</v>
      </c>
    </row>
    <row r="182" spans="1:38" x14ac:dyDescent="0.25">
      <c r="A182" s="4">
        <f>Raw!J183</f>
        <v>15</v>
      </c>
      <c r="B182" s="4" t="str">
        <f>Raw!K183</f>
        <v>Elder Ave</v>
      </c>
      <c r="C182" s="4" t="str">
        <f>Raw!L183</f>
        <v>Hillcrest Blvd</v>
      </c>
      <c r="D182" s="4" t="str">
        <f>Raw!M183</f>
        <v>Taylor Blvd</v>
      </c>
      <c r="E182" s="23" t="str">
        <f>Raw!CG183</f>
        <v>E</v>
      </c>
      <c r="F182" s="7">
        <f>Raw!T183</f>
        <v>17</v>
      </c>
      <c r="G182" s="7">
        <f>Raw!AL183</f>
        <v>0</v>
      </c>
      <c r="H182" s="7">
        <f>Raw!AC183</f>
        <v>0</v>
      </c>
      <c r="I182" s="7">
        <f t="shared" si="20"/>
        <v>0</v>
      </c>
      <c r="J182" s="157" t="str">
        <f>Raw!BT183</f>
        <v>NA</v>
      </c>
      <c r="K182" s="157" t="str">
        <f>Raw!AW183</f>
        <v>NA</v>
      </c>
      <c r="L182" s="42" t="str">
        <f>IF(Raw!CE183 = "NA", "-", Raw!CE183)</f>
        <v>-</v>
      </c>
      <c r="M182" s="42" t="str">
        <f>IF(Raw!BH183 = "NA", "-", Raw!BH183)</f>
        <v>-</v>
      </c>
      <c r="N182" s="46" t="str">
        <f>IF(Raw!CD183 = "NA", "-", Raw!CD183)</f>
        <v>-</v>
      </c>
      <c r="O182" s="46" t="str">
        <f>IF(Raw!BG183 = "NA", "-", Raw!BG183)</f>
        <v>-</v>
      </c>
      <c r="P182" s="32" t="str">
        <f>IF(Raw!AW183 = "NA", "-", SUMPRODUCT(Raw!$BT$2:$CC$2, Raw!BT183:CC183))</f>
        <v>-</v>
      </c>
      <c r="Q182" s="32" t="str">
        <f>IF(Raw!AW183 = "NA", "-", SUMPRODUCT(Raw!$AW$2:$BF$2, Raw!AW183:BF183))</f>
        <v>-</v>
      </c>
      <c r="R182" s="7" t="e" cm="1">
        <f t="array" ref="R182">_xlfn.IFS(S182="YES", "Hourly", T182="YES", "Flat Rate")</f>
        <v>#N/A</v>
      </c>
      <c r="S182" s="8" t="str">
        <f>IF(Raw!CO183=1, "YES", "")</f>
        <v/>
      </c>
      <c r="T182" s="8" t="str">
        <f>IF(Raw!CO183=2, "YES", "")</f>
        <v/>
      </c>
      <c r="U182" s="96" t="str">
        <f>IF(Raw!CP183=1, "YES", "")</f>
        <v/>
      </c>
      <c r="V182" s="96"/>
      <c r="X182" s="23">
        <f>SUMPRODUCT(Raw!$BT$3:$CC$3, Raw!BT183:CC183)</f>
        <v>0</v>
      </c>
      <c r="Y182" s="23">
        <f>SUMPRODUCT(Raw!$BT$3:$CC$3, Raw!BU183:CD183)</f>
        <v>0</v>
      </c>
      <c r="Z182" s="28">
        <f t="shared" si="23"/>
        <v>0</v>
      </c>
      <c r="AA182" s="28">
        <f t="shared" si="24"/>
        <v>0</v>
      </c>
      <c r="AC182">
        <f t="shared" si="25"/>
        <v>17</v>
      </c>
      <c r="AD182" s="23">
        <f>IF(U182="YES",SUMPRODUCT(Raw!$BT$3:$CC$3,Raw!BT183:CC183)*0.6,SUMPRODUCT(Raw!$BT$3:$CC$3,Raw!BT183:CC183))</f>
        <v>0</v>
      </c>
      <c r="AE182" s="23">
        <f>IF(U182="YES",SUMPRODUCT(Raw!$BT$3:$CC$3,Raw!BU183:CD183)*0.6,SUMPRODUCT(Raw!$BT$3:$CC$3,Raw!BU183:CD183))</f>
        <v>0</v>
      </c>
      <c r="AF182" s="28">
        <f t="shared" si="26"/>
        <v>0</v>
      </c>
      <c r="AG182" s="28">
        <f t="shared" si="27"/>
        <v>0</v>
      </c>
      <c r="AI182" s="88" t="str">
        <f t="shared" si="21"/>
        <v>-</v>
      </c>
      <c r="AJ182" s="88" t="str">
        <f t="shared" si="22"/>
        <v>-</v>
      </c>
      <c r="AK182" t="e">
        <f t="shared" si="28"/>
        <v>#VALUE!</v>
      </c>
      <c r="AL182" t="e">
        <f t="shared" si="29"/>
        <v>#VALUE!</v>
      </c>
    </row>
    <row r="183" spans="1:38" x14ac:dyDescent="0.25">
      <c r="A183" s="4">
        <f>Raw!J184</f>
        <v>26</v>
      </c>
      <c r="B183" s="4" t="str">
        <f>Raw!K184</f>
        <v>Poplar Ave</v>
      </c>
      <c r="C183" s="4" t="str">
        <f>Raw!L184</f>
        <v>Taylor Blvd</v>
      </c>
      <c r="D183" s="4" t="str">
        <f>Raw!M184</f>
        <v>Hillcrest Blvd</v>
      </c>
      <c r="E183" s="23" t="str">
        <f>Raw!CG184</f>
        <v>W</v>
      </c>
      <c r="F183" s="7">
        <f>Raw!T184</f>
        <v>21</v>
      </c>
      <c r="G183" s="7">
        <f>Raw!AL184</f>
        <v>0</v>
      </c>
      <c r="H183" s="7">
        <f>Raw!AC184</f>
        <v>0</v>
      </c>
      <c r="I183" s="7">
        <f t="shared" si="20"/>
        <v>0</v>
      </c>
      <c r="J183" s="157" t="str">
        <f>Raw!BT184</f>
        <v>NA</v>
      </c>
      <c r="K183" s="157" t="str">
        <f>Raw!AW184</f>
        <v>NA</v>
      </c>
      <c r="L183" s="42" t="str">
        <f>IF(Raw!CE184 = "NA", "-", Raw!CE184)</f>
        <v>-</v>
      </c>
      <c r="M183" s="42" t="str">
        <f>IF(Raw!BH184 = "NA", "-", Raw!BH184)</f>
        <v>-</v>
      </c>
      <c r="N183" s="46" t="str">
        <f>IF(Raw!CD184 = "NA", "-", Raw!CD184)</f>
        <v>-</v>
      </c>
      <c r="O183" s="46" t="str">
        <f>IF(Raw!BG184 = "NA", "-", Raw!BG184)</f>
        <v>-</v>
      </c>
      <c r="P183" s="32" t="str">
        <f>IF(Raw!AW184 = "NA", "-", SUMPRODUCT(Raw!$BT$2:$CC$2, Raw!BT184:CC184))</f>
        <v>-</v>
      </c>
      <c r="Q183" s="32" t="str">
        <f>IF(Raw!AW184 = "NA", "-", SUMPRODUCT(Raw!$AW$2:$BF$2, Raw!AW184:BF184))</f>
        <v>-</v>
      </c>
      <c r="R183" s="7" t="e" cm="1">
        <f t="array" ref="R183">_xlfn.IFS(S183="YES", "Hourly", T183="YES", "Flat Rate")</f>
        <v>#N/A</v>
      </c>
      <c r="S183" s="8" t="str">
        <f>IF(Raw!CO184=1, "YES", "")</f>
        <v/>
      </c>
      <c r="T183" s="8" t="str">
        <f>IF(Raw!CO184=2, "YES", "")</f>
        <v/>
      </c>
      <c r="U183" s="96" t="str">
        <f>IF(Raw!CP184=1, "YES", "")</f>
        <v/>
      </c>
      <c r="V183" s="96"/>
      <c r="X183" s="23">
        <f>SUMPRODUCT(Raw!$BT$3:$CC$3, Raw!BT184:CC184)</f>
        <v>0</v>
      </c>
      <c r="Y183" s="23">
        <f>SUMPRODUCT(Raw!$BT$3:$CC$3, Raw!BU184:CD184)</f>
        <v>0</v>
      </c>
      <c r="Z183" s="28">
        <f t="shared" si="23"/>
        <v>0</v>
      </c>
      <c r="AA183" s="28">
        <f t="shared" si="24"/>
        <v>0</v>
      </c>
      <c r="AC183">
        <f t="shared" si="25"/>
        <v>21</v>
      </c>
      <c r="AD183" s="23">
        <f>IF(U183="YES",SUMPRODUCT(Raw!$BT$3:$CC$3,Raw!BT184:CC184)*0.6,SUMPRODUCT(Raw!$BT$3:$CC$3,Raw!BT184:CC184))</f>
        <v>0</v>
      </c>
      <c r="AE183" s="23">
        <f>IF(U183="YES",SUMPRODUCT(Raw!$BT$3:$CC$3,Raw!BU184:CD184)*0.6,SUMPRODUCT(Raw!$BT$3:$CC$3,Raw!BU184:CD184))</f>
        <v>0</v>
      </c>
      <c r="AF183" s="28">
        <f t="shared" si="26"/>
        <v>0</v>
      </c>
      <c r="AG183" s="28">
        <f t="shared" si="27"/>
        <v>0</v>
      </c>
      <c r="AI183" s="88" t="str">
        <f t="shared" si="21"/>
        <v>-</v>
      </c>
      <c r="AJ183" s="88" t="str">
        <f t="shared" si="22"/>
        <v>-</v>
      </c>
      <c r="AK183" t="e">
        <f t="shared" si="28"/>
        <v>#VALUE!</v>
      </c>
      <c r="AL183" t="e">
        <f t="shared" si="29"/>
        <v>#VALUE!</v>
      </c>
    </row>
    <row r="184" spans="1:38" x14ac:dyDescent="0.25">
      <c r="A184" s="4">
        <f>Raw!J185</f>
        <v>202</v>
      </c>
      <c r="B184" s="4" t="str">
        <f>Raw!K185</f>
        <v>Hillcrest Blvd</v>
      </c>
      <c r="C184" s="4" t="str">
        <f>Raw!L185</f>
        <v>Elder Ave</v>
      </c>
      <c r="D184" s="4" t="str">
        <f>Raw!M185</f>
        <v>Poplar Ave</v>
      </c>
      <c r="E184" s="23" t="str">
        <f>Raw!CG185</f>
        <v>N</v>
      </c>
      <c r="F184" s="7">
        <f>Raw!T185</f>
        <v>8</v>
      </c>
      <c r="G184" s="7">
        <f>Raw!AL185</f>
        <v>1</v>
      </c>
      <c r="H184" s="7">
        <f>Raw!AC185</f>
        <v>1</v>
      </c>
      <c r="I184" s="7">
        <f t="shared" si="20"/>
        <v>2</v>
      </c>
      <c r="J184" s="157" t="str">
        <f>Raw!BT185</f>
        <v>NA</v>
      </c>
      <c r="K184" s="157" t="str">
        <f>Raw!AW185</f>
        <v>NA</v>
      </c>
      <c r="L184" s="42" t="str">
        <f>IF(Raw!CE185 = "NA", "-", Raw!CE185)</f>
        <v>-</v>
      </c>
      <c r="M184" s="42" t="str">
        <f>IF(Raw!BH185 = "NA", "-", Raw!BH185)</f>
        <v>-</v>
      </c>
      <c r="N184" s="46" t="str">
        <f>IF(Raw!CD185 = "NA", "-", Raw!CD185)</f>
        <v>-</v>
      </c>
      <c r="O184" s="46" t="str">
        <f>IF(Raw!BG185 = "NA", "-", Raw!BG185)</f>
        <v>-</v>
      </c>
      <c r="P184" s="32" t="str">
        <f>IF(Raw!AW185 = "NA", "-", SUMPRODUCT(Raw!$BT$2:$CC$2, Raw!BT185:CC185))</f>
        <v>-</v>
      </c>
      <c r="Q184" s="32" t="str">
        <f>IF(Raw!AW185 = "NA", "-", SUMPRODUCT(Raw!$AW$2:$BF$2, Raw!AW185:BF185))</f>
        <v>-</v>
      </c>
      <c r="R184" s="7" t="e" cm="1">
        <f t="array" ref="R184">_xlfn.IFS(S184="YES", "Hourly", T184="YES", "Flat Rate")</f>
        <v>#N/A</v>
      </c>
      <c r="S184" s="8" t="str">
        <f>IF(Raw!CO185=1, "YES", "")</f>
        <v/>
      </c>
      <c r="T184" s="8" t="str">
        <f>IF(Raw!CO185=2, "YES", "")</f>
        <v/>
      </c>
      <c r="U184" s="96" t="str">
        <f>IF(Raw!CP185=1, "YES", "")</f>
        <v/>
      </c>
      <c r="V184" s="96"/>
      <c r="X184" s="23">
        <f>SUMPRODUCT(Raw!$BT$3:$CC$3, Raw!BT185:CC185)</f>
        <v>0</v>
      </c>
      <c r="Y184" s="23">
        <f>SUMPRODUCT(Raw!$BT$3:$CC$3, Raw!BU185:CD185)</f>
        <v>0</v>
      </c>
      <c r="Z184" s="28">
        <f t="shared" si="23"/>
        <v>0</v>
      </c>
      <c r="AA184" s="28">
        <f t="shared" si="24"/>
        <v>0</v>
      </c>
      <c r="AC184">
        <f t="shared" si="25"/>
        <v>8</v>
      </c>
      <c r="AD184" s="23">
        <f>IF(U184="YES",SUMPRODUCT(Raw!$BT$3:$CC$3,Raw!BT185:CC185)*0.6,SUMPRODUCT(Raw!$BT$3:$CC$3,Raw!BT185:CC185))</f>
        <v>0</v>
      </c>
      <c r="AE184" s="23">
        <f>IF(U184="YES",SUMPRODUCT(Raw!$BT$3:$CC$3,Raw!BU185:CD185)*0.6,SUMPRODUCT(Raw!$BT$3:$CC$3,Raw!BU185:CD185))</f>
        <v>0</v>
      </c>
      <c r="AF184" s="28">
        <f t="shared" si="26"/>
        <v>0</v>
      </c>
      <c r="AG184" s="28">
        <f t="shared" si="27"/>
        <v>0</v>
      </c>
      <c r="AI184" s="88" t="str">
        <f t="shared" si="21"/>
        <v>-</v>
      </c>
      <c r="AJ184" s="88" t="str">
        <f t="shared" si="22"/>
        <v>-</v>
      </c>
      <c r="AK184" t="e">
        <f t="shared" si="28"/>
        <v>#VALUE!</v>
      </c>
      <c r="AL184" t="e">
        <f t="shared" si="29"/>
        <v>#VALUE!</v>
      </c>
    </row>
    <row r="185" spans="1:38" x14ac:dyDescent="0.25">
      <c r="A185" s="4">
        <f>Raw!J186</f>
        <v>200</v>
      </c>
      <c r="B185" s="4" t="str">
        <f>Raw!K186</f>
        <v>Hillcrest Blvd</v>
      </c>
      <c r="C185" s="4" t="str">
        <f>Raw!L186</f>
        <v>Elder Ave</v>
      </c>
      <c r="D185" s="4" t="str">
        <f>Raw!M186</f>
        <v>Palm Ave</v>
      </c>
      <c r="E185" s="23" t="str">
        <f>Raw!CG186</f>
        <v>N</v>
      </c>
      <c r="F185" s="7">
        <f>Raw!T186</f>
        <v>9</v>
      </c>
      <c r="G185" s="7">
        <f>Raw!AL186</f>
        <v>0</v>
      </c>
      <c r="H185" s="7">
        <f>Raw!AC186</f>
        <v>0</v>
      </c>
      <c r="I185" s="7">
        <f t="shared" si="20"/>
        <v>0</v>
      </c>
      <c r="J185" s="157" t="str">
        <f>Raw!BT186</f>
        <v>NA</v>
      </c>
      <c r="K185" s="157" t="str">
        <f>Raw!AW186</f>
        <v>NA</v>
      </c>
      <c r="L185" s="42" t="str">
        <f>IF(Raw!CE186 = "NA", "-", Raw!CE186)</f>
        <v>-</v>
      </c>
      <c r="M185" s="42" t="str">
        <f>IF(Raw!BH186 = "NA", "-", Raw!BH186)</f>
        <v>-</v>
      </c>
      <c r="N185" s="46" t="str">
        <f>IF(Raw!CD186 = "NA", "-", Raw!CD186)</f>
        <v>-</v>
      </c>
      <c r="O185" s="46" t="str">
        <f>IF(Raw!BG186 = "NA", "-", Raw!BG186)</f>
        <v>-</v>
      </c>
      <c r="P185" s="32" t="str">
        <f>IF(Raw!AW186 = "NA", "-", SUMPRODUCT(Raw!$BT$2:$CC$2, Raw!BT186:CC186))</f>
        <v>-</v>
      </c>
      <c r="Q185" s="32" t="str">
        <f>IF(Raw!AW186 = "NA", "-", SUMPRODUCT(Raw!$AW$2:$BF$2, Raw!AW186:BF186))</f>
        <v>-</v>
      </c>
      <c r="R185" s="7" t="e" cm="1">
        <f t="array" ref="R185">_xlfn.IFS(S185="YES", "Hourly", T185="YES", "Flat Rate")</f>
        <v>#N/A</v>
      </c>
      <c r="S185" s="8" t="str">
        <f>IF(Raw!CO186=1, "YES", "")</f>
        <v/>
      </c>
      <c r="T185" s="8" t="str">
        <f>IF(Raw!CO186=2, "YES", "")</f>
        <v/>
      </c>
      <c r="U185" s="96" t="str">
        <f>IF(Raw!CP186=1, "YES", "")</f>
        <v/>
      </c>
      <c r="V185" s="96"/>
      <c r="X185" s="23">
        <f>SUMPRODUCT(Raw!$BT$3:$CC$3, Raw!BT186:CC186)</f>
        <v>0</v>
      </c>
      <c r="Y185" s="23">
        <f>SUMPRODUCT(Raw!$BT$3:$CC$3, Raw!BU186:CD186)</f>
        <v>0</v>
      </c>
      <c r="Z185" s="28">
        <f t="shared" si="23"/>
        <v>0</v>
      </c>
      <c r="AA185" s="28">
        <f t="shared" si="24"/>
        <v>0</v>
      </c>
      <c r="AC185">
        <f t="shared" si="25"/>
        <v>9</v>
      </c>
      <c r="AD185" s="23">
        <f>IF(U185="YES",SUMPRODUCT(Raw!$BT$3:$CC$3,Raw!BT186:CC186)*0.6,SUMPRODUCT(Raw!$BT$3:$CC$3,Raw!BT186:CC186))</f>
        <v>0</v>
      </c>
      <c r="AE185" s="23">
        <f>IF(U185="YES",SUMPRODUCT(Raw!$BT$3:$CC$3,Raw!BU186:CD186)*0.6,SUMPRODUCT(Raw!$BT$3:$CC$3,Raw!BU186:CD186))</f>
        <v>0</v>
      </c>
      <c r="AF185" s="28">
        <f t="shared" si="26"/>
        <v>0</v>
      </c>
      <c r="AG185" s="28">
        <f t="shared" si="27"/>
        <v>0</v>
      </c>
      <c r="AI185" s="88" t="str">
        <f t="shared" si="21"/>
        <v>-</v>
      </c>
      <c r="AJ185" s="88" t="str">
        <f t="shared" si="22"/>
        <v>-</v>
      </c>
      <c r="AK185" t="e">
        <f t="shared" si="28"/>
        <v>#VALUE!</v>
      </c>
      <c r="AL185" t="e">
        <f t="shared" si="29"/>
        <v>#VALUE!</v>
      </c>
    </row>
    <row r="186" spans="1:38" x14ac:dyDescent="0.25">
      <c r="A186" s="4">
        <f>Raw!J187</f>
        <v>201</v>
      </c>
      <c r="B186" s="4" t="str">
        <f>Raw!K187</f>
        <v>Hillcrest Blvd</v>
      </c>
      <c r="C186" s="4" t="str">
        <f>Raw!L187</f>
        <v>Palm Ave</v>
      </c>
      <c r="D186" s="4" t="str">
        <f>Raw!M187</f>
        <v>Elder Ave</v>
      </c>
      <c r="E186" s="23" t="str">
        <f>Raw!CG187</f>
        <v>S</v>
      </c>
      <c r="F186" s="7">
        <f>Raw!T187</f>
        <v>10</v>
      </c>
      <c r="G186" s="7">
        <f>Raw!AL187</f>
        <v>0</v>
      </c>
      <c r="H186" s="7">
        <f>Raw!AC187</f>
        <v>0</v>
      </c>
      <c r="I186" s="7">
        <f t="shared" si="20"/>
        <v>0</v>
      </c>
      <c r="J186" s="157" t="str">
        <f>Raw!BT187</f>
        <v>NA</v>
      </c>
      <c r="K186" s="157" t="str">
        <f>Raw!AW187</f>
        <v>NA</v>
      </c>
      <c r="L186" s="42" t="str">
        <f>IF(Raw!CE187 = "NA", "-", Raw!CE187)</f>
        <v>-</v>
      </c>
      <c r="M186" s="42" t="str">
        <f>IF(Raw!BH187 = "NA", "-", Raw!BH187)</f>
        <v>-</v>
      </c>
      <c r="N186" s="46" t="str">
        <f>IF(Raw!CD187 = "NA", "-", Raw!CD187)</f>
        <v>-</v>
      </c>
      <c r="O186" s="46" t="str">
        <f>IF(Raw!BG187 = "NA", "-", Raw!BG187)</f>
        <v>-</v>
      </c>
      <c r="P186" s="32" t="str">
        <f>IF(Raw!AW187 = "NA", "-", SUMPRODUCT(Raw!$BT$2:$CC$2, Raw!BT187:CC187))</f>
        <v>-</v>
      </c>
      <c r="Q186" s="32" t="str">
        <f>IF(Raw!AW187 = "NA", "-", SUMPRODUCT(Raw!$AW$2:$BF$2, Raw!AW187:BF187))</f>
        <v>-</v>
      </c>
      <c r="R186" s="7" t="e" cm="1">
        <f t="array" ref="R186">_xlfn.IFS(S186="YES", "Hourly", T186="YES", "Flat Rate")</f>
        <v>#N/A</v>
      </c>
      <c r="S186" s="8" t="str">
        <f>IF(Raw!CO187=1, "YES", "")</f>
        <v/>
      </c>
      <c r="T186" s="8" t="str">
        <f>IF(Raw!CO187=2, "YES", "")</f>
        <v/>
      </c>
      <c r="U186" s="96" t="str">
        <f>IF(Raw!CP187=1, "YES", "")</f>
        <v/>
      </c>
      <c r="V186" s="96"/>
      <c r="X186" s="23">
        <f>SUMPRODUCT(Raw!$BT$3:$CC$3, Raw!BT187:CC187)</f>
        <v>0</v>
      </c>
      <c r="Y186" s="23">
        <f>SUMPRODUCT(Raw!$BT$3:$CC$3, Raw!BU187:CD187)</f>
        <v>0</v>
      </c>
      <c r="Z186" s="28">
        <f t="shared" si="23"/>
        <v>0</v>
      </c>
      <c r="AA186" s="28">
        <f t="shared" si="24"/>
        <v>0</v>
      </c>
      <c r="AC186">
        <f t="shared" si="25"/>
        <v>10</v>
      </c>
      <c r="AD186" s="23">
        <f>IF(U186="YES",SUMPRODUCT(Raw!$BT$3:$CC$3,Raw!BT187:CC187)*0.6,SUMPRODUCT(Raw!$BT$3:$CC$3,Raw!BT187:CC187))</f>
        <v>0</v>
      </c>
      <c r="AE186" s="23">
        <f>IF(U186="YES",SUMPRODUCT(Raw!$BT$3:$CC$3,Raw!BU187:CD187)*0.6,SUMPRODUCT(Raw!$BT$3:$CC$3,Raw!BU187:CD187))</f>
        <v>0</v>
      </c>
      <c r="AF186" s="28">
        <f t="shared" si="26"/>
        <v>0</v>
      </c>
      <c r="AG186" s="28">
        <f t="shared" si="27"/>
        <v>0</v>
      </c>
      <c r="AI186" s="88" t="str">
        <f t="shared" si="21"/>
        <v>-</v>
      </c>
      <c r="AJ186" s="88" t="str">
        <f t="shared" si="22"/>
        <v>-</v>
      </c>
      <c r="AK186" t="e">
        <f t="shared" si="28"/>
        <v>#VALUE!</v>
      </c>
      <c r="AL186" t="e">
        <f t="shared" si="29"/>
        <v>#VALUE!</v>
      </c>
    </row>
    <row r="187" spans="1:38" x14ac:dyDescent="0.25">
      <c r="A187" s="4">
        <f>Raw!J188</f>
        <v>203</v>
      </c>
      <c r="B187" s="4" t="str">
        <f>Raw!K188</f>
        <v>Hillcrest Blvd</v>
      </c>
      <c r="C187" s="4" t="str">
        <f>Raw!L188</f>
        <v>Elder Ave</v>
      </c>
      <c r="D187" s="4" t="str">
        <f>Raw!M188</f>
        <v>Poplar Ave</v>
      </c>
      <c r="E187" s="23" t="str">
        <f>Raw!CG188</f>
        <v>S</v>
      </c>
      <c r="F187" s="7">
        <f>Raw!T188</f>
        <v>9</v>
      </c>
      <c r="G187" s="7">
        <f>Raw!AL188</f>
        <v>0</v>
      </c>
      <c r="H187" s="7">
        <f>Raw!AC188</f>
        <v>0</v>
      </c>
      <c r="I187" s="7">
        <f t="shared" si="20"/>
        <v>0</v>
      </c>
      <c r="J187" s="157" t="str">
        <f>Raw!BT188</f>
        <v>NA</v>
      </c>
      <c r="K187" s="157" t="str">
        <f>Raw!AW188</f>
        <v>NA</v>
      </c>
      <c r="L187" s="42" t="str">
        <f>IF(Raw!CE188 = "NA", "-", Raw!CE188)</f>
        <v>-</v>
      </c>
      <c r="M187" s="42" t="str">
        <f>IF(Raw!BH188 = "NA", "-", Raw!BH188)</f>
        <v>-</v>
      </c>
      <c r="N187" s="46" t="str">
        <f>IF(Raw!CD188 = "NA", "-", Raw!CD188)</f>
        <v>-</v>
      </c>
      <c r="O187" s="46" t="str">
        <f>IF(Raw!BG188 = "NA", "-", Raw!BG188)</f>
        <v>-</v>
      </c>
      <c r="P187" s="32" t="str">
        <f>IF(Raw!AW188 = "NA", "-", SUMPRODUCT(Raw!$BT$2:$CC$2, Raw!BT188:CC188))</f>
        <v>-</v>
      </c>
      <c r="Q187" s="32" t="str">
        <f>IF(Raw!AW188 = "NA", "-", SUMPRODUCT(Raw!$AW$2:$BF$2, Raw!AW188:BF188))</f>
        <v>-</v>
      </c>
      <c r="R187" s="7" t="e" cm="1">
        <f t="array" ref="R187">_xlfn.IFS(S187="YES", "Hourly", T187="YES", "Flat Rate")</f>
        <v>#N/A</v>
      </c>
      <c r="S187" s="8" t="str">
        <f>IF(Raw!CO188=1, "YES", "")</f>
        <v/>
      </c>
      <c r="T187" s="8" t="str">
        <f>IF(Raw!CO188=2, "YES", "")</f>
        <v/>
      </c>
      <c r="U187" s="96" t="str">
        <f>IF(Raw!CP188=1, "YES", "")</f>
        <v/>
      </c>
      <c r="V187" s="96"/>
      <c r="X187" s="23">
        <f>SUMPRODUCT(Raw!$BT$3:$CC$3, Raw!BT188:CC188)</f>
        <v>0</v>
      </c>
      <c r="Y187" s="23">
        <f>SUMPRODUCT(Raw!$BT$3:$CC$3, Raw!BU188:CD188)</f>
        <v>0</v>
      </c>
      <c r="Z187" s="28">
        <f t="shared" si="23"/>
        <v>0</v>
      </c>
      <c r="AA187" s="28">
        <f t="shared" si="24"/>
        <v>0</v>
      </c>
      <c r="AC187">
        <f t="shared" si="25"/>
        <v>9</v>
      </c>
      <c r="AD187" s="23">
        <f>IF(U187="YES",SUMPRODUCT(Raw!$BT$3:$CC$3,Raw!BT188:CC188)*0.6,SUMPRODUCT(Raw!$BT$3:$CC$3,Raw!BT188:CC188))</f>
        <v>0</v>
      </c>
      <c r="AE187" s="23">
        <f>IF(U187="YES",SUMPRODUCT(Raw!$BT$3:$CC$3,Raw!BU188:CD188)*0.6,SUMPRODUCT(Raw!$BT$3:$CC$3,Raw!BU188:CD188))</f>
        <v>0</v>
      </c>
      <c r="AF187" s="28">
        <f t="shared" si="26"/>
        <v>0</v>
      </c>
      <c r="AG187" s="28">
        <f t="shared" si="27"/>
        <v>0</v>
      </c>
      <c r="AI187" s="88" t="str">
        <f t="shared" si="21"/>
        <v>-</v>
      </c>
      <c r="AJ187" s="88" t="str">
        <f t="shared" si="22"/>
        <v>-</v>
      </c>
      <c r="AK187" t="e">
        <f t="shared" si="28"/>
        <v>#VALUE!</v>
      </c>
      <c r="AL187" t="e">
        <f t="shared" si="29"/>
        <v>#VALUE!</v>
      </c>
    </row>
    <row r="188" spans="1:38" x14ac:dyDescent="0.25">
      <c r="A188" s="4">
        <f>Raw!J189</f>
        <v>6</v>
      </c>
      <c r="B188" s="4" t="str">
        <f>Raw!K189</f>
        <v>Palm Ave</v>
      </c>
      <c r="C188" s="4" t="str">
        <f>Raw!L189</f>
        <v>Hillcrest Blvd</v>
      </c>
      <c r="D188" s="4" t="str">
        <f>Raw!M189</f>
        <v>Alley</v>
      </c>
      <c r="E188" s="23" t="str">
        <f>Raw!CG189</f>
        <v>W</v>
      </c>
      <c r="F188" s="7">
        <f>Raw!T189</f>
        <v>19</v>
      </c>
      <c r="G188" s="7">
        <f>Raw!AL189</f>
        <v>0</v>
      </c>
      <c r="H188" s="7">
        <f>Raw!AC189</f>
        <v>0</v>
      </c>
      <c r="I188" s="7">
        <f t="shared" si="20"/>
        <v>0</v>
      </c>
      <c r="J188" s="157" t="str">
        <f>Raw!BT189</f>
        <v>NA</v>
      </c>
      <c r="K188" s="157" t="str">
        <f>Raw!AW189</f>
        <v>NA</v>
      </c>
      <c r="L188" s="42" t="str">
        <f>IF(Raw!CE189 = "NA", "-", Raw!CE189)</f>
        <v>-</v>
      </c>
      <c r="M188" s="42" t="str">
        <f>IF(Raw!BH189 = "NA", "-", Raw!BH189)</f>
        <v>-</v>
      </c>
      <c r="N188" s="46" t="str">
        <f>IF(Raw!CD189 = "NA", "-", Raw!CD189)</f>
        <v>-</v>
      </c>
      <c r="O188" s="46" t="str">
        <f>IF(Raw!BG189 = "NA", "-", Raw!BG189)</f>
        <v>-</v>
      </c>
      <c r="P188" s="32" t="str">
        <f>IF(Raw!AW189 = "NA", "-", SUMPRODUCT(Raw!$BT$2:$CC$2, Raw!BT189:CC189))</f>
        <v>-</v>
      </c>
      <c r="Q188" s="32" t="str">
        <f>IF(Raw!AW189 = "NA", "-", SUMPRODUCT(Raw!$AW$2:$BF$2, Raw!AW189:BF189))</f>
        <v>-</v>
      </c>
      <c r="R188" s="7" t="e" cm="1">
        <f t="array" ref="R188">_xlfn.IFS(S188="YES", "Hourly", T188="YES", "Flat Rate")</f>
        <v>#N/A</v>
      </c>
      <c r="S188" s="8" t="str">
        <f>IF(Raw!CO189=1, "YES", "")</f>
        <v/>
      </c>
      <c r="T188" s="8" t="str">
        <f>IF(Raw!CO189=2, "YES", "")</f>
        <v/>
      </c>
      <c r="U188" s="96" t="str">
        <f>IF(Raw!CP189=1, "YES", "")</f>
        <v/>
      </c>
      <c r="V188" s="96"/>
      <c r="X188" s="23">
        <f>SUMPRODUCT(Raw!$BT$3:$CC$3, Raw!BT189:CC189)</f>
        <v>0</v>
      </c>
      <c r="Y188" s="23">
        <f>SUMPRODUCT(Raw!$BT$3:$CC$3, Raw!BU189:CD189)</f>
        <v>0</v>
      </c>
      <c r="Z188" s="28">
        <f t="shared" si="23"/>
        <v>0</v>
      </c>
      <c r="AA188" s="28">
        <f t="shared" si="24"/>
        <v>0</v>
      </c>
      <c r="AC188">
        <f t="shared" si="25"/>
        <v>19</v>
      </c>
      <c r="AD188" s="23">
        <f>IF(U188="YES",SUMPRODUCT(Raw!$BT$3:$CC$3,Raw!BT189:CC189)*0.6,SUMPRODUCT(Raw!$BT$3:$CC$3,Raw!BT189:CC189))</f>
        <v>0</v>
      </c>
      <c r="AE188" s="23">
        <f>IF(U188="YES",SUMPRODUCT(Raw!$BT$3:$CC$3,Raw!BU189:CD189)*0.6,SUMPRODUCT(Raw!$BT$3:$CC$3,Raw!BU189:CD189))</f>
        <v>0</v>
      </c>
      <c r="AF188" s="28">
        <f t="shared" si="26"/>
        <v>0</v>
      </c>
      <c r="AG188" s="28">
        <f t="shared" si="27"/>
        <v>0</v>
      </c>
      <c r="AI188" s="88" t="str">
        <f t="shared" si="21"/>
        <v>-</v>
      </c>
      <c r="AJ188" s="88" t="str">
        <f t="shared" si="22"/>
        <v>-</v>
      </c>
      <c r="AK188" t="e">
        <f t="shared" si="28"/>
        <v>#VALUE!</v>
      </c>
      <c r="AL188" t="e">
        <f t="shared" si="29"/>
        <v>#VALUE!</v>
      </c>
    </row>
    <row r="189" spans="1:38" x14ac:dyDescent="0.25">
      <c r="A189" s="4">
        <f>Raw!J190</f>
        <v>7</v>
      </c>
      <c r="B189" s="4" t="str">
        <f>Raw!K190</f>
        <v>Palm Ave</v>
      </c>
      <c r="C189" s="4" t="str">
        <f>Raw!L190</f>
        <v>Alley</v>
      </c>
      <c r="D189" s="4" t="str">
        <f>Raw!M190</f>
        <v>Hillcrest Blvd</v>
      </c>
      <c r="E189" s="23" t="str">
        <f>Raw!CG190</f>
        <v>E</v>
      </c>
      <c r="F189" s="7">
        <f>Raw!T190</f>
        <v>19</v>
      </c>
      <c r="G189" s="7">
        <f>Raw!AL190</f>
        <v>0</v>
      </c>
      <c r="H189" s="7">
        <f>Raw!AC190</f>
        <v>0</v>
      </c>
      <c r="I189" s="7">
        <f t="shared" si="20"/>
        <v>0</v>
      </c>
      <c r="J189" s="157" t="str">
        <f>Raw!BT190</f>
        <v>NA</v>
      </c>
      <c r="K189" s="157" t="str">
        <f>Raw!AW190</f>
        <v>NA</v>
      </c>
      <c r="L189" s="42" t="str">
        <f>IF(Raw!CE190 = "NA", "-", Raw!CE190)</f>
        <v>-</v>
      </c>
      <c r="M189" s="42" t="str">
        <f>IF(Raw!BH190 = "NA", "-", Raw!BH190)</f>
        <v>-</v>
      </c>
      <c r="N189" s="46" t="str">
        <f>IF(Raw!CD190 = "NA", "-", Raw!CD190)</f>
        <v>-</v>
      </c>
      <c r="O189" s="46" t="str">
        <f>IF(Raw!BG190 = "NA", "-", Raw!BG190)</f>
        <v>-</v>
      </c>
      <c r="P189" s="32" t="str">
        <f>IF(Raw!AW190 = "NA", "-", SUMPRODUCT(Raw!$BT$2:$CC$2, Raw!BT190:CC190))</f>
        <v>-</v>
      </c>
      <c r="Q189" s="32" t="str">
        <f>IF(Raw!AW190 = "NA", "-", SUMPRODUCT(Raw!$AW$2:$BF$2, Raw!AW190:BF190))</f>
        <v>-</v>
      </c>
      <c r="R189" s="7" t="e" cm="1">
        <f t="array" ref="R189">_xlfn.IFS(S189="YES", "Hourly", T189="YES", "Flat Rate")</f>
        <v>#N/A</v>
      </c>
      <c r="S189" s="8" t="str">
        <f>IF(Raw!CO190=1, "YES", "")</f>
        <v/>
      </c>
      <c r="T189" s="8" t="str">
        <f>IF(Raw!CO190=2, "YES", "")</f>
        <v/>
      </c>
      <c r="U189" s="96" t="str">
        <f>IF(Raw!CP190=1, "YES", "")</f>
        <v/>
      </c>
      <c r="V189" s="96"/>
      <c r="X189" s="23">
        <f>SUMPRODUCT(Raw!$BT$3:$CC$3, Raw!BT190:CC190)</f>
        <v>0</v>
      </c>
      <c r="Y189" s="23">
        <f>SUMPRODUCT(Raw!$BT$3:$CC$3, Raw!BU190:CD190)</f>
        <v>0</v>
      </c>
      <c r="Z189" s="28">
        <f t="shared" si="23"/>
        <v>0</v>
      </c>
      <c r="AA189" s="28">
        <f t="shared" si="24"/>
        <v>0</v>
      </c>
      <c r="AC189">
        <f t="shared" si="25"/>
        <v>19</v>
      </c>
      <c r="AD189" s="23">
        <f>IF(U189="YES",SUMPRODUCT(Raw!$BT$3:$CC$3,Raw!BT190:CC190)*0.6,SUMPRODUCT(Raw!$BT$3:$CC$3,Raw!BT190:CC190))</f>
        <v>0</v>
      </c>
      <c r="AE189" s="23">
        <f>IF(U189="YES",SUMPRODUCT(Raw!$BT$3:$CC$3,Raw!BU190:CD190)*0.6,SUMPRODUCT(Raw!$BT$3:$CC$3,Raw!BU190:CD190))</f>
        <v>0</v>
      </c>
      <c r="AF189" s="28">
        <f t="shared" si="26"/>
        <v>0</v>
      </c>
      <c r="AG189" s="28">
        <f t="shared" si="27"/>
        <v>0</v>
      </c>
      <c r="AI189" s="88" t="str">
        <f t="shared" si="21"/>
        <v>-</v>
      </c>
      <c r="AJ189" s="88" t="str">
        <f t="shared" si="22"/>
        <v>-</v>
      </c>
      <c r="AK189" t="e">
        <f t="shared" si="28"/>
        <v>#VALUE!</v>
      </c>
      <c r="AL189" t="e">
        <f t="shared" si="29"/>
        <v>#VALUE!</v>
      </c>
    </row>
    <row r="190" spans="1:38" x14ac:dyDescent="0.25">
      <c r="A190" s="4">
        <f>Raw!J191</f>
        <v>16</v>
      </c>
      <c r="B190" s="4" t="str">
        <f>Raw!K191</f>
        <v>Elder Ave</v>
      </c>
      <c r="C190" s="4" t="str">
        <f>Raw!L191</f>
        <v>Hillcrest Blvd</v>
      </c>
      <c r="D190" s="4" t="str">
        <f>Raw!M191</f>
        <v>Alley</v>
      </c>
      <c r="E190" s="23" t="str">
        <f>Raw!CG191</f>
        <v>W</v>
      </c>
      <c r="F190" s="7">
        <f>Raw!T191</f>
        <v>22</v>
      </c>
      <c r="G190" s="7">
        <f>Raw!AL191</f>
        <v>0</v>
      </c>
      <c r="H190" s="7">
        <f>Raw!AC191</f>
        <v>2</v>
      </c>
      <c r="I190" s="7">
        <f t="shared" si="20"/>
        <v>2</v>
      </c>
      <c r="J190" s="157" t="str">
        <f>Raw!BT191</f>
        <v>NA</v>
      </c>
      <c r="K190" s="157" t="str">
        <f>Raw!AW191</f>
        <v>NA</v>
      </c>
      <c r="L190" s="42" t="str">
        <f>IF(Raw!CE191 = "NA", "-", Raw!CE191)</f>
        <v>-</v>
      </c>
      <c r="M190" s="42" t="str">
        <f>IF(Raw!BH191 = "NA", "-", Raw!BH191)</f>
        <v>-</v>
      </c>
      <c r="N190" s="46" t="str">
        <f>IF(Raw!CD191 = "NA", "-", Raw!CD191)</f>
        <v>-</v>
      </c>
      <c r="O190" s="46" t="str">
        <f>IF(Raw!BG191 = "NA", "-", Raw!BG191)</f>
        <v>-</v>
      </c>
      <c r="P190" s="32" t="str">
        <f>IF(Raw!AW191 = "NA", "-", SUMPRODUCT(Raw!$BT$2:$CC$2, Raw!BT191:CC191))</f>
        <v>-</v>
      </c>
      <c r="Q190" s="32" t="str">
        <f>IF(Raw!AW191 = "NA", "-", SUMPRODUCT(Raw!$AW$2:$BF$2, Raw!AW191:BF191))</f>
        <v>-</v>
      </c>
      <c r="R190" s="7" t="e" cm="1">
        <f t="array" ref="R190">_xlfn.IFS(S190="YES", "Hourly", T190="YES", "Flat Rate")</f>
        <v>#N/A</v>
      </c>
      <c r="S190" s="8" t="str">
        <f>IF(Raw!CO191=1, "YES", "")</f>
        <v/>
      </c>
      <c r="T190" s="8" t="str">
        <f>IF(Raw!CO191=2, "YES", "")</f>
        <v/>
      </c>
      <c r="U190" s="96" t="str">
        <f>IF(Raw!CP191=1, "YES", "")</f>
        <v/>
      </c>
      <c r="V190" s="96"/>
      <c r="X190" s="23">
        <f>SUMPRODUCT(Raw!$BT$3:$CC$3, Raw!BT191:CC191)</f>
        <v>0</v>
      </c>
      <c r="Y190" s="23">
        <f>SUMPRODUCT(Raw!$BT$3:$CC$3, Raw!BU191:CD191)</f>
        <v>0</v>
      </c>
      <c r="Z190" s="28">
        <f t="shared" si="23"/>
        <v>0</v>
      </c>
      <c r="AA190" s="28">
        <f t="shared" si="24"/>
        <v>0</v>
      </c>
      <c r="AC190">
        <f t="shared" si="25"/>
        <v>22</v>
      </c>
      <c r="AD190" s="23">
        <f>IF(U190="YES",SUMPRODUCT(Raw!$BT$3:$CC$3,Raw!BT191:CC191)*0.6,SUMPRODUCT(Raw!$BT$3:$CC$3,Raw!BT191:CC191))</f>
        <v>0</v>
      </c>
      <c r="AE190" s="23">
        <f>IF(U190="YES",SUMPRODUCT(Raw!$BT$3:$CC$3,Raw!BU191:CD191)*0.6,SUMPRODUCT(Raw!$BT$3:$CC$3,Raw!BU191:CD191))</f>
        <v>0</v>
      </c>
      <c r="AF190" s="28">
        <f t="shared" si="26"/>
        <v>0</v>
      </c>
      <c r="AG190" s="28">
        <f t="shared" si="27"/>
        <v>0</v>
      </c>
      <c r="AI190" s="88" t="str">
        <f t="shared" si="21"/>
        <v>-</v>
      </c>
      <c r="AJ190" s="88" t="str">
        <f t="shared" si="22"/>
        <v>-</v>
      </c>
      <c r="AK190" t="e">
        <f t="shared" si="28"/>
        <v>#VALUE!</v>
      </c>
      <c r="AL190" t="e">
        <f t="shared" si="29"/>
        <v>#VALUE!</v>
      </c>
    </row>
    <row r="191" spans="1:38" x14ac:dyDescent="0.25">
      <c r="A191" s="4">
        <f>Raw!J192</f>
        <v>17</v>
      </c>
      <c r="B191" s="4" t="str">
        <f>Raw!K192</f>
        <v>Elder Ave</v>
      </c>
      <c r="C191" s="4" t="str">
        <f>Raw!L192</f>
        <v>Alley</v>
      </c>
      <c r="D191" s="4" t="str">
        <f>Raw!M192</f>
        <v>Hillcrest Blvd</v>
      </c>
      <c r="E191" s="23" t="str">
        <f>Raw!CG192</f>
        <v>E</v>
      </c>
      <c r="F191" s="7">
        <f>Raw!T192</f>
        <v>21</v>
      </c>
      <c r="G191" s="7">
        <f>Raw!AL192</f>
        <v>0</v>
      </c>
      <c r="H191" s="7">
        <f>Raw!AC192</f>
        <v>2</v>
      </c>
      <c r="I191" s="7">
        <f t="shared" si="20"/>
        <v>2</v>
      </c>
      <c r="J191" s="157" t="str">
        <f>Raw!BT192</f>
        <v>NA</v>
      </c>
      <c r="K191" s="157" t="str">
        <f>Raw!AW192</f>
        <v>NA</v>
      </c>
      <c r="L191" s="42" t="str">
        <f>IF(Raw!CE192 = "NA", "-", Raw!CE192)</f>
        <v>-</v>
      </c>
      <c r="M191" s="42" t="str">
        <f>IF(Raw!BH192 = "NA", "-", Raw!BH192)</f>
        <v>-</v>
      </c>
      <c r="N191" s="46" t="str">
        <f>IF(Raw!CD192 = "NA", "-", Raw!CD192)</f>
        <v>-</v>
      </c>
      <c r="O191" s="46" t="str">
        <f>IF(Raw!BG192 = "NA", "-", Raw!BG192)</f>
        <v>-</v>
      </c>
      <c r="P191" s="32" t="str">
        <f>IF(Raw!AW192 = "NA", "-", SUMPRODUCT(Raw!$BT$2:$CC$2, Raw!BT192:CC192))</f>
        <v>-</v>
      </c>
      <c r="Q191" s="32" t="str">
        <f>IF(Raw!AW192 = "NA", "-", SUMPRODUCT(Raw!$AW$2:$BF$2, Raw!AW192:BF192))</f>
        <v>-</v>
      </c>
      <c r="R191" s="7" t="e" cm="1">
        <f t="array" ref="R191">_xlfn.IFS(S191="YES", "Hourly", T191="YES", "Flat Rate")</f>
        <v>#N/A</v>
      </c>
      <c r="S191" s="8" t="str">
        <f>IF(Raw!CO192=1, "YES", "")</f>
        <v/>
      </c>
      <c r="T191" s="8" t="str">
        <f>IF(Raw!CO192=2, "YES", "")</f>
        <v/>
      </c>
      <c r="U191" s="96" t="str">
        <f>IF(Raw!CP192=1, "YES", "")</f>
        <v/>
      </c>
      <c r="V191" s="96"/>
      <c r="X191" s="23">
        <f>SUMPRODUCT(Raw!$BT$3:$CC$3, Raw!BT192:CC192)</f>
        <v>0</v>
      </c>
      <c r="Y191" s="23">
        <f>SUMPRODUCT(Raw!$BT$3:$CC$3, Raw!BU192:CD192)</f>
        <v>0</v>
      </c>
      <c r="Z191" s="28">
        <f t="shared" si="23"/>
        <v>0</v>
      </c>
      <c r="AA191" s="28">
        <f t="shared" si="24"/>
        <v>0</v>
      </c>
      <c r="AC191">
        <f t="shared" si="25"/>
        <v>21</v>
      </c>
      <c r="AD191" s="23">
        <f>IF(U191="YES",SUMPRODUCT(Raw!$BT$3:$CC$3,Raw!BT192:CC192)*0.6,SUMPRODUCT(Raw!$BT$3:$CC$3,Raw!BT192:CC192))</f>
        <v>0</v>
      </c>
      <c r="AE191" s="23">
        <f>IF(U191="YES",SUMPRODUCT(Raw!$BT$3:$CC$3,Raw!BU192:CD192)*0.6,SUMPRODUCT(Raw!$BT$3:$CC$3,Raw!BU192:CD192))</f>
        <v>0</v>
      </c>
      <c r="AF191" s="28">
        <f t="shared" si="26"/>
        <v>0</v>
      </c>
      <c r="AG191" s="28">
        <f t="shared" si="27"/>
        <v>0</v>
      </c>
      <c r="AI191" s="88" t="str">
        <f t="shared" si="21"/>
        <v>-</v>
      </c>
      <c r="AJ191" s="88" t="str">
        <f t="shared" si="22"/>
        <v>-</v>
      </c>
      <c r="AK191" t="e">
        <f t="shared" si="28"/>
        <v>#VALUE!</v>
      </c>
      <c r="AL191" t="e">
        <f t="shared" si="29"/>
        <v>#VALUE!</v>
      </c>
    </row>
    <row r="192" spans="1:38" x14ac:dyDescent="0.25">
      <c r="A192" s="4">
        <f>Raw!J193</f>
        <v>29</v>
      </c>
      <c r="B192" s="4" t="str">
        <f>Raw!K193</f>
        <v>Poplar Ave</v>
      </c>
      <c r="C192" s="4" t="str">
        <f>Raw!L193</f>
        <v>Hillcrest Blvd</v>
      </c>
      <c r="D192" s="4" t="str">
        <f>Raw!M193</f>
        <v>Alley</v>
      </c>
      <c r="E192" s="23" t="str">
        <f>Raw!CG193</f>
        <v>W</v>
      </c>
      <c r="F192" s="7">
        <f>Raw!T193</f>
        <v>29</v>
      </c>
      <c r="G192" s="7">
        <f>Raw!AL193</f>
        <v>1</v>
      </c>
      <c r="H192" s="7">
        <f>Raw!AC193</f>
        <v>0</v>
      </c>
      <c r="I192" s="7">
        <f t="shared" si="20"/>
        <v>1</v>
      </c>
      <c r="J192" s="157" t="str">
        <f>Raw!BT193</f>
        <v>NA</v>
      </c>
      <c r="K192" s="157" t="str">
        <f>Raw!AW193</f>
        <v>NA</v>
      </c>
      <c r="L192" s="42" t="str">
        <f>IF(Raw!CE193 = "NA", "-", Raw!CE193)</f>
        <v>-</v>
      </c>
      <c r="M192" s="42" t="str">
        <f>IF(Raw!BH193 = "NA", "-", Raw!BH193)</f>
        <v>-</v>
      </c>
      <c r="N192" s="46" t="str">
        <f>IF(Raw!CD193 = "NA", "-", Raw!CD193)</f>
        <v>-</v>
      </c>
      <c r="O192" s="46" t="str">
        <f>IF(Raw!BG193 = "NA", "-", Raw!BG193)</f>
        <v>-</v>
      </c>
      <c r="P192" s="32" t="str">
        <f>IF(Raw!AW193 = "NA", "-", SUMPRODUCT(Raw!$BT$2:$CC$2, Raw!BT193:CC193))</f>
        <v>-</v>
      </c>
      <c r="Q192" s="32" t="str">
        <f>IF(Raw!AW193 = "NA", "-", SUMPRODUCT(Raw!$AW$2:$BF$2, Raw!AW193:BF193))</f>
        <v>-</v>
      </c>
      <c r="R192" s="7" t="e" cm="1">
        <f t="array" ref="R192">_xlfn.IFS(S192="YES", "Hourly", T192="YES", "Flat Rate")</f>
        <v>#N/A</v>
      </c>
      <c r="S192" s="8" t="str">
        <f>IF(Raw!CO193=1, "YES", "")</f>
        <v/>
      </c>
      <c r="T192" s="8" t="str">
        <f>IF(Raw!CO193=2, "YES", "")</f>
        <v/>
      </c>
      <c r="U192" s="96" t="str">
        <f>IF(Raw!CP193=1, "YES", "")</f>
        <v/>
      </c>
      <c r="V192" s="96"/>
      <c r="X192" s="23">
        <f>SUMPRODUCT(Raw!$BT$3:$CC$3, Raw!BT193:CC193)</f>
        <v>0</v>
      </c>
      <c r="Y192" s="23">
        <f>SUMPRODUCT(Raw!$BT$3:$CC$3, Raw!BU193:CD193)</f>
        <v>0</v>
      </c>
      <c r="Z192" s="28">
        <f t="shared" si="23"/>
        <v>0</v>
      </c>
      <c r="AA192" s="28">
        <f t="shared" si="24"/>
        <v>0</v>
      </c>
      <c r="AC192">
        <f t="shared" si="25"/>
        <v>29</v>
      </c>
      <c r="AD192" s="23">
        <f>IF(U192="YES",SUMPRODUCT(Raw!$BT$3:$CC$3,Raw!BT193:CC193)*0.6,SUMPRODUCT(Raw!$BT$3:$CC$3,Raw!BT193:CC193))</f>
        <v>0</v>
      </c>
      <c r="AE192" s="23">
        <f>IF(U192="YES",SUMPRODUCT(Raw!$BT$3:$CC$3,Raw!BU193:CD193)*0.6,SUMPRODUCT(Raw!$BT$3:$CC$3,Raw!BU193:CD193))</f>
        <v>0</v>
      </c>
      <c r="AF192" s="28">
        <f t="shared" si="26"/>
        <v>0</v>
      </c>
      <c r="AG192" s="28">
        <f t="shared" si="27"/>
        <v>0</v>
      </c>
      <c r="AI192" s="88" t="str">
        <f t="shared" si="21"/>
        <v>-</v>
      </c>
      <c r="AJ192" s="88" t="str">
        <f t="shared" si="22"/>
        <v>-</v>
      </c>
      <c r="AK192" t="e">
        <f t="shared" si="28"/>
        <v>#VALUE!</v>
      </c>
      <c r="AL192" t="e">
        <f t="shared" si="29"/>
        <v>#VALUE!</v>
      </c>
    </row>
    <row r="193" spans="1:38" x14ac:dyDescent="0.25">
      <c r="A193" s="4">
        <f>Raw!J194</f>
        <v>31</v>
      </c>
      <c r="B193" s="4" t="str">
        <f>Raw!K194</f>
        <v>Poplar Ave</v>
      </c>
      <c r="C193" s="4" t="str">
        <f>Raw!L194</f>
        <v>Alley</v>
      </c>
      <c r="D193" s="4" t="str">
        <f>Raw!M194</f>
        <v>La Cruz Ave</v>
      </c>
      <c r="E193" s="23" t="str">
        <f>Raw!CG194</f>
        <v>E</v>
      </c>
      <c r="F193" s="7">
        <f>Raw!T194</f>
        <v>13</v>
      </c>
      <c r="G193" s="7">
        <f>Raw!AL194</f>
        <v>1</v>
      </c>
      <c r="H193" s="7">
        <f>Raw!AC194</f>
        <v>1</v>
      </c>
      <c r="I193" s="7">
        <f t="shared" si="20"/>
        <v>2</v>
      </c>
      <c r="J193" s="157" t="str">
        <f>Raw!BT194</f>
        <v>NA</v>
      </c>
      <c r="K193" s="157" t="str">
        <f>Raw!AW194</f>
        <v>NA</v>
      </c>
      <c r="L193" s="42" t="str">
        <f>IF(Raw!CE194 = "NA", "-", Raw!CE194)</f>
        <v>-</v>
      </c>
      <c r="M193" s="42" t="str">
        <f>IF(Raw!BH194 = "NA", "-", Raw!BH194)</f>
        <v>-</v>
      </c>
      <c r="N193" s="46" t="str">
        <f>IF(Raw!CD194 = "NA", "-", Raw!CD194)</f>
        <v>-</v>
      </c>
      <c r="O193" s="46" t="str">
        <f>IF(Raw!BG194 = "NA", "-", Raw!BG194)</f>
        <v>-</v>
      </c>
      <c r="P193" s="32" t="str">
        <f>IF(Raw!AW194 = "NA", "-", SUMPRODUCT(Raw!$BT$2:$CC$2, Raw!BT194:CC194))</f>
        <v>-</v>
      </c>
      <c r="Q193" s="32" t="str">
        <f>IF(Raw!AW194 = "NA", "-", SUMPRODUCT(Raw!$AW$2:$BF$2, Raw!AW194:BF194))</f>
        <v>-</v>
      </c>
      <c r="R193" s="7" t="e" cm="1">
        <f t="array" ref="R193">_xlfn.IFS(S193="YES", "Hourly", T193="YES", "Flat Rate")</f>
        <v>#N/A</v>
      </c>
      <c r="S193" s="8" t="str">
        <f>IF(Raw!CO194=1, "YES", "")</f>
        <v/>
      </c>
      <c r="T193" s="8" t="str">
        <f>IF(Raw!CO194=2, "YES", "")</f>
        <v/>
      </c>
      <c r="U193" s="96" t="str">
        <f>IF(Raw!CP194=1, "YES", "")</f>
        <v/>
      </c>
      <c r="V193" s="96"/>
      <c r="X193" s="23">
        <f>SUMPRODUCT(Raw!$BT$3:$CC$3, Raw!BT194:CC194)</f>
        <v>0</v>
      </c>
      <c r="Y193" s="23">
        <f>SUMPRODUCT(Raw!$BT$3:$CC$3, Raw!BU194:CD194)</f>
        <v>0</v>
      </c>
      <c r="Z193" s="28">
        <f t="shared" si="23"/>
        <v>0</v>
      </c>
      <c r="AA193" s="28">
        <f t="shared" si="24"/>
        <v>0</v>
      </c>
      <c r="AC193">
        <f t="shared" si="25"/>
        <v>13</v>
      </c>
      <c r="AD193" s="23">
        <f>IF(U193="YES",SUMPRODUCT(Raw!$BT$3:$CC$3,Raw!BT194:CC194)*0.6,SUMPRODUCT(Raw!$BT$3:$CC$3,Raw!BT194:CC194))</f>
        <v>0</v>
      </c>
      <c r="AE193" s="23">
        <f>IF(U193="YES",SUMPRODUCT(Raw!$BT$3:$CC$3,Raw!BU194:CD194)*0.6,SUMPRODUCT(Raw!$BT$3:$CC$3,Raw!BU194:CD194))</f>
        <v>0</v>
      </c>
      <c r="AF193" s="28">
        <f t="shared" si="26"/>
        <v>0</v>
      </c>
      <c r="AG193" s="28">
        <f t="shared" si="27"/>
        <v>0</v>
      </c>
      <c r="AI193" s="88" t="str">
        <f t="shared" si="21"/>
        <v>-</v>
      </c>
      <c r="AJ193" s="88" t="str">
        <f t="shared" si="22"/>
        <v>-</v>
      </c>
      <c r="AK193" t="e">
        <f t="shared" si="28"/>
        <v>#VALUE!</v>
      </c>
      <c r="AL193" t="e">
        <f t="shared" si="29"/>
        <v>#VALUE!</v>
      </c>
    </row>
    <row r="194" spans="1:38" x14ac:dyDescent="0.25">
      <c r="A194" s="4">
        <f>Raw!J195</f>
        <v>8</v>
      </c>
      <c r="B194" s="4" t="str">
        <f>Raw!K195</f>
        <v>Palm Ave</v>
      </c>
      <c r="C194" s="4" t="str">
        <f>Raw!L195</f>
        <v>Alley</v>
      </c>
      <c r="D194" s="4" t="str">
        <f>Raw!M195</f>
        <v>Chadbourne Ave</v>
      </c>
      <c r="E194" s="23" t="str">
        <f>Raw!CG195</f>
        <v>W</v>
      </c>
      <c r="F194" s="7">
        <f>Raw!T195</f>
        <v>11</v>
      </c>
      <c r="G194" s="7">
        <f>Raw!AL195</f>
        <v>0</v>
      </c>
      <c r="H194" s="7">
        <f>Raw!AC195</f>
        <v>0</v>
      </c>
      <c r="I194" s="7">
        <f t="shared" ref="I194:I257" si="30">SUM(G194:H194)</f>
        <v>0</v>
      </c>
      <c r="J194" s="157" t="str">
        <f>Raw!BT195</f>
        <v>NA</v>
      </c>
      <c r="K194" s="157" t="str">
        <f>Raw!AW195</f>
        <v>NA</v>
      </c>
      <c r="L194" s="42" t="str">
        <f>IF(Raw!CE195 = "NA", "-", Raw!CE195)</f>
        <v>-</v>
      </c>
      <c r="M194" s="42" t="str">
        <f>IF(Raw!BH195 = "NA", "-", Raw!BH195)</f>
        <v>-</v>
      </c>
      <c r="N194" s="46" t="str">
        <f>IF(Raw!CD195 = "NA", "-", Raw!CD195)</f>
        <v>-</v>
      </c>
      <c r="O194" s="46" t="str">
        <f>IF(Raw!BG195 = "NA", "-", Raw!BG195)</f>
        <v>-</v>
      </c>
      <c r="P194" s="32" t="str">
        <f>IF(Raw!AW195 = "NA", "-", SUMPRODUCT(Raw!$BT$2:$CC$2, Raw!BT195:CC195))</f>
        <v>-</v>
      </c>
      <c r="Q194" s="32" t="str">
        <f>IF(Raw!AW195 = "NA", "-", SUMPRODUCT(Raw!$AW$2:$BF$2, Raw!AW195:BF195))</f>
        <v>-</v>
      </c>
      <c r="R194" s="7" t="e" cm="1">
        <f t="array" ref="R194">_xlfn.IFS(S194="YES", "Hourly", T194="YES", "Flat Rate")</f>
        <v>#N/A</v>
      </c>
      <c r="S194" s="8" t="str">
        <f>IF(Raw!CO195=1, "YES", "")</f>
        <v/>
      </c>
      <c r="T194" s="8" t="str">
        <f>IF(Raw!CO195=2, "YES", "")</f>
        <v/>
      </c>
      <c r="U194" s="96" t="str">
        <f>IF(Raw!CP195=1, "YES", "")</f>
        <v/>
      </c>
      <c r="V194" s="96"/>
      <c r="X194" s="23">
        <f>SUMPRODUCT(Raw!$BT$3:$CC$3, Raw!BT195:CC195)</f>
        <v>0</v>
      </c>
      <c r="Y194" s="23">
        <f>SUMPRODUCT(Raw!$BT$3:$CC$3, Raw!BU195:CD195)</f>
        <v>0</v>
      </c>
      <c r="Z194" s="28">
        <f t="shared" si="23"/>
        <v>0</v>
      </c>
      <c r="AA194" s="28">
        <f t="shared" si="24"/>
        <v>0</v>
      </c>
      <c r="AC194">
        <f t="shared" si="25"/>
        <v>11</v>
      </c>
      <c r="AD194" s="23">
        <f>IF(U194="YES",SUMPRODUCT(Raw!$BT$3:$CC$3,Raw!BT195:CC195)*0.6,SUMPRODUCT(Raw!$BT$3:$CC$3,Raw!BT195:CC195))</f>
        <v>0</v>
      </c>
      <c r="AE194" s="23">
        <f>IF(U194="YES",SUMPRODUCT(Raw!$BT$3:$CC$3,Raw!BU195:CD195)*0.6,SUMPRODUCT(Raw!$BT$3:$CC$3,Raw!BU195:CD195))</f>
        <v>0</v>
      </c>
      <c r="AF194" s="28">
        <f t="shared" si="26"/>
        <v>0</v>
      </c>
      <c r="AG194" s="28">
        <f t="shared" si="27"/>
        <v>0</v>
      </c>
      <c r="AI194" s="88" t="str">
        <f t="shared" si="21"/>
        <v>-</v>
      </c>
      <c r="AJ194" s="88" t="str">
        <f t="shared" si="22"/>
        <v>-</v>
      </c>
      <c r="AK194" t="e">
        <f t="shared" si="28"/>
        <v>#VALUE!</v>
      </c>
      <c r="AL194" t="e">
        <f t="shared" si="29"/>
        <v>#VALUE!</v>
      </c>
    </row>
    <row r="195" spans="1:38" x14ac:dyDescent="0.25">
      <c r="A195" s="4">
        <f>Raw!J196</f>
        <v>9</v>
      </c>
      <c r="B195" s="4" t="str">
        <f>Raw!K196</f>
        <v>Palm Ave</v>
      </c>
      <c r="C195" s="4" t="str">
        <f>Raw!L196</f>
        <v>Chadbourne Ave</v>
      </c>
      <c r="D195" s="4" t="str">
        <f>Raw!M196</f>
        <v>Alley</v>
      </c>
      <c r="E195" s="23" t="str">
        <f>Raw!CG196</f>
        <v>E</v>
      </c>
      <c r="F195" s="7">
        <f>Raw!T196</f>
        <v>12</v>
      </c>
      <c r="G195" s="7">
        <f>Raw!AL196</f>
        <v>0</v>
      </c>
      <c r="H195" s="7">
        <f>Raw!AC196</f>
        <v>2</v>
      </c>
      <c r="I195" s="7">
        <f t="shared" si="30"/>
        <v>2</v>
      </c>
      <c r="J195" s="157" t="str">
        <f>Raw!BT196</f>
        <v>NA</v>
      </c>
      <c r="K195" s="157" t="str">
        <f>Raw!AW196</f>
        <v>NA</v>
      </c>
      <c r="L195" s="42" t="str">
        <f>IF(Raw!CE196 = "NA", "-", Raw!CE196)</f>
        <v>-</v>
      </c>
      <c r="M195" s="42" t="str">
        <f>IF(Raw!BH196 = "NA", "-", Raw!BH196)</f>
        <v>-</v>
      </c>
      <c r="N195" s="46" t="str">
        <f>IF(Raw!CD196 = "NA", "-", Raw!CD196)</f>
        <v>-</v>
      </c>
      <c r="O195" s="46" t="str">
        <f>IF(Raw!BG196 = "NA", "-", Raw!BG196)</f>
        <v>-</v>
      </c>
      <c r="P195" s="32" t="str">
        <f>IF(Raw!AW196 = "NA", "-", SUMPRODUCT(Raw!$BT$2:$CC$2, Raw!BT196:CC196))</f>
        <v>-</v>
      </c>
      <c r="Q195" s="32" t="str">
        <f>IF(Raw!AW196 = "NA", "-", SUMPRODUCT(Raw!$AW$2:$BF$2, Raw!AW196:BF196))</f>
        <v>-</v>
      </c>
      <c r="R195" s="7" t="e" cm="1">
        <f t="array" ref="R195">_xlfn.IFS(S195="YES", "Hourly", T195="YES", "Flat Rate")</f>
        <v>#N/A</v>
      </c>
      <c r="S195" s="8" t="str">
        <f>IF(Raw!CO196=1, "YES", "")</f>
        <v/>
      </c>
      <c r="T195" s="8" t="str">
        <f>IF(Raw!CO196=2, "YES", "")</f>
        <v/>
      </c>
      <c r="U195" s="96" t="str">
        <f>IF(Raw!CP196=1, "YES", "")</f>
        <v/>
      </c>
      <c r="V195" s="96"/>
      <c r="X195" s="23">
        <f>SUMPRODUCT(Raw!$BT$3:$CC$3, Raw!BT196:CC196)</f>
        <v>0</v>
      </c>
      <c r="Y195" s="23">
        <f>SUMPRODUCT(Raw!$BT$3:$CC$3, Raw!BU196:CD196)</f>
        <v>0</v>
      </c>
      <c r="Z195" s="28">
        <f t="shared" si="23"/>
        <v>0</v>
      </c>
      <c r="AA195" s="28">
        <f t="shared" si="24"/>
        <v>0</v>
      </c>
      <c r="AC195">
        <f t="shared" si="25"/>
        <v>12</v>
      </c>
      <c r="AD195" s="23">
        <f>IF(U195="YES",SUMPRODUCT(Raw!$BT$3:$CC$3,Raw!BT196:CC196)*0.6,SUMPRODUCT(Raw!$BT$3:$CC$3,Raw!BT196:CC196))</f>
        <v>0</v>
      </c>
      <c r="AE195" s="23">
        <f>IF(U195="YES",SUMPRODUCT(Raw!$BT$3:$CC$3,Raw!BU196:CD196)*0.6,SUMPRODUCT(Raw!$BT$3:$CC$3,Raw!BU196:CD196))</f>
        <v>0</v>
      </c>
      <c r="AF195" s="28">
        <f t="shared" si="26"/>
        <v>0</v>
      </c>
      <c r="AG195" s="28">
        <f t="shared" si="27"/>
        <v>0</v>
      </c>
      <c r="AI195" s="88" t="str">
        <f t="shared" ref="AI195:AI258" si="31">N195</f>
        <v>-</v>
      </c>
      <c r="AJ195" s="88" t="str">
        <f t="shared" ref="AJ195:AJ258" si="32">O195</f>
        <v>-</v>
      </c>
      <c r="AK195" t="e">
        <f t="shared" si="28"/>
        <v>#VALUE!</v>
      </c>
      <c r="AL195" t="e">
        <f t="shared" si="29"/>
        <v>#VALUE!</v>
      </c>
    </row>
    <row r="196" spans="1:38" x14ac:dyDescent="0.25">
      <c r="A196" s="4">
        <f>Raw!J197</f>
        <v>18</v>
      </c>
      <c r="B196" s="4" t="str">
        <f>Raw!K197</f>
        <v>Elder Ave</v>
      </c>
      <c r="C196" s="4" t="str">
        <f>Raw!L197</f>
        <v>Alley</v>
      </c>
      <c r="D196" s="4" t="str">
        <f>Raw!M197</f>
        <v>Chadbourne Ave</v>
      </c>
      <c r="E196" s="23" t="str">
        <f>Raw!CG197</f>
        <v>W</v>
      </c>
      <c r="F196" s="7">
        <f>Raw!T197</f>
        <v>11</v>
      </c>
      <c r="G196" s="7">
        <f>Raw!AL197</f>
        <v>2</v>
      </c>
      <c r="H196" s="7">
        <f>Raw!AC197</f>
        <v>0</v>
      </c>
      <c r="I196" s="7">
        <f t="shared" si="30"/>
        <v>2</v>
      </c>
      <c r="J196" s="157" t="str">
        <f>Raw!BT197</f>
        <v>NA</v>
      </c>
      <c r="K196" s="157" t="str">
        <f>Raw!AW197</f>
        <v>NA</v>
      </c>
      <c r="L196" s="42" t="str">
        <f>IF(Raw!CE197 = "NA", "-", Raw!CE197)</f>
        <v>-</v>
      </c>
      <c r="M196" s="42" t="str">
        <f>IF(Raw!BH197 = "NA", "-", Raw!BH197)</f>
        <v>-</v>
      </c>
      <c r="N196" s="46" t="str">
        <f>IF(Raw!CD197 = "NA", "-", Raw!CD197)</f>
        <v>-</v>
      </c>
      <c r="O196" s="46" t="str">
        <f>IF(Raw!BG197 = "NA", "-", Raw!BG197)</f>
        <v>-</v>
      </c>
      <c r="P196" s="32" t="str">
        <f>IF(Raw!AW197 = "NA", "-", SUMPRODUCT(Raw!$BT$2:$CC$2, Raw!BT197:CC197))</f>
        <v>-</v>
      </c>
      <c r="Q196" s="32" t="str">
        <f>IF(Raw!AW197 = "NA", "-", SUMPRODUCT(Raw!$AW$2:$BF$2, Raw!AW197:BF197))</f>
        <v>-</v>
      </c>
      <c r="R196" s="7" t="e" cm="1">
        <f t="array" ref="R196">_xlfn.IFS(S196="YES", "Hourly", T196="YES", "Flat Rate")</f>
        <v>#N/A</v>
      </c>
      <c r="S196" s="8" t="str">
        <f>IF(Raw!CO197=1, "YES", "")</f>
        <v/>
      </c>
      <c r="T196" s="8" t="str">
        <f>IF(Raw!CO197=2, "YES", "")</f>
        <v/>
      </c>
      <c r="U196" s="96" t="str">
        <f>IF(Raw!CP197=1, "YES", "")</f>
        <v/>
      </c>
      <c r="V196" s="96"/>
      <c r="X196" s="23">
        <f>SUMPRODUCT(Raw!$BT$3:$CC$3, Raw!BT197:CC197)</f>
        <v>0</v>
      </c>
      <c r="Y196" s="23">
        <f>SUMPRODUCT(Raw!$BT$3:$CC$3, Raw!BU197:CD197)</f>
        <v>0</v>
      </c>
      <c r="Z196" s="28">
        <f t="shared" ref="Z196:Z259" si="33">X196*5+Y196</f>
        <v>0</v>
      </c>
      <c r="AA196" s="28">
        <f t="shared" ref="AA196:AA259" si="34">X196*261+Y196*52</f>
        <v>0</v>
      </c>
      <c r="AC196">
        <f t="shared" ref="AC196:AC259" si="35">IF(U196="YES", F196*0.6, F196)</f>
        <v>11</v>
      </c>
      <c r="AD196" s="23">
        <f>IF(U196="YES",SUMPRODUCT(Raw!$BT$3:$CC$3,Raw!BT197:CC197)*0.6,SUMPRODUCT(Raw!$BT$3:$CC$3,Raw!BT197:CC197))</f>
        <v>0</v>
      </c>
      <c r="AE196" s="23">
        <f>IF(U196="YES",SUMPRODUCT(Raw!$BT$3:$CC$3,Raw!BU197:CD197)*0.6,SUMPRODUCT(Raw!$BT$3:$CC$3,Raw!BU197:CD197))</f>
        <v>0</v>
      </c>
      <c r="AF196" s="28">
        <f t="shared" ref="AF196:AF259" si="36">AD196*5+AE196</f>
        <v>0</v>
      </c>
      <c r="AG196" s="28">
        <f t="shared" ref="AG196:AG259" si="37">AD196*261+AE196*52</f>
        <v>0</v>
      </c>
      <c r="AI196" s="88" t="str">
        <f t="shared" si="31"/>
        <v>-</v>
      </c>
      <c r="AJ196" s="88" t="str">
        <f t="shared" si="32"/>
        <v>-</v>
      </c>
      <c r="AK196" t="e">
        <f t="shared" ref="AK196:AK259" si="38">(AI196*5+AJ196)*5.5</f>
        <v>#VALUE!</v>
      </c>
      <c r="AL196" t="e">
        <f t="shared" ref="AL196:AL259" si="39">(AI196*261+AJ196*52)*5.5</f>
        <v>#VALUE!</v>
      </c>
    </row>
    <row r="197" spans="1:38" x14ac:dyDescent="0.25">
      <c r="A197" s="4">
        <f>Raw!J198</f>
        <v>19</v>
      </c>
      <c r="B197" s="4" t="str">
        <f>Raw!K198</f>
        <v>Elder Ave</v>
      </c>
      <c r="C197" s="4" t="str">
        <f>Raw!L198</f>
        <v>Chadbourne Ave</v>
      </c>
      <c r="D197" s="4" t="str">
        <f>Raw!M198</f>
        <v>Alley</v>
      </c>
      <c r="E197" s="23" t="str">
        <f>Raw!CG198</f>
        <v>E</v>
      </c>
      <c r="F197" s="7">
        <f>Raw!T198</f>
        <v>11</v>
      </c>
      <c r="G197" s="7">
        <f>Raw!AL198</f>
        <v>0</v>
      </c>
      <c r="H197" s="7">
        <f>Raw!AC198</f>
        <v>4</v>
      </c>
      <c r="I197" s="7">
        <f t="shared" si="30"/>
        <v>4</v>
      </c>
      <c r="J197" s="157" t="str">
        <f>Raw!BT198</f>
        <v>NA</v>
      </c>
      <c r="K197" s="157" t="str">
        <f>Raw!AW198</f>
        <v>NA</v>
      </c>
      <c r="L197" s="42" t="str">
        <f>IF(Raw!CE198 = "NA", "-", Raw!CE198)</f>
        <v>-</v>
      </c>
      <c r="M197" s="42" t="str">
        <f>IF(Raw!BH198 = "NA", "-", Raw!BH198)</f>
        <v>-</v>
      </c>
      <c r="N197" s="46" t="str">
        <f>IF(Raw!CD198 = "NA", "-", Raw!CD198)</f>
        <v>-</v>
      </c>
      <c r="O197" s="46" t="str">
        <f>IF(Raw!BG198 = "NA", "-", Raw!BG198)</f>
        <v>-</v>
      </c>
      <c r="P197" s="32" t="str">
        <f>IF(Raw!AW198 = "NA", "-", SUMPRODUCT(Raw!$BT$2:$CC$2, Raw!BT198:CC198))</f>
        <v>-</v>
      </c>
      <c r="Q197" s="32" t="str">
        <f>IF(Raw!AW198 = "NA", "-", SUMPRODUCT(Raw!$AW$2:$BF$2, Raw!AW198:BF198))</f>
        <v>-</v>
      </c>
      <c r="R197" s="7" t="e" cm="1">
        <f t="array" ref="R197">_xlfn.IFS(S197="YES", "Hourly", T197="YES", "Flat Rate")</f>
        <v>#N/A</v>
      </c>
      <c r="S197" s="8" t="str">
        <f>IF(Raw!CO198=1, "YES", "")</f>
        <v/>
      </c>
      <c r="T197" s="8" t="str">
        <f>IF(Raw!CO198=2, "YES", "")</f>
        <v/>
      </c>
      <c r="U197" s="96" t="str">
        <f>IF(Raw!CP198=1, "YES", "")</f>
        <v/>
      </c>
      <c r="V197" s="96"/>
      <c r="X197" s="23">
        <f>SUMPRODUCT(Raw!$BT$3:$CC$3, Raw!BT198:CC198)</f>
        <v>0</v>
      </c>
      <c r="Y197" s="23">
        <f>SUMPRODUCT(Raw!$BT$3:$CC$3, Raw!BU198:CD198)</f>
        <v>0</v>
      </c>
      <c r="Z197" s="28">
        <f t="shared" si="33"/>
        <v>0</v>
      </c>
      <c r="AA197" s="28">
        <f t="shared" si="34"/>
        <v>0</v>
      </c>
      <c r="AC197">
        <f t="shared" si="35"/>
        <v>11</v>
      </c>
      <c r="AD197" s="23">
        <f>IF(U197="YES",SUMPRODUCT(Raw!$BT$3:$CC$3,Raw!BT198:CC198)*0.6,SUMPRODUCT(Raw!$BT$3:$CC$3,Raw!BT198:CC198))</f>
        <v>0</v>
      </c>
      <c r="AE197" s="23">
        <f>IF(U197="YES",SUMPRODUCT(Raw!$BT$3:$CC$3,Raw!BU198:CD198)*0.6,SUMPRODUCT(Raw!$BT$3:$CC$3,Raw!BU198:CD198))</f>
        <v>0</v>
      </c>
      <c r="AF197" s="28">
        <f t="shared" si="36"/>
        <v>0</v>
      </c>
      <c r="AG197" s="28">
        <f t="shared" si="37"/>
        <v>0</v>
      </c>
      <c r="AI197" s="88" t="str">
        <f t="shared" si="31"/>
        <v>-</v>
      </c>
      <c r="AJ197" s="88" t="str">
        <f t="shared" si="32"/>
        <v>-</v>
      </c>
      <c r="AK197" t="e">
        <f t="shared" si="38"/>
        <v>#VALUE!</v>
      </c>
      <c r="AL197" t="e">
        <f t="shared" si="39"/>
        <v>#VALUE!</v>
      </c>
    </row>
    <row r="198" spans="1:38" x14ac:dyDescent="0.25">
      <c r="A198" s="4">
        <f>Raw!J199</f>
        <v>32</v>
      </c>
      <c r="B198" s="4" t="str">
        <f>Raw!K199</f>
        <v>Poplar Ave</v>
      </c>
      <c r="C198" s="4" t="str">
        <f>Raw!L199</f>
        <v>Alley</v>
      </c>
      <c r="D198" s="4" t="str">
        <f>Raw!M199</f>
        <v>Chadbourne Ave</v>
      </c>
      <c r="E198" s="23" t="str">
        <f>Raw!CG199</f>
        <v>W</v>
      </c>
      <c r="F198" s="7">
        <f>Raw!T199</f>
        <v>12</v>
      </c>
      <c r="G198" s="7">
        <f>Raw!AL199</f>
        <v>0</v>
      </c>
      <c r="H198" s="7">
        <f>Raw!AC199</f>
        <v>1</v>
      </c>
      <c r="I198" s="7">
        <f t="shared" si="30"/>
        <v>1</v>
      </c>
      <c r="J198" s="157" t="str">
        <f>Raw!BT199</f>
        <v>NA</v>
      </c>
      <c r="K198" s="157" t="str">
        <f>Raw!AW199</f>
        <v>NA</v>
      </c>
      <c r="L198" s="42" t="str">
        <f>IF(Raw!CE199 = "NA", "-", Raw!CE199)</f>
        <v>-</v>
      </c>
      <c r="M198" s="42" t="str">
        <f>IF(Raw!BH199 = "NA", "-", Raw!BH199)</f>
        <v>-</v>
      </c>
      <c r="N198" s="46" t="str">
        <f>IF(Raw!CD199 = "NA", "-", Raw!CD199)</f>
        <v>-</v>
      </c>
      <c r="O198" s="46" t="str">
        <f>IF(Raw!BG199 = "NA", "-", Raw!BG199)</f>
        <v>-</v>
      </c>
      <c r="P198" s="32" t="str">
        <f>IF(Raw!AW199 = "NA", "-", SUMPRODUCT(Raw!$BT$2:$CC$2, Raw!BT199:CC199))</f>
        <v>-</v>
      </c>
      <c r="Q198" s="32" t="str">
        <f>IF(Raw!AW199 = "NA", "-", SUMPRODUCT(Raw!$AW$2:$BF$2, Raw!AW199:BF199))</f>
        <v>-</v>
      </c>
      <c r="R198" s="7" t="e" cm="1">
        <f t="array" ref="R198">_xlfn.IFS(S198="YES", "Hourly", T198="YES", "Flat Rate")</f>
        <v>#N/A</v>
      </c>
      <c r="S198" s="8" t="str">
        <f>IF(Raw!CO199=1, "YES", "")</f>
        <v/>
      </c>
      <c r="T198" s="8" t="str">
        <f>IF(Raw!CO199=2, "YES", "")</f>
        <v/>
      </c>
      <c r="U198" s="96" t="str">
        <f>IF(Raw!CP199=1, "YES", "")</f>
        <v/>
      </c>
      <c r="V198" s="96"/>
      <c r="X198" s="23">
        <f>SUMPRODUCT(Raw!$BT$3:$CC$3, Raw!BT199:CC199)</f>
        <v>0</v>
      </c>
      <c r="Y198" s="23">
        <f>SUMPRODUCT(Raw!$BT$3:$CC$3, Raw!BU199:CD199)</f>
        <v>0</v>
      </c>
      <c r="Z198" s="28">
        <f t="shared" si="33"/>
        <v>0</v>
      </c>
      <c r="AA198" s="28">
        <f t="shared" si="34"/>
        <v>0</v>
      </c>
      <c r="AC198">
        <f t="shared" si="35"/>
        <v>12</v>
      </c>
      <c r="AD198" s="23">
        <f>IF(U198="YES",SUMPRODUCT(Raw!$BT$3:$CC$3,Raw!BT199:CC199)*0.6,SUMPRODUCT(Raw!$BT$3:$CC$3,Raw!BT199:CC199))</f>
        <v>0</v>
      </c>
      <c r="AE198" s="23">
        <f>IF(U198="YES",SUMPRODUCT(Raw!$BT$3:$CC$3,Raw!BU199:CD199)*0.6,SUMPRODUCT(Raw!$BT$3:$CC$3,Raw!BU199:CD199))</f>
        <v>0</v>
      </c>
      <c r="AF198" s="28">
        <f t="shared" si="36"/>
        <v>0</v>
      </c>
      <c r="AG198" s="28">
        <f t="shared" si="37"/>
        <v>0</v>
      </c>
      <c r="AI198" s="88" t="str">
        <f t="shared" si="31"/>
        <v>-</v>
      </c>
      <c r="AJ198" s="88" t="str">
        <f t="shared" si="32"/>
        <v>-</v>
      </c>
      <c r="AK198" t="e">
        <f t="shared" si="38"/>
        <v>#VALUE!</v>
      </c>
      <c r="AL198" t="e">
        <f t="shared" si="39"/>
        <v>#VALUE!</v>
      </c>
    </row>
    <row r="199" spans="1:38" x14ac:dyDescent="0.25">
      <c r="A199" s="4">
        <f>Raw!J200</f>
        <v>33</v>
      </c>
      <c r="B199" s="4" t="str">
        <f>Raw!K200</f>
        <v>Poplar Ave</v>
      </c>
      <c r="C199" s="4" t="str">
        <f>Raw!L200</f>
        <v>Chadbourne Ave</v>
      </c>
      <c r="D199" s="4" t="str">
        <f>Raw!M200</f>
        <v>Alley</v>
      </c>
      <c r="E199" s="23" t="str">
        <f>Raw!CG200</f>
        <v>E</v>
      </c>
      <c r="F199" s="7">
        <f>Raw!T200</f>
        <v>11</v>
      </c>
      <c r="G199" s="7">
        <f>Raw!AL200</f>
        <v>4</v>
      </c>
      <c r="H199" s="7">
        <f>Raw!AC200</f>
        <v>4</v>
      </c>
      <c r="I199" s="7">
        <f t="shared" si="30"/>
        <v>8</v>
      </c>
      <c r="J199" s="157" t="str">
        <f>Raw!BT200</f>
        <v>NA</v>
      </c>
      <c r="K199" s="157" t="str">
        <f>Raw!AW200</f>
        <v>NA</v>
      </c>
      <c r="L199" s="42" t="str">
        <f>IF(Raw!CE200 = "NA", "-", Raw!CE200)</f>
        <v>-</v>
      </c>
      <c r="M199" s="42" t="str">
        <f>IF(Raw!BH200 = "NA", "-", Raw!BH200)</f>
        <v>-</v>
      </c>
      <c r="N199" s="46" t="str">
        <f>IF(Raw!CD200 = "NA", "-", Raw!CD200)</f>
        <v>-</v>
      </c>
      <c r="O199" s="46" t="str">
        <f>IF(Raw!BG200 = "NA", "-", Raw!BG200)</f>
        <v>-</v>
      </c>
      <c r="P199" s="32" t="str">
        <f>IF(Raw!AW200 = "NA", "-", SUMPRODUCT(Raw!$BT$2:$CC$2, Raw!BT200:CC200))</f>
        <v>-</v>
      </c>
      <c r="Q199" s="32" t="str">
        <f>IF(Raw!AW200 = "NA", "-", SUMPRODUCT(Raw!$AW$2:$BF$2, Raw!AW200:BF200))</f>
        <v>-</v>
      </c>
      <c r="R199" s="7" t="e" cm="1">
        <f t="array" ref="R199">_xlfn.IFS(S199="YES", "Hourly", T199="YES", "Flat Rate")</f>
        <v>#N/A</v>
      </c>
      <c r="S199" s="8" t="str">
        <f>IF(Raw!CO200=1, "YES", "")</f>
        <v/>
      </c>
      <c r="T199" s="8" t="str">
        <f>IF(Raw!CO200=2, "YES", "")</f>
        <v/>
      </c>
      <c r="U199" s="96" t="str">
        <f>IF(Raw!CP200=1, "YES", "")</f>
        <v/>
      </c>
      <c r="V199" s="96"/>
      <c r="X199" s="23">
        <f>SUMPRODUCT(Raw!$BT$3:$CC$3, Raw!BT200:CC200)</f>
        <v>0</v>
      </c>
      <c r="Y199" s="23">
        <f>SUMPRODUCT(Raw!$BT$3:$CC$3, Raw!BU200:CD200)</f>
        <v>0</v>
      </c>
      <c r="Z199" s="28">
        <f t="shared" si="33"/>
        <v>0</v>
      </c>
      <c r="AA199" s="28">
        <f t="shared" si="34"/>
        <v>0</v>
      </c>
      <c r="AC199">
        <f t="shared" si="35"/>
        <v>11</v>
      </c>
      <c r="AD199" s="23">
        <f>IF(U199="YES",SUMPRODUCT(Raw!$BT$3:$CC$3,Raw!BT200:CC200)*0.6,SUMPRODUCT(Raw!$BT$3:$CC$3,Raw!BT200:CC200))</f>
        <v>0</v>
      </c>
      <c r="AE199" s="23">
        <f>IF(U199="YES",SUMPRODUCT(Raw!$BT$3:$CC$3,Raw!BU200:CD200)*0.6,SUMPRODUCT(Raw!$BT$3:$CC$3,Raw!BU200:CD200))</f>
        <v>0</v>
      </c>
      <c r="AF199" s="28">
        <f t="shared" si="36"/>
        <v>0</v>
      </c>
      <c r="AG199" s="28">
        <f t="shared" si="37"/>
        <v>0</v>
      </c>
      <c r="AI199" s="88" t="str">
        <f t="shared" si="31"/>
        <v>-</v>
      </c>
      <c r="AJ199" s="88" t="str">
        <f t="shared" si="32"/>
        <v>-</v>
      </c>
      <c r="AK199" t="e">
        <f t="shared" si="38"/>
        <v>#VALUE!</v>
      </c>
      <c r="AL199" t="e">
        <f t="shared" si="39"/>
        <v>#VALUE!</v>
      </c>
    </row>
    <row r="200" spans="1:38" x14ac:dyDescent="0.25">
      <c r="A200" s="4">
        <f>Raw!J201</f>
        <v>226</v>
      </c>
      <c r="B200" s="4" t="str">
        <f>Raw!K201</f>
        <v>Chadbourne Ave</v>
      </c>
      <c r="C200" s="4" t="str">
        <f>Raw!L201</f>
        <v>Elder Ave</v>
      </c>
      <c r="D200" s="4" t="str">
        <f>Raw!M201</f>
        <v>Palm Ave</v>
      </c>
      <c r="E200" s="23" t="str">
        <f>Raw!CG201</f>
        <v>N</v>
      </c>
      <c r="F200" s="7">
        <f>Raw!T201</f>
        <v>8</v>
      </c>
      <c r="G200" s="7">
        <f>Raw!AL201</f>
        <v>0</v>
      </c>
      <c r="H200" s="7">
        <f>Raw!AC201</f>
        <v>4</v>
      </c>
      <c r="I200" s="7">
        <f t="shared" si="30"/>
        <v>4</v>
      </c>
      <c r="J200" s="157" t="str">
        <f>Raw!BT201</f>
        <v>NA</v>
      </c>
      <c r="K200" s="157" t="str">
        <f>Raw!AW201</f>
        <v>NA</v>
      </c>
      <c r="L200" s="42" t="str">
        <f>IF(Raw!CE201 = "NA", "-", Raw!CE201)</f>
        <v>-</v>
      </c>
      <c r="M200" s="42" t="str">
        <f>IF(Raw!BH201 = "NA", "-", Raw!BH201)</f>
        <v>-</v>
      </c>
      <c r="N200" s="46" t="str">
        <f>IF(Raw!CD201 = "NA", "-", Raw!CD201)</f>
        <v>-</v>
      </c>
      <c r="O200" s="46" t="str">
        <f>IF(Raw!BG201 = "NA", "-", Raw!BG201)</f>
        <v>-</v>
      </c>
      <c r="P200" s="32" t="str">
        <f>IF(Raw!AW201 = "NA", "-", SUMPRODUCT(Raw!$BT$2:$CC$2, Raw!BT201:CC201))</f>
        <v>-</v>
      </c>
      <c r="Q200" s="32" t="str">
        <f>IF(Raw!AW201 = "NA", "-", SUMPRODUCT(Raw!$AW$2:$BF$2, Raw!AW201:BF201))</f>
        <v>-</v>
      </c>
      <c r="R200" s="7" t="e" cm="1">
        <f t="array" ref="R200">_xlfn.IFS(S200="YES", "Hourly", T200="YES", "Flat Rate")</f>
        <v>#N/A</v>
      </c>
      <c r="S200" s="8" t="str">
        <f>IF(Raw!CO201=1, "YES", "")</f>
        <v/>
      </c>
      <c r="T200" s="8" t="str">
        <f>IF(Raw!CO201=2, "YES", "")</f>
        <v/>
      </c>
      <c r="U200" s="96" t="str">
        <f>IF(Raw!CP201=1, "YES", "")</f>
        <v/>
      </c>
      <c r="V200" s="96"/>
      <c r="X200" s="23">
        <f>SUMPRODUCT(Raw!$BT$3:$CC$3, Raw!BT201:CC201)</f>
        <v>0</v>
      </c>
      <c r="Y200" s="23">
        <f>SUMPRODUCT(Raw!$BT$3:$CC$3, Raw!BU201:CD201)</f>
        <v>0</v>
      </c>
      <c r="Z200" s="28">
        <f t="shared" si="33"/>
        <v>0</v>
      </c>
      <c r="AA200" s="28">
        <f t="shared" si="34"/>
        <v>0</v>
      </c>
      <c r="AC200">
        <f t="shared" si="35"/>
        <v>8</v>
      </c>
      <c r="AD200" s="23">
        <f>IF(U200="YES",SUMPRODUCT(Raw!$BT$3:$CC$3,Raw!BT201:CC201)*0.6,SUMPRODUCT(Raw!$BT$3:$CC$3,Raw!BT201:CC201))</f>
        <v>0</v>
      </c>
      <c r="AE200" s="23">
        <f>IF(U200="YES",SUMPRODUCT(Raw!$BT$3:$CC$3,Raw!BU201:CD201)*0.6,SUMPRODUCT(Raw!$BT$3:$CC$3,Raw!BU201:CD201))</f>
        <v>0</v>
      </c>
      <c r="AF200" s="28">
        <f t="shared" si="36"/>
        <v>0</v>
      </c>
      <c r="AG200" s="28">
        <f t="shared" si="37"/>
        <v>0</v>
      </c>
      <c r="AI200" s="88" t="str">
        <f t="shared" si="31"/>
        <v>-</v>
      </c>
      <c r="AJ200" s="88" t="str">
        <f t="shared" si="32"/>
        <v>-</v>
      </c>
      <c r="AK200" t="e">
        <f t="shared" si="38"/>
        <v>#VALUE!</v>
      </c>
      <c r="AL200" t="e">
        <f t="shared" si="39"/>
        <v>#VALUE!</v>
      </c>
    </row>
    <row r="201" spans="1:38" x14ac:dyDescent="0.25">
      <c r="A201" s="4">
        <f>Raw!J202</f>
        <v>228</v>
      </c>
      <c r="B201" s="4" t="str">
        <f>Raw!K202</f>
        <v>Chadbourne Ave</v>
      </c>
      <c r="C201" s="4" t="str">
        <f>Raw!L202</f>
        <v>Poplar Ave</v>
      </c>
      <c r="D201" s="4" t="str">
        <f>Raw!M202</f>
        <v>Elder Ave</v>
      </c>
      <c r="E201" s="23" t="str">
        <f>Raw!CG202</f>
        <v>N</v>
      </c>
      <c r="F201" s="7">
        <f>Raw!T202</f>
        <v>11</v>
      </c>
      <c r="G201" s="7">
        <f>Raw!AL202</f>
        <v>2</v>
      </c>
      <c r="H201" s="7">
        <f>Raw!AC202</f>
        <v>2</v>
      </c>
      <c r="I201" s="7">
        <f t="shared" si="30"/>
        <v>4</v>
      </c>
      <c r="J201" s="157" t="str">
        <f>Raw!BT202</f>
        <v>NA</v>
      </c>
      <c r="K201" s="157" t="str">
        <f>Raw!AW202</f>
        <v>NA</v>
      </c>
      <c r="L201" s="42" t="str">
        <f>IF(Raw!CE202 = "NA", "-", Raw!CE202)</f>
        <v>-</v>
      </c>
      <c r="M201" s="42" t="str">
        <f>IF(Raw!BH202 = "NA", "-", Raw!BH202)</f>
        <v>-</v>
      </c>
      <c r="N201" s="46" t="str">
        <f>IF(Raw!CD202 = "NA", "-", Raw!CD202)</f>
        <v>-</v>
      </c>
      <c r="O201" s="46" t="str">
        <f>IF(Raw!BG202 = "NA", "-", Raw!BG202)</f>
        <v>-</v>
      </c>
      <c r="P201" s="32" t="str">
        <f>IF(Raw!AW202 = "NA", "-", SUMPRODUCT(Raw!$BT$2:$CC$2, Raw!BT202:CC202))</f>
        <v>-</v>
      </c>
      <c r="Q201" s="32" t="str">
        <f>IF(Raw!AW202 = "NA", "-", SUMPRODUCT(Raw!$AW$2:$BF$2, Raw!AW202:BF202))</f>
        <v>-</v>
      </c>
      <c r="R201" s="7" t="e" cm="1">
        <f t="array" ref="R201">_xlfn.IFS(S201="YES", "Hourly", T201="YES", "Flat Rate")</f>
        <v>#N/A</v>
      </c>
      <c r="S201" s="8" t="str">
        <f>IF(Raw!CO202=1, "YES", "")</f>
        <v/>
      </c>
      <c r="T201" s="8" t="str">
        <f>IF(Raw!CO202=2, "YES", "")</f>
        <v/>
      </c>
      <c r="U201" s="96" t="str">
        <f>IF(Raw!CP202=1, "YES", "")</f>
        <v/>
      </c>
      <c r="V201" s="96"/>
      <c r="X201" s="23">
        <f>SUMPRODUCT(Raw!$BT$3:$CC$3, Raw!BT202:CC202)</f>
        <v>0</v>
      </c>
      <c r="Y201" s="23">
        <f>SUMPRODUCT(Raw!$BT$3:$CC$3, Raw!BU202:CD202)</f>
        <v>0</v>
      </c>
      <c r="Z201" s="28">
        <f t="shared" si="33"/>
        <v>0</v>
      </c>
      <c r="AA201" s="28">
        <f t="shared" si="34"/>
        <v>0</v>
      </c>
      <c r="AC201">
        <f t="shared" si="35"/>
        <v>11</v>
      </c>
      <c r="AD201" s="23">
        <f>IF(U201="YES",SUMPRODUCT(Raw!$BT$3:$CC$3,Raw!BT202:CC202)*0.6,SUMPRODUCT(Raw!$BT$3:$CC$3,Raw!BT202:CC202))</f>
        <v>0</v>
      </c>
      <c r="AE201" s="23">
        <f>IF(U201="YES",SUMPRODUCT(Raw!$BT$3:$CC$3,Raw!BU202:CD202)*0.6,SUMPRODUCT(Raw!$BT$3:$CC$3,Raw!BU202:CD202))</f>
        <v>0</v>
      </c>
      <c r="AF201" s="28">
        <f t="shared" si="36"/>
        <v>0</v>
      </c>
      <c r="AG201" s="28">
        <f t="shared" si="37"/>
        <v>0</v>
      </c>
      <c r="AI201" s="88" t="str">
        <f t="shared" si="31"/>
        <v>-</v>
      </c>
      <c r="AJ201" s="88" t="str">
        <f t="shared" si="32"/>
        <v>-</v>
      </c>
      <c r="AK201" t="e">
        <f t="shared" si="38"/>
        <v>#VALUE!</v>
      </c>
      <c r="AL201" t="e">
        <f t="shared" si="39"/>
        <v>#VALUE!</v>
      </c>
    </row>
    <row r="202" spans="1:38" x14ac:dyDescent="0.25">
      <c r="A202" s="4">
        <f>Raw!J203</f>
        <v>230</v>
      </c>
      <c r="B202" s="4" t="str">
        <f>Raw!K203</f>
        <v>Chadbourne Ave</v>
      </c>
      <c r="C202" s="4" t="str">
        <f>Raw!L203</f>
        <v>Willow Ave</v>
      </c>
      <c r="D202" s="4" t="str">
        <f>Raw!M203</f>
        <v>Poplar Ave</v>
      </c>
      <c r="E202" s="23" t="str">
        <f>Raw!CG203</f>
        <v>N</v>
      </c>
      <c r="F202" s="7">
        <f>Raw!T203</f>
        <v>11</v>
      </c>
      <c r="G202" s="7">
        <f>Raw!AL203</f>
        <v>0</v>
      </c>
      <c r="H202" s="7">
        <f>Raw!AC203</f>
        <v>3</v>
      </c>
      <c r="I202" s="7">
        <f t="shared" si="30"/>
        <v>3</v>
      </c>
      <c r="J202" s="157" t="str">
        <f>Raw!BT203</f>
        <v>NA</v>
      </c>
      <c r="K202" s="157" t="str">
        <f>Raw!AW203</f>
        <v>NA</v>
      </c>
      <c r="L202" s="42" t="str">
        <f>IF(Raw!CE203 = "NA", "-", Raw!CE203)</f>
        <v>-</v>
      </c>
      <c r="M202" s="42" t="str">
        <f>IF(Raw!BH203 = "NA", "-", Raw!BH203)</f>
        <v>-</v>
      </c>
      <c r="N202" s="46" t="str">
        <f>IF(Raw!CD203 = "NA", "-", Raw!CD203)</f>
        <v>-</v>
      </c>
      <c r="O202" s="46" t="str">
        <f>IF(Raw!BG203 = "NA", "-", Raw!BG203)</f>
        <v>-</v>
      </c>
      <c r="P202" s="32" t="str">
        <f>IF(Raw!AW203 = "NA", "-", SUMPRODUCT(Raw!$BT$2:$CC$2, Raw!BT203:CC203))</f>
        <v>-</v>
      </c>
      <c r="Q202" s="32" t="str">
        <f>IF(Raw!AW203 = "NA", "-", SUMPRODUCT(Raw!$AW$2:$BF$2, Raw!AW203:BF203))</f>
        <v>-</v>
      </c>
      <c r="R202" s="7" t="e" cm="1">
        <f t="array" ref="R202">_xlfn.IFS(S202="YES", "Hourly", T202="YES", "Flat Rate")</f>
        <v>#N/A</v>
      </c>
      <c r="S202" s="8" t="str">
        <f>IF(Raw!CO203=1, "YES", "")</f>
        <v/>
      </c>
      <c r="T202" s="8" t="str">
        <f>IF(Raw!CO203=2, "YES", "")</f>
        <v/>
      </c>
      <c r="U202" s="96" t="str">
        <f>IF(Raw!CP203=1, "YES", "")</f>
        <v/>
      </c>
      <c r="V202" s="96"/>
      <c r="X202" s="23">
        <f>SUMPRODUCT(Raw!$BT$3:$CC$3, Raw!BT203:CC203)</f>
        <v>0</v>
      </c>
      <c r="Y202" s="23">
        <f>SUMPRODUCT(Raw!$BT$3:$CC$3, Raw!BU203:CD203)</f>
        <v>0</v>
      </c>
      <c r="Z202" s="28">
        <f t="shared" si="33"/>
        <v>0</v>
      </c>
      <c r="AA202" s="28">
        <f t="shared" si="34"/>
        <v>0</v>
      </c>
      <c r="AC202">
        <f t="shared" si="35"/>
        <v>11</v>
      </c>
      <c r="AD202" s="23">
        <f>IF(U202="YES",SUMPRODUCT(Raw!$BT$3:$CC$3,Raw!BT203:CC203)*0.6,SUMPRODUCT(Raw!$BT$3:$CC$3,Raw!BT203:CC203))</f>
        <v>0</v>
      </c>
      <c r="AE202" s="23">
        <f>IF(U202="YES",SUMPRODUCT(Raw!$BT$3:$CC$3,Raw!BU203:CD203)*0.6,SUMPRODUCT(Raw!$BT$3:$CC$3,Raw!BU203:CD203))</f>
        <v>0</v>
      </c>
      <c r="AF202" s="28">
        <f t="shared" si="36"/>
        <v>0</v>
      </c>
      <c r="AG202" s="28">
        <f t="shared" si="37"/>
        <v>0</v>
      </c>
      <c r="AI202" s="88" t="str">
        <f t="shared" si="31"/>
        <v>-</v>
      </c>
      <c r="AJ202" s="88" t="str">
        <f t="shared" si="32"/>
        <v>-</v>
      </c>
      <c r="AK202" t="e">
        <f t="shared" si="38"/>
        <v>#VALUE!</v>
      </c>
      <c r="AL202" t="e">
        <f t="shared" si="39"/>
        <v>#VALUE!</v>
      </c>
    </row>
    <row r="203" spans="1:38" x14ac:dyDescent="0.25">
      <c r="A203" s="4">
        <f>Raw!J204</f>
        <v>10</v>
      </c>
      <c r="B203" s="4" t="str">
        <f>Raw!K204</f>
        <v>Palm Ave</v>
      </c>
      <c r="C203" s="4" t="str">
        <f>Raw!L204</f>
        <v>Chadbourne Ave</v>
      </c>
      <c r="D203" s="4" t="str">
        <f>Raw!M204</f>
        <v>Millbrae Ave</v>
      </c>
      <c r="E203" s="23" t="str">
        <f>Raw!CG204</f>
        <v>W</v>
      </c>
      <c r="F203" s="7">
        <f>Raw!T204</f>
        <v>7</v>
      </c>
      <c r="G203" s="7">
        <f>Raw!AL204</f>
        <v>0</v>
      </c>
      <c r="H203" s="7">
        <f>Raw!AC204</f>
        <v>2</v>
      </c>
      <c r="I203" s="7">
        <f t="shared" si="30"/>
        <v>2</v>
      </c>
      <c r="J203" s="157" t="str">
        <f>Raw!BT204</f>
        <v>NA</v>
      </c>
      <c r="K203" s="157" t="str">
        <f>Raw!AW204</f>
        <v>NA</v>
      </c>
      <c r="L203" s="42" t="str">
        <f>IF(Raw!CE204 = "NA", "-", Raw!CE204)</f>
        <v>-</v>
      </c>
      <c r="M203" s="42" t="str">
        <f>IF(Raw!BH204 = "NA", "-", Raw!BH204)</f>
        <v>-</v>
      </c>
      <c r="N203" s="46" t="str">
        <f>IF(Raw!CD204 = "NA", "-", Raw!CD204)</f>
        <v>-</v>
      </c>
      <c r="O203" s="46" t="str">
        <f>IF(Raw!BG204 = "NA", "-", Raw!BG204)</f>
        <v>-</v>
      </c>
      <c r="P203" s="32" t="str">
        <f>IF(Raw!AW204 = "NA", "-", SUMPRODUCT(Raw!$BT$2:$CC$2, Raw!BT204:CC204))</f>
        <v>-</v>
      </c>
      <c r="Q203" s="32" t="str">
        <f>IF(Raw!AW204 = "NA", "-", SUMPRODUCT(Raw!$AW$2:$BF$2, Raw!AW204:BF204))</f>
        <v>-</v>
      </c>
      <c r="R203" s="7" t="e" cm="1">
        <f t="array" ref="R203">_xlfn.IFS(S203="YES", "Hourly", T203="YES", "Flat Rate")</f>
        <v>#N/A</v>
      </c>
      <c r="S203" s="8" t="str">
        <f>IF(Raw!CO204=1, "YES", "")</f>
        <v/>
      </c>
      <c r="T203" s="8" t="str">
        <f>IF(Raw!CO204=2, "YES", "")</f>
        <v/>
      </c>
      <c r="U203" s="96" t="str">
        <f>IF(Raw!CP204=1, "YES", "")</f>
        <v/>
      </c>
      <c r="V203" s="96"/>
      <c r="X203" s="23">
        <f>SUMPRODUCT(Raw!$BT$3:$CC$3, Raw!BT204:CC204)</f>
        <v>0</v>
      </c>
      <c r="Y203" s="23">
        <f>SUMPRODUCT(Raw!$BT$3:$CC$3, Raw!BU204:CD204)</f>
        <v>0</v>
      </c>
      <c r="Z203" s="28">
        <f t="shared" si="33"/>
        <v>0</v>
      </c>
      <c r="AA203" s="28">
        <f t="shared" si="34"/>
        <v>0</v>
      </c>
      <c r="AC203">
        <f t="shared" si="35"/>
        <v>7</v>
      </c>
      <c r="AD203" s="23">
        <f>IF(U203="YES",SUMPRODUCT(Raw!$BT$3:$CC$3,Raw!BT204:CC204)*0.6,SUMPRODUCT(Raw!$BT$3:$CC$3,Raw!BT204:CC204))</f>
        <v>0</v>
      </c>
      <c r="AE203" s="23">
        <f>IF(U203="YES",SUMPRODUCT(Raw!$BT$3:$CC$3,Raw!BU204:CD204)*0.6,SUMPRODUCT(Raw!$BT$3:$CC$3,Raw!BU204:CD204))</f>
        <v>0</v>
      </c>
      <c r="AF203" s="28">
        <f t="shared" si="36"/>
        <v>0</v>
      </c>
      <c r="AG203" s="28">
        <f t="shared" si="37"/>
        <v>0</v>
      </c>
      <c r="AI203" s="88" t="str">
        <f t="shared" si="31"/>
        <v>-</v>
      </c>
      <c r="AJ203" s="88" t="str">
        <f t="shared" si="32"/>
        <v>-</v>
      </c>
      <c r="AK203" t="e">
        <f t="shared" si="38"/>
        <v>#VALUE!</v>
      </c>
      <c r="AL203" t="e">
        <f t="shared" si="39"/>
        <v>#VALUE!</v>
      </c>
    </row>
    <row r="204" spans="1:38" x14ac:dyDescent="0.25">
      <c r="A204" s="4">
        <f>Raw!J205</f>
        <v>11</v>
      </c>
      <c r="B204" s="4" t="str">
        <f>Raw!K205</f>
        <v>Palm Ave</v>
      </c>
      <c r="C204" s="4" t="str">
        <f>Raw!L205</f>
        <v>Millbrae Ave</v>
      </c>
      <c r="D204" s="4" t="str">
        <f>Raw!M205</f>
        <v>Chadbourne Ave</v>
      </c>
      <c r="E204" s="23" t="str">
        <f>Raw!CG205</f>
        <v>E</v>
      </c>
      <c r="F204" s="7">
        <f>Raw!T205</f>
        <v>11</v>
      </c>
      <c r="G204" s="7">
        <f>Raw!AL205</f>
        <v>1</v>
      </c>
      <c r="H204" s="7">
        <f>Raw!AC205</f>
        <v>0</v>
      </c>
      <c r="I204" s="7">
        <f t="shared" si="30"/>
        <v>1</v>
      </c>
      <c r="J204" s="157" t="str">
        <f>Raw!BT205</f>
        <v>NA</v>
      </c>
      <c r="K204" s="157" t="str">
        <f>Raw!AW205</f>
        <v>NA</v>
      </c>
      <c r="L204" s="42" t="str">
        <f>IF(Raw!CE205 = "NA", "-", Raw!CE205)</f>
        <v>-</v>
      </c>
      <c r="M204" s="42" t="str">
        <f>IF(Raw!BH205 = "NA", "-", Raw!BH205)</f>
        <v>-</v>
      </c>
      <c r="N204" s="46" t="str">
        <f>IF(Raw!CD205 = "NA", "-", Raw!CD205)</f>
        <v>-</v>
      </c>
      <c r="O204" s="46" t="str">
        <f>IF(Raw!BG205 = "NA", "-", Raw!BG205)</f>
        <v>-</v>
      </c>
      <c r="P204" s="32" t="str">
        <f>IF(Raw!AW205 = "NA", "-", SUMPRODUCT(Raw!$BT$2:$CC$2, Raw!BT205:CC205))</f>
        <v>-</v>
      </c>
      <c r="Q204" s="32" t="str">
        <f>IF(Raw!AW205 = "NA", "-", SUMPRODUCT(Raw!$AW$2:$BF$2, Raw!AW205:BF205))</f>
        <v>-</v>
      </c>
      <c r="R204" s="7" t="e" cm="1">
        <f t="array" ref="R204">_xlfn.IFS(S204="YES", "Hourly", T204="YES", "Flat Rate")</f>
        <v>#N/A</v>
      </c>
      <c r="S204" s="8" t="str">
        <f>IF(Raw!CO205=1, "YES", "")</f>
        <v/>
      </c>
      <c r="T204" s="8" t="str">
        <f>IF(Raw!CO205=2, "YES", "")</f>
        <v/>
      </c>
      <c r="U204" s="96" t="str">
        <f>IF(Raw!CP205=1, "YES", "")</f>
        <v/>
      </c>
      <c r="V204" s="96"/>
      <c r="X204" s="23">
        <f>SUMPRODUCT(Raw!$BT$3:$CC$3, Raw!BT205:CC205)</f>
        <v>0</v>
      </c>
      <c r="Y204" s="23">
        <f>SUMPRODUCT(Raw!$BT$3:$CC$3, Raw!BU205:CD205)</f>
        <v>0</v>
      </c>
      <c r="Z204" s="28">
        <f t="shared" si="33"/>
        <v>0</v>
      </c>
      <c r="AA204" s="28">
        <f t="shared" si="34"/>
        <v>0</v>
      </c>
      <c r="AC204">
        <f t="shared" si="35"/>
        <v>11</v>
      </c>
      <c r="AD204" s="23">
        <f>IF(U204="YES",SUMPRODUCT(Raw!$BT$3:$CC$3,Raw!BT205:CC205)*0.6,SUMPRODUCT(Raw!$BT$3:$CC$3,Raw!BT205:CC205))</f>
        <v>0</v>
      </c>
      <c r="AE204" s="23">
        <f>IF(U204="YES",SUMPRODUCT(Raw!$BT$3:$CC$3,Raw!BU205:CD205)*0.6,SUMPRODUCT(Raw!$BT$3:$CC$3,Raw!BU205:CD205))</f>
        <v>0</v>
      </c>
      <c r="AF204" s="28">
        <f t="shared" si="36"/>
        <v>0</v>
      </c>
      <c r="AG204" s="28">
        <f t="shared" si="37"/>
        <v>0</v>
      </c>
      <c r="AI204" s="88" t="str">
        <f t="shared" si="31"/>
        <v>-</v>
      </c>
      <c r="AJ204" s="88" t="str">
        <f t="shared" si="32"/>
        <v>-</v>
      </c>
      <c r="AK204" t="e">
        <f t="shared" si="38"/>
        <v>#VALUE!</v>
      </c>
      <c r="AL204" t="e">
        <f t="shared" si="39"/>
        <v>#VALUE!</v>
      </c>
    </row>
    <row r="205" spans="1:38" x14ac:dyDescent="0.25">
      <c r="A205" s="4">
        <f>Raw!J206</f>
        <v>20</v>
      </c>
      <c r="B205" s="4" t="str">
        <f>Raw!K206</f>
        <v>Elder Ave</v>
      </c>
      <c r="C205" s="4" t="str">
        <f>Raw!L206</f>
        <v>Chadbourne Ave</v>
      </c>
      <c r="D205" s="4" t="str">
        <f>Raw!M206</f>
        <v>Millbrae Ave</v>
      </c>
      <c r="E205" s="23" t="str">
        <f>Raw!CG206</f>
        <v>W</v>
      </c>
      <c r="F205" s="7">
        <f>Raw!T206</f>
        <v>10</v>
      </c>
      <c r="G205" s="7">
        <f>Raw!AL206</f>
        <v>0</v>
      </c>
      <c r="H205" s="7">
        <f>Raw!AC206</f>
        <v>2</v>
      </c>
      <c r="I205" s="7">
        <f t="shared" si="30"/>
        <v>2</v>
      </c>
      <c r="J205" s="157" t="str">
        <f>Raw!BT206</f>
        <v>NA</v>
      </c>
      <c r="K205" s="157" t="str">
        <f>Raw!AW206</f>
        <v>NA</v>
      </c>
      <c r="L205" s="42" t="str">
        <f>IF(Raw!CE206 = "NA", "-", Raw!CE206)</f>
        <v>-</v>
      </c>
      <c r="M205" s="42" t="str">
        <f>IF(Raw!BH206 = "NA", "-", Raw!BH206)</f>
        <v>-</v>
      </c>
      <c r="N205" s="46" t="str">
        <f>IF(Raw!CD206 = "NA", "-", Raw!CD206)</f>
        <v>-</v>
      </c>
      <c r="O205" s="46" t="str">
        <f>IF(Raw!BG206 = "NA", "-", Raw!BG206)</f>
        <v>-</v>
      </c>
      <c r="P205" s="32" t="str">
        <f>IF(Raw!AW206 = "NA", "-", SUMPRODUCT(Raw!$BT$2:$CC$2, Raw!BT206:CC206))</f>
        <v>-</v>
      </c>
      <c r="Q205" s="32" t="str">
        <f>IF(Raw!AW206 = "NA", "-", SUMPRODUCT(Raw!$AW$2:$BF$2, Raw!AW206:BF206))</f>
        <v>-</v>
      </c>
      <c r="R205" s="7" t="e" cm="1">
        <f t="array" ref="R205">_xlfn.IFS(S205="YES", "Hourly", T205="YES", "Flat Rate")</f>
        <v>#N/A</v>
      </c>
      <c r="S205" s="8" t="str">
        <f>IF(Raw!CO206=1, "YES", "")</f>
        <v/>
      </c>
      <c r="T205" s="8" t="str">
        <f>IF(Raw!CO206=2, "YES", "")</f>
        <v/>
      </c>
      <c r="U205" s="96" t="str">
        <f>IF(Raw!CP206=1, "YES", "")</f>
        <v/>
      </c>
      <c r="V205" s="96"/>
      <c r="X205" s="23">
        <f>SUMPRODUCT(Raw!$BT$3:$CC$3, Raw!BT206:CC206)</f>
        <v>0</v>
      </c>
      <c r="Y205" s="23">
        <f>SUMPRODUCT(Raw!$BT$3:$CC$3, Raw!BU206:CD206)</f>
        <v>0</v>
      </c>
      <c r="Z205" s="28">
        <f t="shared" si="33"/>
        <v>0</v>
      </c>
      <c r="AA205" s="28">
        <f t="shared" si="34"/>
        <v>0</v>
      </c>
      <c r="AC205">
        <f t="shared" si="35"/>
        <v>10</v>
      </c>
      <c r="AD205" s="23">
        <f>IF(U205="YES",SUMPRODUCT(Raw!$BT$3:$CC$3,Raw!BT206:CC206)*0.6,SUMPRODUCT(Raw!$BT$3:$CC$3,Raw!BT206:CC206))</f>
        <v>0</v>
      </c>
      <c r="AE205" s="23">
        <f>IF(U205="YES",SUMPRODUCT(Raw!$BT$3:$CC$3,Raw!BU206:CD206)*0.6,SUMPRODUCT(Raw!$BT$3:$CC$3,Raw!BU206:CD206))</f>
        <v>0</v>
      </c>
      <c r="AF205" s="28">
        <f t="shared" si="36"/>
        <v>0</v>
      </c>
      <c r="AG205" s="28">
        <f t="shared" si="37"/>
        <v>0</v>
      </c>
      <c r="AI205" s="88" t="str">
        <f t="shared" si="31"/>
        <v>-</v>
      </c>
      <c r="AJ205" s="88" t="str">
        <f t="shared" si="32"/>
        <v>-</v>
      </c>
      <c r="AK205" t="e">
        <f t="shared" si="38"/>
        <v>#VALUE!</v>
      </c>
      <c r="AL205" t="e">
        <f t="shared" si="39"/>
        <v>#VALUE!</v>
      </c>
    </row>
    <row r="206" spans="1:38" x14ac:dyDescent="0.25">
      <c r="A206" s="4">
        <f>Raw!J207</f>
        <v>21</v>
      </c>
      <c r="B206" s="4" t="str">
        <f>Raw!K207</f>
        <v>Elder Ave</v>
      </c>
      <c r="C206" s="4" t="str">
        <f>Raw!L207</f>
        <v>Millbrae Ave</v>
      </c>
      <c r="D206" s="4" t="str">
        <f>Raw!M207</f>
        <v>Chadbourne Ave</v>
      </c>
      <c r="E206" s="23" t="str">
        <f>Raw!CG207</f>
        <v>E</v>
      </c>
      <c r="F206" s="7">
        <f>Raw!T207</f>
        <v>10</v>
      </c>
      <c r="G206" s="7">
        <f>Raw!AL207</f>
        <v>0</v>
      </c>
      <c r="H206" s="7">
        <f>Raw!AC207</f>
        <v>0</v>
      </c>
      <c r="I206" s="7">
        <f t="shared" si="30"/>
        <v>0</v>
      </c>
      <c r="J206" s="157" t="str">
        <f>Raw!BT207</f>
        <v>NA</v>
      </c>
      <c r="K206" s="157" t="str">
        <f>Raw!AW207</f>
        <v>NA</v>
      </c>
      <c r="L206" s="42" t="str">
        <f>IF(Raw!CE207 = "NA", "-", Raw!CE207)</f>
        <v>-</v>
      </c>
      <c r="M206" s="42" t="str">
        <f>IF(Raw!BH207 = "NA", "-", Raw!BH207)</f>
        <v>-</v>
      </c>
      <c r="N206" s="46" t="str">
        <f>IF(Raw!CD207 = "NA", "-", Raw!CD207)</f>
        <v>-</v>
      </c>
      <c r="O206" s="46" t="str">
        <f>IF(Raw!BG207 = "NA", "-", Raw!BG207)</f>
        <v>-</v>
      </c>
      <c r="P206" s="32" t="str">
        <f>IF(Raw!AW207 = "NA", "-", SUMPRODUCT(Raw!$BT$2:$CC$2, Raw!BT207:CC207))</f>
        <v>-</v>
      </c>
      <c r="Q206" s="32" t="str">
        <f>IF(Raw!AW207 = "NA", "-", SUMPRODUCT(Raw!$AW$2:$BF$2, Raw!AW207:BF207))</f>
        <v>-</v>
      </c>
      <c r="R206" s="7" t="e" cm="1">
        <f t="array" ref="R206">_xlfn.IFS(S206="YES", "Hourly", T206="YES", "Flat Rate")</f>
        <v>#N/A</v>
      </c>
      <c r="S206" s="8" t="str">
        <f>IF(Raw!CO207=1, "YES", "")</f>
        <v/>
      </c>
      <c r="T206" s="8" t="str">
        <f>IF(Raw!CO207=2, "YES", "")</f>
        <v/>
      </c>
      <c r="U206" s="96" t="str">
        <f>IF(Raw!CP207=1, "YES", "")</f>
        <v/>
      </c>
      <c r="V206" s="96"/>
      <c r="X206" s="23">
        <f>SUMPRODUCT(Raw!$BT$3:$CC$3, Raw!BT207:CC207)</f>
        <v>0</v>
      </c>
      <c r="Y206" s="23">
        <f>SUMPRODUCT(Raw!$BT$3:$CC$3, Raw!BU207:CD207)</f>
        <v>0</v>
      </c>
      <c r="Z206" s="28">
        <f t="shared" si="33"/>
        <v>0</v>
      </c>
      <c r="AA206" s="28">
        <f t="shared" si="34"/>
        <v>0</v>
      </c>
      <c r="AC206">
        <f t="shared" si="35"/>
        <v>10</v>
      </c>
      <c r="AD206" s="23">
        <f>IF(U206="YES",SUMPRODUCT(Raw!$BT$3:$CC$3,Raw!BT207:CC207)*0.6,SUMPRODUCT(Raw!$BT$3:$CC$3,Raw!BT207:CC207))</f>
        <v>0</v>
      </c>
      <c r="AE206" s="23">
        <f>IF(U206="YES",SUMPRODUCT(Raw!$BT$3:$CC$3,Raw!BU207:CD207)*0.6,SUMPRODUCT(Raw!$BT$3:$CC$3,Raw!BU207:CD207))</f>
        <v>0</v>
      </c>
      <c r="AF206" s="28">
        <f t="shared" si="36"/>
        <v>0</v>
      </c>
      <c r="AG206" s="28">
        <f t="shared" si="37"/>
        <v>0</v>
      </c>
      <c r="AI206" s="88" t="str">
        <f t="shared" si="31"/>
        <v>-</v>
      </c>
      <c r="AJ206" s="88" t="str">
        <f t="shared" si="32"/>
        <v>-</v>
      </c>
      <c r="AK206" t="e">
        <f t="shared" si="38"/>
        <v>#VALUE!</v>
      </c>
      <c r="AL206" t="e">
        <f t="shared" si="39"/>
        <v>#VALUE!</v>
      </c>
    </row>
    <row r="207" spans="1:38" x14ac:dyDescent="0.25">
      <c r="A207" s="4">
        <f>Raw!J208</f>
        <v>227</v>
      </c>
      <c r="B207" s="4" t="str">
        <f>Raw!K208</f>
        <v>Chadbourne Ave</v>
      </c>
      <c r="C207" s="4" t="str">
        <f>Raw!L208</f>
        <v>Palm Ave</v>
      </c>
      <c r="D207" s="4" t="str">
        <f>Raw!M208</f>
        <v>Elder Ave</v>
      </c>
      <c r="E207" s="23" t="str">
        <f>Raw!CG208</f>
        <v>S</v>
      </c>
      <c r="F207" s="7">
        <f>Raw!T208</f>
        <v>8</v>
      </c>
      <c r="G207" s="7">
        <f>Raw!AL208</f>
        <v>2</v>
      </c>
      <c r="H207" s="7">
        <f>Raw!AC208</f>
        <v>0</v>
      </c>
      <c r="I207" s="7">
        <f t="shared" si="30"/>
        <v>2</v>
      </c>
      <c r="J207" s="157" t="str">
        <f>Raw!BT208</f>
        <v>NA</v>
      </c>
      <c r="K207" s="157" t="str">
        <f>Raw!AW208</f>
        <v>NA</v>
      </c>
      <c r="L207" s="42" t="str">
        <f>IF(Raw!CE208 = "NA", "-", Raw!CE208)</f>
        <v>-</v>
      </c>
      <c r="M207" s="42" t="str">
        <f>IF(Raw!BH208 = "NA", "-", Raw!BH208)</f>
        <v>-</v>
      </c>
      <c r="N207" s="46" t="str">
        <f>IF(Raw!CD208 = "NA", "-", Raw!CD208)</f>
        <v>-</v>
      </c>
      <c r="O207" s="46" t="str">
        <f>IF(Raw!BG208 = "NA", "-", Raw!BG208)</f>
        <v>-</v>
      </c>
      <c r="P207" s="32" t="str">
        <f>IF(Raw!AW208 = "NA", "-", SUMPRODUCT(Raw!$BT$2:$CC$2, Raw!BT208:CC208))</f>
        <v>-</v>
      </c>
      <c r="Q207" s="32" t="str">
        <f>IF(Raw!AW208 = "NA", "-", SUMPRODUCT(Raw!$AW$2:$BF$2, Raw!AW208:BF208))</f>
        <v>-</v>
      </c>
      <c r="R207" s="7" t="e" cm="1">
        <f t="array" ref="R207">_xlfn.IFS(S207="YES", "Hourly", T207="YES", "Flat Rate")</f>
        <v>#N/A</v>
      </c>
      <c r="S207" s="8" t="str">
        <f>IF(Raw!CO208=1, "YES", "")</f>
        <v/>
      </c>
      <c r="T207" s="8" t="str">
        <f>IF(Raw!CO208=2, "YES", "")</f>
        <v/>
      </c>
      <c r="U207" s="96" t="str">
        <f>IF(Raw!CP208=1, "YES", "")</f>
        <v/>
      </c>
      <c r="V207" s="96"/>
      <c r="X207" s="23">
        <f>SUMPRODUCT(Raw!$BT$3:$CC$3, Raw!BT208:CC208)</f>
        <v>0</v>
      </c>
      <c r="Y207" s="23">
        <f>SUMPRODUCT(Raw!$BT$3:$CC$3, Raw!BU208:CD208)</f>
        <v>0</v>
      </c>
      <c r="Z207" s="28">
        <f t="shared" si="33"/>
        <v>0</v>
      </c>
      <c r="AA207" s="28">
        <f t="shared" si="34"/>
        <v>0</v>
      </c>
      <c r="AC207">
        <f t="shared" si="35"/>
        <v>8</v>
      </c>
      <c r="AD207" s="23">
        <f>IF(U207="YES",SUMPRODUCT(Raw!$BT$3:$CC$3,Raw!BT208:CC208)*0.6,SUMPRODUCT(Raw!$BT$3:$CC$3,Raw!BT208:CC208))</f>
        <v>0</v>
      </c>
      <c r="AE207" s="23">
        <f>IF(U207="YES",SUMPRODUCT(Raw!$BT$3:$CC$3,Raw!BU208:CD208)*0.6,SUMPRODUCT(Raw!$BT$3:$CC$3,Raw!BU208:CD208))</f>
        <v>0</v>
      </c>
      <c r="AF207" s="28">
        <f t="shared" si="36"/>
        <v>0</v>
      </c>
      <c r="AG207" s="28">
        <f t="shared" si="37"/>
        <v>0</v>
      </c>
      <c r="AI207" s="88" t="str">
        <f t="shared" si="31"/>
        <v>-</v>
      </c>
      <c r="AJ207" s="88" t="str">
        <f t="shared" si="32"/>
        <v>-</v>
      </c>
      <c r="AK207" t="e">
        <f t="shared" si="38"/>
        <v>#VALUE!</v>
      </c>
      <c r="AL207" t="e">
        <f t="shared" si="39"/>
        <v>#VALUE!</v>
      </c>
    </row>
    <row r="208" spans="1:38" x14ac:dyDescent="0.25">
      <c r="A208" s="4">
        <f>Raw!J209</f>
        <v>229</v>
      </c>
      <c r="B208" s="4" t="str">
        <f>Raw!K209</f>
        <v>Chadbourne Ave</v>
      </c>
      <c r="C208" s="4" t="str">
        <f>Raw!L209</f>
        <v>Elder Ave</v>
      </c>
      <c r="D208" s="4" t="str">
        <f>Raw!M209</f>
        <v>Poplar Ave</v>
      </c>
      <c r="E208" s="23" t="str">
        <f>Raw!CG209</f>
        <v>S</v>
      </c>
      <c r="F208" s="7">
        <f>Raw!T209</f>
        <v>9</v>
      </c>
      <c r="G208" s="7">
        <f>Raw!AL209</f>
        <v>0</v>
      </c>
      <c r="H208" s="7">
        <f>Raw!AC209</f>
        <v>2</v>
      </c>
      <c r="I208" s="7">
        <f t="shared" si="30"/>
        <v>2</v>
      </c>
      <c r="J208" s="157" t="str">
        <f>Raw!BT209</f>
        <v>NA</v>
      </c>
      <c r="K208" s="157" t="str">
        <f>Raw!AW209</f>
        <v>NA</v>
      </c>
      <c r="L208" s="42" t="str">
        <f>IF(Raw!CE209 = "NA", "-", Raw!CE209)</f>
        <v>-</v>
      </c>
      <c r="M208" s="42" t="str">
        <f>IF(Raw!BH209 = "NA", "-", Raw!BH209)</f>
        <v>-</v>
      </c>
      <c r="N208" s="46" t="str">
        <f>IF(Raw!CD209 = "NA", "-", Raw!CD209)</f>
        <v>-</v>
      </c>
      <c r="O208" s="46" t="str">
        <f>IF(Raw!BG209 = "NA", "-", Raw!BG209)</f>
        <v>-</v>
      </c>
      <c r="P208" s="32" t="str">
        <f>IF(Raw!AW209 = "NA", "-", SUMPRODUCT(Raw!$BT$2:$CC$2, Raw!BT209:CC209))</f>
        <v>-</v>
      </c>
      <c r="Q208" s="32" t="str">
        <f>IF(Raw!AW209 = "NA", "-", SUMPRODUCT(Raw!$AW$2:$BF$2, Raw!AW209:BF209))</f>
        <v>-</v>
      </c>
      <c r="R208" s="7" t="e" cm="1">
        <f t="array" ref="R208">_xlfn.IFS(S208="YES", "Hourly", T208="YES", "Flat Rate")</f>
        <v>#N/A</v>
      </c>
      <c r="S208" s="8" t="str">
        <f>IF(Raw!CO209=1, "YES", "")</f>
        <v/>
      </c>
      <c r="T208" s="8" t="str">
        <f>IF(Raw!CO209=2, "YES", "")</f>
        <v/>
      </c>
      <c r="U208" s="96" t="str">
        <f>IF(Raw!CP209=1, "YES", "")</f>
        <v/>
      </c>
      <c r="V208" s="96"/>
      <c r="X208" s="23">
        <f>SUMPRODUCT(Raw!$BT$3:$CC$3, Raw!BT209:CC209)</f>
        <v>0</v>
      </c>
      <c r="Y208" s="23">
        <f>SUMPRODUCT(Raw!$BT$3:$CC$3, Raw!BU209:CD209)</f>
        <v>0</v>
      </c>
      <c r="Z208" s="28">
        <f t="shared" si="33"/>
        <v>0</v>
      </c>
      <c r="AA208" s="28">
        <f t="shared" si="34"/>
        <v>0</v>
      </c>
      <c r="AC208">
        <f t="shared" si="35"/>
        <v>9</v>
      </c>
      <c r="AD208" s="23">
        <f>IF(U208="YES",SUMPRODUCT(Raw!$BT$3:$CC$3,Raw!BT209:CC209)*0.6,SUMPRODUCT(Raw!$BT$3:$CC$3,Raw!BT209:CC209))</f>
        <v>0</v>
      </c>
      <c r="AE208" s="23">
        <f>IF(U208="YES",SUMPRODUCT(Raw!$BT$3:$CC$3,Raw!BU209:CD209)*0.6,SUMPRODUCT(Raw!$BT$3:$CC$3,Raw!BU209:CD209))</f>
        <v>0</v>
      </c>
      <c r="AF208" s="28">
        <f t="shared" si="36"/>
        <v>0</v>
      </c>
      <c r="AG208" s="28">
        <f t="shared" si="37"/>
        <v>0</v>
      </c>
      <c r="AI208" s="88" t="str">
        <f t="shared" si="31"/>
        <v>-</v>
      </c>
      <c r="AJ208" s="88" t="str">
        <f t="shared" si="32"/>
        <v>-</v>
      </c>
      <c r="AK208" t="e">
        <f t="shared" si="38"/>
        <v>#VALUE!</v>
      </c>
      <c r="AL208" t="e">
        <f t="shared" si="39"/>
        <v>#VALUE!</v>
      </c>
    </row>
    <row r="209" spans="1:38" x14ac:dyDescent="0.25">
      <c r="A209" s="4">
        <f>Raw!J210</f>
        <v>34</v>
      </c>
      <c r="B209" s="4" t="str">
        <f>Raw!K210</f>
        <v>Poplar Ave</v>
      </c>
      <c r="C209" s="4" t="str">
        <f>Raw!L210</f>
        <v>Chadbourne Ave</v>
      </c>
      <c r="D209" s="4" t="str">
        <f>Raw!M210</f>
        <v>Millbrae Ave</v>
      </c>
      <c r="E209" s="23" t="str">
        <f>Raw!CG210</f>
        <v>W</v>
      </c>
      <c r="F209" s="7">
        <f>Raw!T210</f>
        <v>9</v>
      </c>
      <c r="G209" s="7">
        <f>Raw!AL210</f>
        <v>1</v>
      </c>
      <c r="H209" s="7">
        <f>Raw!AC210</f>
        <v>3</v>
      </c>
      <c r="I209" s="7">
        <f t="shared" si="30"/>
        <v>4</v>
      </c>
      <c r="J209" s="157" t="str">
        <f>Raw!BT210</f>
        <v>NA</v>
      </c>
      <c r="K209" s="157" t="str">
        <f>Raw!AW210</f>
        <v>NA</v>
      </c>
      <c r="L209" s="42" t="str">
        <f>IF(Raw!CE210 = "NA", "-", Raw!CE210)</f>
        <v>-</v>
      </c>
      <c r="M209" s="42" t="str">
        <f>IF(Raw!BH210 = "NA", "-", Raw!BH210)</f>
        <v>-</v>
      </c>
      <c r="N209" s="46" t="str">
        <f>IF(Raw!CD210 = "NA", "-", Raw!CD210)</f>
        <v>-</v>
      </c>
      <c r="O209" s="46" t="str">
        <f>IF(Raw!BG210 = "NA", "-", Raw!BG210)</f>
        <v>-</v>
      </c>
      <c r="P209" s="32" t="str">
        <f>IF(Raw!AW210 = "NA", "-", SUMPRODUCT(Raw!$BT$2:$CC$2, Raw!BT210:CC210))</f>
        <v>-</v>
      </c>
      <c r="Q209" s="32" t="str">
        <f>IF(Raw!AW210 = "NA", "-", SUMPRODUCT(Raw!$AW$2:$BF$2, Raw!AW210:BF210))</f>
        <v>-</v>
      </c>
      <c r="R209" s="7" t="e" cm="1">
        <f t="array" ref="R209">_xlfn.IFS(S209="YES", "Hourly", T209="YES", "Flat Rate")</f>
        <v>#N/A</v>
      </c>
      <c r="S209" s="8" t="str">
        <f>IF(Raw!CO210=1, "YES", "")</f>
        <v/>
      </c>
      <c r="T209" s="8" t="str">
        <f>IF(Raw!CO210=2, "YES", "")</f>
        <v/>
      </c>
      <c r="U209" s="96" t="str">
        <f>IF(Raw!CP210=1, "YES", "")</f>
        <v/>
      </c>
      <c r="V209" s="96"/>
      <c r="X209" s="23">
        <f>SUMPRODUCT(Raw!$BT$3:$CC$3, Raw!BT210:CC210)</f>
        <v>0</v>
      </c>
      <c r="Y209" s="23">
        <f>SUMPRODUCT(Raw!$BT$3:$CC$3, Raw!BU210:CD210)</f>
        <v>0</v>
      </c>
      <c r="Z209" s="28">
        <f t="shared" si="33"/>
        <v>0</v>
      </c>
      <c r="AA209" s="28">
        <f t="shared" si="34"/>
        <v>0</v>
      </c>
      <c r="AC209">
        <f t="shared" si="35"/>
        <v>9</v>
      </c>
      <c r="AD209" s="23">
        <f>IF(U209="YES",SUMPRODUCT(Raw!$BT$3:$CC$3,Raw!BT210:CC210)*0.6,SUMPRODUCT(Raw!$BT$3:$CC$3,Raw!BT210:CC210))</f>
        <v>0</v>
      </c>
      <c r="AE209" s="23">
        <f>IF(U209="YES",SUMPRODUCT(Raw!$BT$3:$CC$3,Raw!BU210:CD210)*0.6,SUMPRODUCT(Raw!$BT$3:$CC$3,Raw!BU210:CD210))</f>
        <v>0</v>
      </c>
      <c r="AF209" s="28">
        <f t="shared" si="36"/>
        <v>0</v>
      </c>
      <c r="AG209" s="28">
        <f t="shared" si="37"/>
        <v>0</v>
      </c>
      <c r="AI209" s="88" t="str">
        <f t="shared" si="31"/>
        <v>-</v>
      </c>
      <c r="AJ209" s="88" t="str">
        <f t="shared" si="32"/>
        <v>-</v>
      </c>
      <c r="AK209" t="e">
        <f t="shared" si="38"/>
        <v>#VALUE!</v>
      </c>
      <c r="AL209" t="e">
        <f t="shared" si="39"/>
        <v>#VALUE!</v>
      </c>
    </row>
    <row r="210" spans="1:38" x14ac:dyDescent="0.25">
      <c r="A210" s="4">
        <f>Raw!J211</f>
        <v>231</v>
      </c>
      <c r="B210" s="4" t="str">
        <f>Raw!K211</f>
        <v>Chadbourne Ave</v>
      </c>
      <c r="C210" s="4" t="str">
        <f>Raw!L211</f>
        <v>Poplar Ave</v>
      </c>
      <c r="D210" s="4" t="str">
        <f>Raw!M211</f>
        <v>Willow Ave</v>
      </c>
      <c r="E210" s="23" t="str">
        <f>Raw!CG211</f>
        <v>S</v>
      </c>
      <c r="F210" s="7">
        <f>Raw!T211</f>
        <v>10</v>
      </c>
      <c r="G210" s="7">
        <f>Raw!AL211</f>
        <v>0</v>
      </c>
      <c r="H210" s="7">
        <f>Raw!AC211</f>
        <v>3</v>
      </c>
      <c r="I210" s="7">
        <f t="shared" si="30"/>
        <v>3</v>
      </c>
      <c r="J210" s="157" t="str">
        <f>Raw!BT211</f>
        <v>NA</v>
      </c>
      <c r="K210" s="157" t="str">
        <f>Raw!AW211</f>
        <v>NA</v>
      </c>
      <c r="L210" s="42" t="str">
        <f>IF(Raw!CE211 = "NA", "-", Raw!CE211)</f>
        <v>-</v>
      </c>
      <c r="M210" s="42" t="str">
        <f>IF(Raw!BH211 = "NA", "-", Raw!BH211)</f>
        <v>-</v>
      </c>
      <c r="N210" s="46" t="str">
        <f>IF(Raw!CD211 = "NA", "-", Raw!CD211)</f>
        <v>-</v>
      </c>
      <c r="O210" s="46" t="str">
        <f>IF(Raw!BG211 = "NA", "-", Raw!BG211)</f>
        <v>-</v>
      </c>
      <c r="P210" s="32" t="str">
        <f>IF(Raw!AW211 = "NA", "-", SUMPRODUCT(Raw!$BT$2:$CC$2, Raw!BT211:CC211))</f>
        <v>-</v>
      </c>
      <c r="Q210" s="32" t="str">
        <f>IF(Raw!AW211 = "NA", "-", SUMPRODUCT(Raw!$AW$2:$BF$2, Raw!AW211:BF211))</f>
        <v>-</v>
      </c>
      <c r="R210" s="7" t="e" cm="1">
        <f t="array" ref="R210">_xlfn.IFS(S210="YES", "Hourly", T210="YES", "Flat Rate")</f>
        <v>#N/A</v>
      </c>
      <c r="S210" s="8" t="str">
        <f>IF(Raw!CO211=1, "YES", "")</f>
        <v/>
      </c>
      <c r="T210" s="8" t="str">
        <f>IF(Raw!CO211=2, "YES", "")</f>
        <v/>
      </c>
      <c r="U210" s="96" t="str">
        <f>IF(Raw!CP211=1, "YES", "")</f>
        <v/>
      </c>
      <c r="V210" s="96"/>
      <c r="X210" s="23">
        <f>SUMPRODUCT(Raw!$BT$3:$CC$3, Raw!BT211:CC211)</f>
        <v>0</v>
      </c>
      <c r="Y210" s="23">
        <f>SUMPRODUCT(Raw!$BT$3:$CC$3, Raw!BU211:CD211)</f>
        <v>0</v>
      </c>
      <c r="Z210" s="28">
        <f t="shared" si="33"/>
        <v>0</v>
      </c>
      <c r="AA210" s="28">
        <f t="shared" si="34"/>
        <v>0</v>
      </c>
      <c r="AC210">
        <f t="shared" si="35"/>
        <v>10</v>
      </c>
      <c r="AD210" s="23">
        <f>IF(U210="YES",SUMPRODUCT(Raw!$BT$3:$CC$3,Raw!BT211:CC211)*0.6,SUMPRODUCT(Raw!$BT$3:$CC$3,Raw!BT211:CC211))</f>
        <v>0</v>
      </c>
      <c r="AE210" s="23">
        <f>IF(U210="YES",SUMPRODUCT(Raw!$BT$3:$CC$3,Raw!BU211:CD211)*0.6,SUMPRODUCT(Raw!$BT$3:$CC$3,Raw!BU211:CD211))</f>
        <v>0</v>
      </c>
      <c r="AF210" s="28">
        <f t="shared" si="36"/>
        <v>0</v>
      </c>
      <c r="AG210" s="28">
        <f t="shared" si="37"/>
        <v>0</v>
      </c>
      <c r="AI210" s="88" t="str">
        <f t="shared" si="31"/>
        <v>-</v>
      </c>
      <c r="AJ210" s="88" t="str">
        <f t="shared" si="32"/>
        <v>-</v>
      </c>
      <c r="AK210" t="e">
        <f t="shared" si="38"/>
        <v>#VALUE!</v>
      </c>
      <c r="AL210" t="e">
        <f t="shared" si="39"/>
        <v>#VALUE!</v>
      </c>
    </row>
    <row r="211" spans="1:38" x14ac:dyDescent="0.25">
      <c r="A211" s="4">
        <f>Raw!J212</f>
        <v>35</v>
      </c>
      <c r="B211" s="4" t="str">
        <f>Raw!K212</f>
        <v>Poplar Ave</v>
      </c>
      <c r="C211" s="4" t="str">
        <f>Raw!L212</f>
        <v>Millbrae Ave</v>
      </c>
      <c r="D211" s="4" t="str">
        <f>Raw!M212</f>
        <v>Chadbourne Ave</v>
      </c>
      <c r="E211" s="23" t="str">
        <f>Raw!CG212</f>
        <v>E</v>
      </c>
      <c r="F211" s="7">
        <f>Raw!T212</f>
        <v>10</v>
      </c>
      <c r="G211" s="7">
        <f>Raw!AL212</f>
        <v>1</v>
      </c>
      <c r="H211" s="7">
        <f>Raw!AC212</f>
        <v>3</v>
      </c>
      <c r="I211" s="7">
        <f t="shared" si="30"/>
        <v>4</v>
      </c>
      <c r="J211" s="157" t="str">
        <f>Raw!BT212</f>
        <v>NA</v>
      </c>
      <c r="K211" s="157" t="str">
        <f>Raw!AW212</f>
        <v>NA</v>
      </c>
      <c r="L211" s="42" t="str">
        <f>IF(Raw!CE212 = "NA", "-", Raw!CE212)</f>
        <v>-</v>
      </c>
      <c r="M211" s="42" t="str">
        <f>IF(Raw!BH212 = "NA", "-", Raw!BH212)</f>
        <v>-</v>
      </c>
      <c r="N211" s="46" t="str">
        <f>IF(Raw!CD212 = "NA", "-", Raw!CD212)</f>
        <v>-</v>
      </c>
      <c r="O211" s="46" t="str">
        <f>IF(Raw!BG212 = "NA", "-", Raw!BG212)</f>
        <v>-</v>
      </c>
      <c r="P211" s="32" t="str">
        <f>IF(Raw!AW212 = "NA", "-", SUMPRODUCT(Raw!$BT$2:$CC$2, Raw!BT212:CC212))</f>
        <v>-</v>
      </c>
      <c r="Q211" s="32" t="str">
        <f>IF(Raw!AW212 = "NA", "-", SUMPRODUCT(Raw!$AW$2:$BF$2, Raw!AW212:BF212))</f>
        <v>-</v>
      </c>
      <c r="R211" s="7" t="e" cm="1">
        <f t="array" ref="R211">_xlfn.IFS(S211="YES", "Hourly", T211="YES", "Flat Rate")</f>
        <v>#N/A</v>
      </c>
      <c r="S211" s="8" t="str">
        <f>IF(Raw!CO212=1, "YES", "")</f>
        <v/>
      </c>
      <c r="T211" s="8" t="str">
        <f>IF(Raw!CO212=2, "YES", "")</f>
        <v/>
      </c>
      <c r="U211" s="96" t="str">
        <f>IF(Raw!CP212=1, "YES", "")</f>
        <v/>
      </c>
      <c r="V211" s="96"/>
      <c r="X211" s="23">
        <f>SUMPRODUCT(Raw!$BT$3:$CC$3, Raw!BT212:CC212)</f>
        <v>0</v>
      </c>
      <c r="Y211" s="23">
        <f>SUMPRODUCT(Raw!$BT$3:$CC$3, Raw!BU212:CD212)</f>
        <v>0</v>
      </c>
      <c r="Z211" s="28">
        <f t="shared" si="33"/>
        <v>0</v>
      </c>
      <c r="AA211" s="28">
        <f t="shared" si="34"/>
        <v>0</v>
      </c>
      <c r="AC211">
        <f t="shared" si="35"/>
        <v>10</v>
      </c>
      <c r="AD211" s="23">
        <f>IF(U211="YES",SUMPRODUCT(Raw!$BT$3:$CC$3,Raw!BT212:CC212)*0.6,SUMPRODUCT(Raw!$BT$3:$CC$3,Raw!BT212:CC212))</f>
        <v>0</v>
      </c>
      <c r="AE211" s="23">
        <f>IF(U211="YES",SUMPRODUCT(Raw!$BT$3:$CC$3,Raw!BU212:CD212)*0.6,SUMPRODUCT(Raw!$BT$3:$CC$3,Raw!BU212:CD212))</f>
        <v>0</v>
      </c>
      <c r="AF211" s="28">
        <f t="shared" si="36"/>
        <v>0</v>
      </c>
      <c r="AG211" s="28">
        <f t="shared" si="37"/>
        <v>0</v>
      </c>
      <c r="AI211" s="88" t="str">
        <f t="shared" si="31"/>
        <v>-</v>
      </c>
      <c r="AJ211" s="88" t="str">
        <f t="shared" si="32"/>
        <v>-</v>
      </c>
      <c r="AK211" t="e">
        <f t="shared" si="38"/>
        <v>#VALUE!</v>
      </c>
      <c r="AL211" t="e">
        <f t="shared" si="39"/>
        <v>#VALUE!</v>
      </c>
    </row>
    <row r="212" spans="1:38" x14ac:dyDescent="0.25">
      <c r="A212" s="4">
        <f>Raw!J213</f>
        <v>244</v>
      </c>
      <c r="B212" s="4" t="str">
        <f>Raw!K213</f>
        <v>Millbrae Ave</v>
      </c>
      <c r="C212" s="4" t="str">
        <f>Raw!L213</f>
        <v>Willow Ave</v>
      </c>
      <c r="D212" s="4" t="str">
        <f>Raw!M213</f>
        <v>Poplar Ave</v>
      </c>
      <c r="E212" s="23" t="str">
        <f>Raw!CG213</f>
        <v>N</v>
      </c>
      <c r="F212" s="7">
        <f>Raw!T213</f>
        <v>5</v>
      </c>
      <c r="G212" s="7">
        <f>Raw!AL213</f>
        <v>0</v>
      </c>
      <c r="H212" s="7">
        <f>Raw!AC213</f>
        <v>0</v>
      </c>
      <c r="I212" s="7">
        <f t="shared" si="30"/>
        <v>0</v>
      </c>
      <c r="J212" s="157" t="str">
        <f>Raw!BT213</f>
        <v>NA</v>
      </c>
      <c r="K212" s="157" t="str">
        <f>Raw!AW213</f>
        <v>NA</v>
      </c>
      <c r="L212" s="42" t="str">
        <f>IF(Raw!CE213 = "NA", "-", Raw!CE213)</f>
        <v>-</v>
      </c>
      <c r="M212" s="42" t="str">
        <f>IF(Raw!BH213 = "NA", "-", Raw!BH213)</f>
        <v>-</v>
      </c>
      <c r="N212" s="46" t="str">
        <f>IF(Raw!CD213 = "NA", "-", Raw!CD213)</f>
        <v>-</v>
      </c>
      <c r="O212" s="46" t="str">
        <f>IF(Raw!BG213 = "NA", "-", Raw!BG213)</f>
        <v>-</v>
      </c>
      <c r="P212" s="32" t="str">
        <f>IF(Raw!AW213 = "NA", "-", SUMPRODUCT(Raw!$BT$2:$CC$2, Raw!BT213:CC213))</f>
        <v>-</v>
      </c>
      <c r="Q212" s="32" t="str">
        <f>IF(Raw!AW213 = "NA", "-", SUMPRODUCT(Raw!$AW$2:$BF$2, Raw!AW213:BF213))</f>
        <v>-</v>
      </c>
      <c r="R212" s="7" t="e" cm="1">
        <f t="array" ref="R212">_xlfn.IFS(S212="YES", "Hourly", T212="YES", "Flat Rate")</f>
        <v>#N/A</v>
      </c>
      <c r="S212" s="8" t="str">
        <f>IF(Raw!CO213=1, "YES", "")</f>
        <v/>
      </c>
      <c r="T212" s="8" t="str">
        <f>IF(Raw!CO213=2, "YES", "")</f>
        <v/>
      </c>
      <c r="U212" s="96" t="str">
        <f>IF(Raw!CP213=1, "YES", "")</f>
        <v/>
      </c>
      <c r="V212" s="96"/>
      <c r="X212" s="23">
        <f>SUMPRODUCT(Raw!$BT$3:$CC$3, Raw!BT213:CC213)</f>
        <v>0</v>
      </c>
      <c r="Y212" s="23">
        <f>SUMPRODUCT(Raw!$BT$3:$CC$3, Raw!BU213:CD213)</f>
        <v>0</v>
      </c>
      <c r="Z212" s="28">
        <f t="shared" si="33"/>
        <v>0</v>
      </c>
      <c r="AA212" s="28">
        <f t="shared" si="34"/>
        <v>0</v>
      </c>
      <c r="AC212">
        <f t="shared" si="35"/>
        <v>5</v>
      </c>
      <c r="AD212" s="23">
        <f>IF(U212="YES",SUMPRODUCT(Raw!$BT$3:$CC$3,Raw!BT213:CC213)*0.6,SUMPRODUCT(Raw!$BT$3:$CC$3,Raw!BT213:CC213))</f>
        <v>0</v>
      </c>
      <c r="AE212" s="23">
        <f>IF(U212="YES",SUMPRODUCT(Raw!$BT$3:$CC$3,Raw!BU213:CD213)*0.6,SUMPRODUCT(Raw!$BT$3:$CC$3,Raw!BU213:CD213))</f>
        <v>0</v>
      </c>
      <c r="AF212" s="28">
        <f t="shared" si="36"/>
        <v>0</v>
      </c>
      <c r="AG212" s="28">
        <f t="shared" si="37"/>
        <v>0</v>
      </c>
      <c r="AI212" s="88" t="str">
        <f t="shared" si="31"/>
        <v>-</v>
      </c>
      <c r="AJ212" s="88" t="str">
        <f t="shared" si="32"/>
        <v>-</v>
      </c>
      <c r="AK212" t="e">
        <f t="shared" si="38"/>
        <v>#VALUE!</v>
      </c>
      <c r="AL212" t="e">
        <f t="shared" si="39"/>
        <v>#VALUE!</v>
      </c>
    </row>
    <row r="213" spans="1:38" x14ac:dyDescent="0.25">
      <c r="A213" s="4">
        <f>Raw!J214</f>
        <v>38</v>
      </c>
      <c r="B213" s="4" t="str">
        <f>Raw!K214</f>
        <v>Willow Ave</v>
      </c>
      <c r="C213" s="4" t="str">
        <f>Raw!L214</f>
        <v>Chadbourne Ave</v>
      </c>
      <c r="D213" s="4" t="str">
        <f>Raw!M214</f>
        <v>Millbrae Ave</v>
      </c>
      <c r="E213" s="23" t="str">
        <f>Raw!CG214</f>
        <v>W</v>
      </c>
      <c r="F213" s="7">
        <f>Raw!T214</f>
        <v>9</v>
      </c>
      <c r="G213" s="7">
        <f>Raw!AL214</f>
        <v>0</v>
      </c>
      <c r="H213" s="7">
        <f>Raw!AC214</f>
        <v>4</v>
      </c>
      <c r="I213" s="7">
        <f t="shared" si="30"/>
        <v>4</v>
      </c>
      <c r="J213" s="157" t="str">
        <f>Raw!BT214</f>
        <v>NA</v>
      </c>
      <c r="K213" s="157" t="str">
        <f>Raw!AW214</f>
        <v>NA</v>
      </c>
      <c r="L213" s="42" t="str">
        <f>IF(Raw!CE214 = "NA", "-", Raw!CE214)</f>
        <v>-</v>
      </c>
      <c r="M213" s="42" t="str">
        <f>IF(Raw!BH214 = "NA", "-", Raw!BH214)</f>
        <v>-</v>
      </c>
      <c r="N213" s="46" t="str">
        <f>IF(Raw!CD214 = "NA", "-", Raw!CD214)</f>
        <v>-</v>
      </c>
      <c r="O213" s="46" t="str">
        <f>IF(Raw!BG214 = "NA", "-", Raw!BG214)</f>
        <v>-</v>
      </c>
      <c r="P213" s="32" t="str">
        <f>IF(Raw!AW214 = "NA", "-", SUMPRODUCT(Raw!$BT$2:$CC$2, Raw!BT214:CC214))</f>
        <v>-</v>
      </c>
      <c r="Q213" s="32" t="str">
        <f>IF(Raw!AW214 = "NA", "-", SUMPRODUCT(Raw!$AW$2:$BF$2, Raw!AW214:BF214))</f>
        <v>-</v>
      </c>
      <c r="R213" s="7" t="e" cm="1">
        <f t="array" ref="R213">_xlfn.IFS(S213="YES", "Hourly", T213="YES", "Flat Rate")</f>
        <v>#N/A</v>
      </c>
      <c r="S213" s="8" t="str">
        <f>IF(Raw!CO214=1, "YES", "")</f>
        <v/>
      </c>
      <c r="T213" s="8" t="str">
        <f>IF(Raw!CO214=2, "YES", "")</f>
        <v/>
      </c>
      <c r="U213" s="96" t="str">
        <f>IF(Raw!CP214=1, "YES", "")</f>
        <v/>
      </c>
      <c r="V213" s="96"/>
      <c r="X213" s="23">
        <f>SUMPRODUCT(Raw!$BT$3:$CC$3, Raw!BT214:CC214)</f>
        <v>0</v>
      </c>
      <c r="Y213" s="23">
        <f>SUMPRODUCT(Raw!$BT$3:$CC$3, Raw!BU214:CD214)</f>
        <v>0</v>
      </c>
      <c r="Z213" s="28">
        <f t="shared" si="33"/>
        <v>0</v>
      </c>
      <c r="AA213" s="28">
        <f t="shared" si="34"/>
        <v>0</v>
      </c>
      <c r="AC213">
        <f t="shared" si="35"/>
        <v>9</v>
      </c>
      <c r="AD213" s="23">
        <f>IF(U213="YES",SUMPRODUCT(Raw!$BT$3:$CC$3,Raw!BT214:CC214)*0.6,SUMPRODUCT(Raw!$BT$3:$CC$3,Raw!BT214:CC214))</f>
        <v>0</v>
      </c>
      <c r="AE213" s="23">
        <f>IF(U213="YES",SUMPRODUCT(Raw!$BT$3:$CC$3,Raw!BU214:CD214)*0.6,SUMPRODUCT(Raw!$BT$3:$CC$3,Raw!BU214:CD214))</f>
        <v>0</v>
      </c>
      <c r="AF213" s="28">
        <f t="shared" si="36"/>
        <v>0</v>
      </c>
      <c r="AG213" s="28">
        <f t="shared" si="37"/>
        <v>0</v>
      </c>
      <c r="AI213" s="88" t="str">
        <f t="shared" si="31"/>
        <v>-</v>
      </c>
      <c r="AJ213" s="88" t="str">
        <f t="shared" si="32"/>
        <v>-</v>
      </c>
      <c r="AK213" t="e">
        <f t="shared" si="38"/>
        <v>#VALUE!</v>
      </c>
      <c r="AL213" t="e">
        <f t="shared" si="39"/>
        <v>#VALUE!</v>
      </c>
    </row>
    <row r="214" spans="1:38" x14ac:dyDescent="0.25">
      <c r="A214" s="4">
        <f>Raw!J215</f>
        <v>242</v>
      </c>
      <c r="B214" s="4" t="str">
        <f>Raw!K215</f>
        <v>Millbrae Ave</v>
      </c>
      <c r="C214" s="4" t="str">
        <f>Raw!L215</f>
        <v>Elder Ave</v>
      </c>
      <c r="D214" s="4" t="str">
        <f>Raw!M215</f>
        <v>Palm Ave</v>
      </c>
      <c r="E214" s="23" t="str">
        <f>Raw!CG215</f>
        <v>N</v>
      </c>
      <c r="F214" s="7">
        <f>Raw!T215</f>
        <v>7</v>
      </c>
      <c r="G214" s="7">
        <f>Raw!AL215</f>
        <v>0</v>
      </c>
      <c r="H214" s="7">
        <f>Raw!AC215</f>
        <v>1</v>
      </c>
      <c r="I214" s="7">
        <f t="shared" si="30"/>
        <v>1</v>
      </c>
      <c r="J214" s="157" t="str">
        <f>Raw!BT215</f>
        <v>NA</v>
      </c>
      <c r="K214" s="157" t="str">
        <f>Raw!AW215</f>
        <v>NA</v>
      </c>
      <c r="L214" s="42" t="str">
        <f>IF(Raw!CE215 = "NA", "-", Raw!CE215)</f>
        <v>-</v>
      </c>
      <c r="M214" s="42" t="str">
        <f>IF(Raw!BH215 = "NA", "-", Raw!BH215)</f>
        <v>-</v>
      </c>
      <c r="N214" s="46" t="str">
        <f>IF(Raw!CD215 = "NA", "-", Raw!CD215)</f>
        <v>-</v>
      </c>
      <c r="O214" s="46" t="str">
        <f>IF(Raw!BG215 = "NA", "-", Raw!BG215)</f>
        <v>-</v>
      </c>
      <c r="P214" s="32" t="str">
        <f>IF(Raw!AW215 = "NA", "-", SUMPRODUCT(Raw!$BT$2:$CC$2, Raw!BT215:CC215))</f>
        <v>-</v>
      </c>
      <c r="Q214" s="32" t="str">
        <f>IF(Raw!AW215 = "NA", "-", SUMPRODUCT(Raw!$AW$2:$BF$2, Raw!AW215:BF215))</f>
        <v>-</v>
      </c>
      <c r="R214" s="7" t="e" cm="1">
        <f t="array" ref="R214">_xlfn.IFS(S214="YES", "Hourly", T214="YES", "Flat Rate")</f>
        <v>#N/A</v>
      </c>
      <c r="S214" s="8" t="str">
        <f>IF(Raw!CO215=1, "YES", "")</f>
        <v/>
      </c>
      <c r="T214" s="8" t="str">
        <f>IF(Raw!CO215=2, "YES", "")</f>
        <v/>
      </c>
      <c r="U214" s="96" t="str">
        <f>IF(Raw!CP215=1, "YES", "")</f>
        <v/>
      </c>
      <c r="V214" s="96"/>
      <c r="X214" s="23">
        <f>SUMPRODUCT(Raw!$BT$3:$CC$3, Raw!BT215:CC215)</f>
        <v>0</v>
      </c>
      <c r="Y214" s="23">
        <f>SUMPRODUCT(Raw!$BT$3:$CC$3, Raw!BU215:CD215)</f>
        <v>0</v>
      </c>
      <c r="Z214" s="28">
        <f t="shared" si="33"/>
        <v>0</v>
      </c>
      <c r="AA214" s="28">
        <f t="shared" si="34"/>
        <v>0</v>
      </c>
      <c r="AC214">
        <f t="shared" si="35"/>
        <v>7</v>
      </c>
      <c r="AD214" s="23">
        <f>IF(U214="YES",SUMPRODUCT(Raw!$BT$3:$CC$3,Raw!BT215:CC215)*0.6,SUMPRODUCT(Raw!$BT$3:$CC$3,Raw!BT215:CC215))</f>
        <v>0</v>
      </c>
      <c r="AE214" s="23">
        <f>IF(U214="YES",SUMPRODUCT(Raw!$BT$3:$CC$3,Raw!BU215:CD215)*0.6,SUMPRODUCT(Raw!$BT$3:$CC$3,Raw!BU215:CD215))</f>
        <v>0</v>
      </c>
      <c r="AF214" s="28">
        <f t="shared" si="36"/>
        <v>0</v>
      </c>
      <c r="AG214" s="28">
        <f t="shared" si="37"/>
        <v>0</v>
      </c>
      <c r="AI214" s="88" t="str">
        <f t="shared" si="31"/>
        <v>-</v>
      </c>
      <c r="AJ214" s="88" t="str">
        <f t="shared" si="32"/>
        <v>-</v>
      </c>
      <c r="AK214" t="e">
        <f t="shared" si="38"/>
        <v>#VALUE!</v>
      </c>
      <c r="AL214" t="e">
        <f t="shared" si="39"/>
        <v>#VALUE!</v>
      </c>
    </row>
    <row r="215" spans="1:38" x14ac:dyDescent="0.25">
      <c r="A215" s="4">
        <f>Raw!J216</f>
        <v>243</v>
      </c>
      <c r="B215" s="4" t="str">
        <f>Raw!K216</f>
        <v>Millbrae Ave</v>
      </c>
      <c r="C215" s="4" t="str">
        <f>Raw!L216</f>
        <v>Poplar Ave</v>
      </c>
      <c r="D215" s="4" t="str">
        <f>Raw!M216</f>
        <v>Elder Ave</v>
      </c>
      <c r="E215" s="23" t="str">
        <f>Raw!CG216</f>
        <v>N</v>
      </c>
      <c r="F215" s="7">
        <f>Raw!T216</f>
        <v>7</v>
      </c>
      <c r="G215" s="7">
        <f>Raw!AL216</f>
        <v>0</v>
      </c>
      <c r="H215" s="7">
        <f>Raw!AC216</f>
        <v>0</v>
      </c>
      <c r="I215" s="7">
        <f t="shared" si="30"/>
        <v>0</v>
      </c>
      <c r="J215" s="157" t="str">
        <f>Raw!BT216</f>
        <v>NA</v>
      </c>
      <c r="K215" s="157" t="str">
        <f>Raw!AW216</f>
        <v>NA</v>
      </c>
      <c r="L215" s="42" t="str">
        <f>IF(Raw!CE216 = "NA", "-", Raw!CE216)</f>
        <v>-</v>
      </c>
      <c r="M215" s="42" t="str">
        <f>IF(Raw!BH216 = "NA", "-", Raw!BH216)</f>
        <v>-</v>
      </c>
      <c r="N215" s="46" t="str">
        <f>IF(Raw!CD216 = "NA", "-", Raw!CD216)</f>
        <v>-</v>
      </c>
      <c r="O215" s="46" t="str">
        <f>IF(Raw!BG216 = "NA", "-", Raw!BG216)</f>
        <v>-</v>
      </c>
      <c r="P215" s="32" t="str">
        <f>IF(Raw!AW216 = "NA", "-", SUMPRODUCT(Raw!$BT$2:$CC$2, Raw!BT216:CC216))</f>
        <v>-</v>
      </c>
      <c r="Q215" s="32" t="str">
        <f>IF(Raw!AW216 = "NA", "-", SUMPRODUCT(Raw!$AW$2:$BF$2, Raw!AW216:BF216))</f>
        <v>-</v>
      </c>
      <c r="R215" s="7" t="e" cm="1">
        <f t="array" ref="R215">_xlfn.IFS(S215="YES", "Hourly", T215="YES", "Flat Rate")</f>
        <v>#N/A</v>
      </c>
      <c r="S215" s="8" t="str">
        <f>IF(Raw!CO216=1, "YES", "")</f>
        <v/>
      </c>
      <c r="T215" s="8" t="str">
        <f>IF(Raw!CO216=2, "YES", "")</f>
        <v/>
      </c>
      <c r="U215" s="96" t="str">
        <f>IF(Raw!CP216=1, "YES", "")</f>
        <v/>
      </c>
      <c r="V215" s="96"/>
      <c r="X215" s="23">
        <f>SUMPRODUCT(Raw!$BT$3:$CC$3, Raw!BT216:CC216)</f>
        <v>0</v>
      </c>
      <c r="Y215" s="23">
        <f>SUMPRODUCT(Raw!$BT$3:$CC$3, Raw!BU216:CD216)</f>
        <v>0</v>
      </c>
      <c r="Z215" s="28">
        <f t="shared" si="33"/>
        <v>0</v>
      </c>
      <c r="AA215" s="28">
        <f t="shared" si="34"/>
        <v>0</v>
      </c>
      <c r="AC215">
        <f t="shared" si="35"/>
        <v>7</v>
      </c>
      <c r="AD215" s="23">
        <f>IF(U215="YES",SUMPRODUCT(Raw!$BT$3:$CC$3,Raw!BT216:CC216)*0.6,SUMPRODUCT(Raw!$BT$3:$CC$3,Raw!BT216:CC216))</f>
        <v>0</v>
      </c>
      <c r="AE215" s="23">
        <f>IF(U215="YES",SUMPRODUCT(Raw!$BT$3:$CC$3,Raw!BU216:CD216)*0.6,SUMPRODUCT(Raw!$BT$3:$CC$3,Raw!BU216:CD216))</f>
        <v>0</v>
      </c>
      <c r="AF215" s="28">
        <f t="shared" si="36"/>
        <v>0</v>
      </c>
      <c r="AG215" s="28">
        <f t="shared" si="37"/>
        <v>0</v>
      </c>
      <c r="AI215" s="88" t="str">
        <f t="shared" si="31"/>
        <v>-</v>
      </c>
      <c r="AJ215" s="88" t="str">
        <f t="shared" si="32"/>
        <v>-</v>
      </c>
      <c r="AK215" t="e">
        <f t="shared" si="38"/>
        <v>#VALUE!</v>
      </c>
      <c r="AL215" t="e">
        <f t="shared" si="39"/>
        <v>#VALUE!</v>
      </c>
    </row>
    <row r="216" spans="1:38" x14ac:dyDescent="0.25">
      <c r="A216" s="4">
        <f>Raw!J217</f>
        <v>247</v>
      </c>
      <c r="B216" s="4" t="str">
        <f>Raw!K217</f>
        <v>Millbrae Ave</v>
      </c>
      <c r="C216" s="4" t="str">
        <f>Raw!L217</f>
        <v>Palm Ave</v>
      </c>
      <c r="D216" s="4" t="str">
        <f>Raw!M217</f>
        <v>Magnolia Ave</v>
      </c>
      <c r="E216" s="23" t="str">
        <f>Raw!CG217</f>
        <v>S</v>
      </c>
      <c r="F216" s="7">
        <f>Raw!T217</f>
        <v>47</v>
      </c>
      <c r="G216" s="7">
        <f>Raw!AL217</f>
        <v>0</v>
      </c>
      <c r="H216" s="7">
        <f>Raw!AC217</f>
        <v>0</v>
      </c>
      <c r="I216" s="7">
        <f t="shared" si="30"/>
        <v>0</v>
      </c>
      <c r="J216" s="157" t="str">
        <f>Raw!BT217</f>
        <v>NA</v>
      </c>
      <c r="K216" s="157" t="str">
        <f>Raw!AW217</f>
        <v>NA</v>
      </c>
      <c r="L216" s="42" t="str">
        <f>IF(Raw!CE217 = "NA", "-", Raw!CE217)</f>
        <v>-</v>
      </c>
      <c r="M216" s="42" t="str">
        <f>IF(Raw!BH217 = "NA", "-", Raw!BH217)</f>
        <v>-</v>
      </c>
      <c r="N216" s="46" t="str">
        <f>IF(Raw!CD217 = "NA", "-", Raw!CD217)</f>
        <v>-</v>
      </c>
      <c r="O216" s="46" t="str">
        <f>IF(Raw!BG217 = "NA", "-", Raw!BG217)</f>
        <v>-</v>
      </c>
      <c r="P216" s="32" t="str">
        <f>IF(Raw!AW217 = "NA", "-", SUMPRODUCT(Raw!$BT$2:$CC$2, Raw!BT217:CC217))</f>
        <v>-</v>
      </c>
      <c r="Q216" s="32" t="str">
        <f>IF(Raw!AW217 = "NA", "-", SUMPRODUCT(Raw!$AW$2:$BF$2, Raw!AW217:BF217))</f>
        <v>-</v>
      </c>
      <c r="R216" s="7" t="e" cm="1">
        <f t="array" ref="R216">_xlfn.IFS(S216="YES", "Hourly", T216="YES", "Flat Rate")</f>
        <v>#N/A</v>
      </c>
      <c r="S216" s="8" t="str">
        <f>IF(Raw!CO217=1, "YES", "")</f>
        <v/>
      </c>
      <c r="T216" s="8" t="str">
        <f>IF(Raw!CO217=2, "YES", "")</f>
        <v/>
      </c>
      <c r="U216" s="96" t="str">
        <f>IF(Raw!CP217=1, "YES", "")</f>
        <v/>
      </c>
      <c r="V216" s="96"/>
      <c r="X216" s="23">
        <f>SUMPRODUCT(Raw!$BT$3:$CC$3, Raw!BT217:CC217)</f>
        <v>0</v>
      </c>
      <c r="Y216" s="23">
        <f>SUMPRODUCT(Raw!$BT$3:$CC$3, Raw!BU217:CD217)</f>
        <v>0</v>
      </c>
      <c r="Z216" s="28">
        <f t="shared" si="33"/>
        <v>0</v>
      </c>
      <c r="AA216" s="28">
        <f t="shared" si="34"/>
        <v>0</v>
      </c>
      <c r="AC216">
        <f t="shared" si="35"/>
        <v>47</v>
      </c>
      <c r="AD216" s="23">
        <f>IF(U216="YES",SUMPRODUCT(Raw!$BT$3:$CC$3,Raw!BT217:CC217)*0.6,SUMPRODUCT(Raw!$BT$3:$CC$3,Raw!BT217:CC217))</f>
        <v>0</v>
      </c>
      <c r="AE216" s="23">
        <f>IF(U216="YES",SUMPRODUCT(Raw!$BT$3:$CC$3,Raw!BU217:CD217)*0.6,SUMPRODUCT(Raw!$BT$3:$CC$3,Raw!BU217:CD217))</f>
        <v>0</v>
      </c>
      <c r="AF216" s="28">
        <f t="shared" si="36"/>
        <v>0</v>
      </c>
      <c r="AG216" s="28">
        <f t="shared" si="37"/>
        <v>0</v>
      </c>
      <c r="AI216" s="88" t="str">
        <f t="shared" si="31"/>
        <v>-</v>
      </c>
      <c r="AJ216" s="88" t="str">
        <f t="shared" si="32"/>
        <v>-</v>
      </c>
      <c r="AK216" t="e">
        <f t="shared" si="38"/>
        <v>#VALUE!</v>
      </c>
      <c r="AL216" t="e">
        <f t="shared" si="39"/>
        <v>#VALUE!</v>
      </c>
    </row>
    <row r="217" spans="1:38" x14ac:dyDescent="0.25">
      <c r="A217" s="4">
        <f>Raw!J218</f>
        <v>39</v>
      </c>
      <c r="B217" s="4" t="str">
        <f>Raw!K218</f>
        <v>Willow Ave</v>
      </c>
      <c r="C217" s="4" t="str">
        <f>Raw!L218</f>
        <v>Millbrae Ave</v>
      </c>
      <c r="D217" s="4" t="str">
        <f>Raw!M218</f>
        <v>Chadbourne Ave</v>
      </c>
      <c r="E217" s="23" t="str">
        <f>Raw!CG218</f>
        <v>E</v>
      </c>
      <c r="F217" s="7">
        <f>Raw!T218</f>
        <v>11</v>
      </c>
      <c r="G217" s="7">
        <f>Raw!AL218</f>
        <v>1</v>
      </c>
      <c r="H217" s="7">
        <f>Raw!AC218</f>
        <v>3</v>
      </c>
      <c r="I217" s="7">
        <f t="shared" si="30"/>
        <v>4</v>
      </c>
      <c r="J217" s="157" t="str">
        <f>Raw!BT218</f>
        <v>NA</v>
      </c>
      <c r="K217" s="157" t="str">
        <f>Raw!AW218</f>
        <v>NA</v>
      </c>
      <c r="L217" s="42" t="str">
        <f>IF(Raw!CE218 = "NA", "-", Raw!CE218)</f>
        <v>-</v>
      </c>
      <c r="M217" s="42" t="str">
        <f>IF(Raw!BH218 = "NA", "-", Raw!BH218)</f>
        <v>-</v>
      </c>
      <c r="N217" s="46" t="str">
        <f>IF(Raw!CD218 = "NA", "-", Raw!CD218)</f>
        <v>-</v>
      </c>
      <c r="O217" s="46" t="str">
        <f>IF(Raw!BG218 = "NA", "-", Raw!BG218)</f>
        <v>-</v>
      </c>
      <c r="P217" s="32" t="str">
        <f>IF(Raw!AW218 = "NA", "-", SUMPRODUCT(Raw!$BT$2:$CC$2, Raw!BT218:CC218))</f>
        <v>-</v>
      </c>
      <c r="Q217" s="32" t="str">
        <f>IF(Raw!AW218 = "NA", "-", SUMPRODUCT(Raw!$AW$2:$BF$2, Raw!AW218:BF218))</f>
        <v>-</v>
      </c>
      <c r="R217" s="7" t="e" cm="1">
        <f t="array" ref="R217">_xlfn.IFS(S217="YES", "Hourly", T217="YES", "Flat Rate")</f>
        <v>#N/A</v>
      </c>
      <c r="S217" s="8" t="str">
        <f>IF(Raw!CO218=1, "YES", "")</f>
        <v/>
      </c>
      <c r="T217" s="8" t="str">
        <f>IF(Raw!CO218=2, "YES", "")</f>
        <v/>
      </c>
      <c r="U217" s="96" t="str">
        <f>IF(Raw!CP218=1, "YES", "")</f>
        <v/>
      </c>
      <c r="V217" s="96"/>
      <c r="X217" s="23">
        <f>SUMPRODUCT(Raw!$BT$3:$CC$3, Raw!BT218:CC218)</f>
        <v>0</v>
      </c>
      <c r="Y217" s="23">
        <f>SUMPRODUCT(Raw!$BT$3:$CC$3, Raw!BU218:CD218)</f>
        <v>0</v>
      </c>
      <c r="Z217" s="28">
        <f t="shared" si="33"/>
        <v>0</v>
      </c>
      <c r="AA217" s="28">
        <f t="shared" si="34"/>
        <v>0</v>
      </c>
      <c r="AC217">
        <f t="shared" si="35"/>
        <v>11</v>
      </c>
      <c r="AD217" s="23">
        <f>IF(U217="YES",SUMPRODUCT(Raw!$BT$3:$CC$3,Raw!BT218:CC218)*0.6,SUMPRODUCT(Raw!$BT$3:$CC$3,Raw!BT218:CC218))</f>
        <v>0</v>
      </c>
      <c r="AE217" s="23">
        <f>IF(U217="YES",SUMPRODUCT(Raw!$BT$3:$CC$3,Raw!BU218:CD218)*0.6,SUMPRODUCT(Raw!$BT$3:$CC$3,Raw!BU218:CD218))</f>
        <v>0</v>
      </c>
      <c r="AF217" s="28">
        <f t="shared" si="36"/>
        <v>0</v>
      </c>
      <c r="AG217" s="28">
        <f t="shared" si="37"/>
        <v>0</v>
      </c>
      <c r="AI217" s="88" t="str">
        <f t="shared" si="31"/>
        <v>-</v>
      </c>
      <c r="AJ217" s="88" t="str">
        <f t="shared" si="32"/>
        <v>-</v>
      </c>
      <c r="AK217" t="e">
        <f t="shared" si="38"/>
        <v>#VALUE!</v>
      </c>
      <c r="AL217" t="e">
        <f t="shared" si="39"/>
        <v>#VALUE!</v>
      </c>
    </row>
    <row r="218" spans="1:38" x14ac:dyDescent="0.25">
      <c r="A218" s="4">
        <f>Raw!J219</f>
        <v>43</v>
      </c>
      <c r="B218" s="4" t="str">
        <f>Raw!K219</f>
        <v>Lewis Ave</v>
      </c>
      <c r="C218" s="4" t="str">
        <f>Raw!L219</f>
        <v>Chadbourne Ave</v>
      </c>
      <c r="D218" s="4" t="str">
        <f>Raw!M219</f>
        <v>Millbrae Ave</v>
      </c>
      <c r="E218" s="23" t="str">
        <f>Raw!CG219</f>
        <v>W</v>
      </c>
      <c r="F218" s="7">
        <f>Raw!T219</f>
        <v>8</v>
      </c>
      <c r="G218" s="7">
        <f>Raw!AL219</f>
        <v>4</v>
      </c>
      <c r="H218" s="7">
        <f>Raw!AC219</f>
        <v>3</v>
      </c>
      <c r="I218" s="7">
        <f t="shared" si="30"/>
        <v>7</v>
      </c>
      <c r="J218" s="157" t="str">
        <f>Raw!BT219</f>
        <v>NA</v>
      </c>
      <c r="K218" s="157" t="str">
        <f>Raw!AW219</f>
        <v>NA</v>
      </c>
      <c r="L218" s="42" t="str">
        <f>IF(Raw!CE219 = "NA", "-", Raw!CE219)</f>
        <v>-</v>
      </c>
      <c r="M218" s="42" t="str">
        <f>IF(Raw!BH219 = "NA", "-", Raw!BH219)</f>
        <v>-</v>
      </c>
      <c r="N218" s="46" t="str">
        <f>IF(Raw!CD219 = "NA", "-", Raw!CD219)</f>
        <v>-</v>
      </c>
      <c r="O218" s="46" t="str">
        <f>IF(Raw!BG219 = "NA", "-", Raw!BG219)</f>
        <v>-</v>
      </c>
      <c r="P218" s="32" t="str">
        <f>IF(Raw!AW219 = "NA", "-", SUMPRODUCT(Raw!$BT$2:$CC$2, Raw!BT219:CC219))</f>
        <v>-</v>
      </c>
      <c r="Q218" s="32" t="str">
        <f>IF(Raw!AW219 = "NA", "-", SUMPRODUCT(Raw!$AW$2:$BF$2, Raw!AW219:BF219))</f>
        <v>-</v>
      </c>
      <c r="R218" s="7" t="e" cm="1">
        <f t="array" ref="R218">_xlfn.IFS(S218="YES", "Hourly", T218="YES", "Flat Rate")</f>
        <v>#N/A</v>
      </c>
      <c r="S218" s="8" t="str">
        <f>IF(Raw!CO219=1, "YES", "")</f>
        <v/>
      </c>
      <c r="T218" s="8" t="str">
        <f>IF(Raw!CO219=2, "YES", "")</f>
        <v/>
      </c>
      <c r="U218" s="96" t="str">
        <f>IF(Raw!CP219=1, "YES", "")</f>
        <v/>
      </c>
      <c r="V218" s="96"/>
      <c r="X218" s="23">
        <f>SUMPRODUCT(Raw!$BT$3:$CC$3, Raw!BT219:CC219)</f>
        <v>0</v>
      </c>
      <c r="Y218" s="23">
        <f>SUMPRODUCT(Raw!$BT$3:$CC$3, Raw!BU219:CD219)</f>
        <v>0</v>
      </c>
      <c r="Z218" s="28">
        <f t="shared" si="33"/>
        <v>0</v>
      </c>
      <c r="AA218" s="28">
        <f t="shared" si="34"/>
        <v>0</v>
      </c>
      <c r="AC218">
        <f t="shared" si="35"/>
        <v>8</v>
      </c>
      <c r="AD218" s="23">
        <f>IF(U218="YES",SUMPRODUCT(Raw!$BT$3:$CC$3,Raw!BT219:CC219)*0.6,SUMPRODUCT(Raw!$BT$3:$CC$3,Raw!BT219:CC219))</f>
        <v>0</v>
      </c>
      <c r="AE218" s="23">
        <f>IF(U218="YES",SUMPRODUCT(Raw!$BT$3:$CC$3,Raw!BU219:CD219)*0.6,SUMPRODUCT(Raw!$BT$3:$CC$3,Raw!BU219:CD219))</f>
        <v>0</v>
      </c>
      <c r="AF218" s="28">
        <f t="shared" si="36"/>
        <v>0</v>
      </c>
      <c r="AG218" s="28">
        <f t="shared" si="37"/>
        <v>0</v>
      </c>
      <c r="AI218" s="88" t="str">
        <f t="shared" si="31"/>
        <v>-</v>
      </c>
      <c r="AJ218" s="88" t="str">
        <f t="shared" si="32"/>
        <v>-</v>
      </c>
      <c r="AK218" t="e">
        <f t="shared" si="38"/>
        <v>#VALUE!</v>
      </c>
      <c r="AL218" t="e">
        <f t="shared" si="39"/>
        <v>#VALUE!</v>
      </c>
    </row>
    <row r="219" spans="1:38" x14ac:dyDescent="0.25">
      <c r="A219" s="4">
        <f>Raw!J220</f>
        <v>245</v>
      </c>
      <c r="B219" s="4" t="str">
        <f>Raw!K220</f>
        <v>Millbrae Ave</v>
      </c>
      <c r="C219" s="4" t="str">
        <f>Raw!L220</f>
        <v>Lewis Ave</v>
      </c>
      <c r="D219" s="4" t="str">
        <f>Raw!M220</f>
        <v>Willow Ave</v>
      </c>
      <c r="E219" s="23" t="str">
        <f>Raw!CG220</f>
        <v>N</v>
      </c>
      <c r="F219" s="7">
        <f>Raw!T220</f>
        <v>7</v>
      </c>
      <c r="G219" s="7">
        <f>Raw!AL220</f>
        <v>0</v>
      </c>
      <c r="H219" s="7">
        <f>Raw!AC220</f>
        <v>1</v>
      </c>
      <c r="I219" s="7">
        <f t="shared" si="30"/>
        <v>1</v>
      </c>
      <c r="J219" s="157" t="str">
        <f>Raw!BT220</f>
        <v>NA</v>
      </c>
      <c r="K219" s="157" t="str">
        <f>Raw!AW220</f>
        <v>NA</v>
      </c>
      <c r="L219" s="42" t="str">
        <f>IF(Raw!CE220 = "NA", "-", Raw!CE220)</f>
        <v>-</v>
      </c>
      <c r="M219" s="42" t="str">
        <f>IF(Raw!BH220 = "NA", "-", Raw!BH220)</f>
        <v>-</v>
      </c>
      <c r="N219" s="46" t="str">
        <f>IF(Raw!CD220 = "NA", "-", Raw!CD220)</f>
        <v>-</v>
      </c>
      <c r="O219" s="46" t="str">
        <f>IF(Raw!BG220 = "NA", "-", Raw!BG220)</f>
        <v>-</v>
      </c>
      <c r="P219" s="32" t="str">
        <f>IF(Raw!AW220 = "NA", "-", SUMPRODUCT(Raw!$BT$2:$CC$2, Raw!BT220:CC220))</f>
        <v>-</v>
      </c>
      <c r="Q219" s="32" t="str">
        <f>IF(Raw!AW220 = "NA", "-", SUMPRODUCT(Raw!$AW$2:$BF$2, Raw!AW220:BF220))</f>
        <v>-</v>
      </c>
      <c r="R219" s="7" t="e" cm="1">
        <f t="array" ref="R219">_xlfn.IFS(S219="YES", "Hourly", T219="YES", "Flat Rate")</f>
        <v>#N/A</v>
      </c>
      <c r="S219" s="8" t="str">
        <f>IF(Raw!CO220=1, "YES", "")</f>
        <v/>
      </c>
      <c r="T219" s="8" t="str">
        <f>IF(Raw!CO220=2, "YES", "")</f>
        <v/>
      </c>
      <c r="U219" s="96" t="str">
        <f>IF(Raw!CP220=1, "YES", "")</f>
        <v/>
      </c>
      <c r="V219" s="96"/>
      <c r="X219" s="23">
        <f>SUMPRODUCT(Raw!$BT$3:$CC$3, Raw!BT220:CC220)</f>
        <v>0</v>
      </c>
      <c r="Y219" s="23">
        <f>SUMPRODUCT(Raw!$BT$3:$CC$3, Raw!BU220:CD220)</f>
        <v>0</v>
      </c>
      <c r="Z219" s="28">
        <f t="shared" si="33"/>
        <v>0</v>
      </c>
      <c r="AA219" s="28">
        <f t="shared" si="34"/>
        <v>0</v>
      </c>
      <c r="AC219">
        <f t="shared" si="35"/>
        <v>7</v>
      </c>
      <c r="AD219" s="23">
        <f>IF(U219="YES",SUMPRODUCT(Raw!$BT$3:$CC$3,Raw!BT220:CC220)*0.6,SUMPRODUCT(Raw!$BT$3:$CC$3,Raw!BT220:CC220))</f>
        <v>0</v>
      </c>
      <c r="AE219" s="23">
        <f>IF(U219="YES",SUMPRODUCT(Raw!$BT$3:$CC$3,Raw!BU220:CD220)*0.6,SUMPRODUCT(Raw!$BT$3:$CC$3,Raw!BU220:CD220))</f>
        <v>0</v>
      </c>
      <c r="AF219" s="28">
        <f t="shared" si="36"/>
        <v>0</v>
      </c>
      <c r="AG219" s="28">
        <f t="shared" si="37"/>
        <v>0</v>
      </c>
      <c r="AI219" s="88" t="str">
        <f t="shared" si="31"/>
        <v>-</v>
      </c>
      <c r="AJ219" s="88" t="str">
        <f t="shared" si="32"/>
        <v>-</v>
      </c>
      <c r="AK219" t="e">
        <f t="shared" si="38"/>
        <v>#VALUE!</v>
      </c>
      <c r="AL219" t="e">
        <f t="shared" si="39"/>
        <v>#VALUE!</v>
      </c>
    </row>
    <row r="220" spans="1:38" x14ac:dyDescent="0.25">
      <c r="A220" s="4">
        <f>Raw!J221</f>
        <v>44</v>
      </c>
      <c r="B220" s="4" t="str">
        <f>Raw!K221</f>
        <v>Lewis Ave</v>
      </c>
      <c r="C220" s="4" t="str">
        <f>Raw!L221</f>
        <v>Millbrae Ave</v>
      </c>
      <c r="D220" s="4" t="str">
        <f>Raw!M221</f>
        <v>Chadbourne Ave</v>
      </c>
      <c r="E220" s="23" t="str">
        <f>Raw!CG221</f>
        <v>E</v>
      </c>
      <c r="F220" s="7">
        <f>Raw!T221</f>
        <v>11</v>
      </c>
      <c r="G220" s="7">
        <f>Raw!AL221</f>
        <v>0</v>
      </c>
      <c r="H220" s="7">
        <f>Raw!AC221</f>
        <v>3</v>
      </c>
      <c r="I220" s="7">
        <f t="shared" si="30"/>
        <v>3</v>
      </c>
      <c r="J220" s="157" t="str">
        <f>Raw!BT221</f>
        <v>NA</v>
      </c>
      <c r="K220" s="157" t="str">
        <f>Raw!AW221</f>
        <v>NA</v>
      </c>
      <c r="L220" s="42" t="str">
        <f>IF(Raw!CE221 = "NA", "-", Raw!CE221)</f>
        <v>-</v>
      </c>
      <c r="M220" s="42" t="str">
        <f>IF(Raw!BH221 = "NA", "-", Raw!BH221)</f>
        <v>-</v>
      </c>
      <c r="N220" s="46" t="str">
        <f>IF(Raw!CD221 = "NA", "-", Raw!CD221)</f>
        <v>-</v>
      </c>
      <c r="O220" s="46" t="str">
        <f>IF(Raw!BG221 = "NA", "-", Raw!BG221)</f>
        <v>-</v>
      </c>
      <c r="P220" s="32" t="str">
        <f>IF(Raw!AW221 = "NA", "-", SUMPRODUCT(Raw!$BT$2:$CC$2, Raw!BT221:CC221))</f>
        <v>-</v>
      </c>
      <c r="Q220" s="32" t="str">
        <f>IF(Raw!AW221 = "NA", "-", SUMPRODUCT(Raw!$AW$2:$BF$2, Raw!AW221:BF221))</f>
        <v>-</v>
      </c>
      <c r="R220" s="7" t="e" cm="1">
        <f t="array" ref="R220">_xlfn.IFS(S220="YES", "Hourly", T220="YES", "Flat Rate")</f>
        <v>#N/A</v>
      </c>
      <c r="S220" s="8" t="str">
        <f>IF(Raw!CO221=1, "YES", "")</f>
        <v/>
      </c>
      <c r="T220" s="8" t="str">
        <f>IF(Raw!CO221=2, "YES", "")</f>
        <v/>
      </c>
      <c r="U220" s="96" t="str">
        <f>IF(Raw!CP221=1, "YES", "")</f>
        <v/>
      </c>
      <c r="V220" s="96"/>
      <c r="X220" s="23">
        <f>SUMPRODUCT(Raw!$BT$3:$CC$3, Raw!BT221:CC221)</f>
        <v>0</v>
      </c>
      <c r="Y220" s="23">
        <f>SUMPRODUCT(Raw!$BT$3:$CC$3, Raw!BU221:CD221)</f>
        <v>0</v>
      </c>
      <c r="Z220" s="28">
        <f t="shared" si="33"/>
        <v>0</v>
      </c>
      <c r="AA220" s="28">
        <f t="shared" si="34"/>
        <v>0</v>
      </c>
      <c r="AC220">
        <f t="shared" si="35"/>
        <v>11</v>
      </c>
      <c r="AD220" s="23">
        <f>IF(U220="YES",SUMPRODUCT(Raw!$BT$3:$CC$3,Raw!BT221:CC221)*0.6,SUMPRODUCT(Raw!$BT$3:$CC$3,Raw!BT221:CC221))</f>
        <v>0</v>
      </c>
      <c r="AE220" s="23">
        <f>IF(U220="YES",SUMPRODUCT(Raw!$BT$3:$CC$3,Raw!BU221:CD221)*0.6,SUMPRODUCT(Raw!$BT$3:$CC$3,Raw!BU221:CD221))</f>
        <v>0</v>
      </c>
      <c r="AF220" s="28">
        <f t="shared" si="36"/>
        <v>0</v>
      </c>
      <c r="AG220" s="28">
        <f t="shared" si="37"/>
        <v>0</v>
      </c>
      <c r="AI220" s="88" t="str">
        <f t="shared" si="31"/>
        <v>-</v>
      </c>
      <c r="AJ220" s="88" t="str">
        <f t="shared" si="32"/>
        <v>-</v>
      </c>
      <c r="AK220" t="e">
        <f t="shared" si="38"/>
        <v>#VALUE!</v>
      </c>
      <c r="AL220" t="e">
        <f t="shared" si="39"/>
        <v>#VALUE!</v>
      </c>
    </row>
    <row r="221" spans="1:38" x14ac:dyDescent="0.25">
      <c r="A221" s="4">
        <f>Raw!J222</f>
        <v>62</v>
      </c>
      <c r="B221" s="4" t="str">
        <f>Raw!K222</f>
        <v>Magnolia Ave</v>
      </c>
      <c r="C221" s="4" t="str">
        <f>Raw!L222</f>
        <v>Chadbourne Ave</v>
      </c>
      <c r="D221" s="4" t="str">
        <f>Raw!M222</f>
        <v>Millbrae Ave</v>
      </c>
      <c r="E221" s="23" t="str">
        <f>Raw!CG222</f>
        <v>W</v>
      </c>
      <c r="F221" s="7">
        <f>Raw!T222</f>
        <v>5</v>
      </c>
      <c r="G221" s="7">
        <f>Raw!AL222</f>
        <v>0</v>
      </c>
      <c r="H221" s="7">
        <f>Raw!AC222</f>
        <v>1</v>
      </c>
      <c r="I221" s="7">
        <f t="shared" si="30"/>
        <v>1</v>
      </c>
      <c r="J221" s="157" t="str">
        <f>Raw!BT222</f>
        <v>NA</v>
      </c>
      <c r="K221" s="157" t="str">
        <f>Raw!AW222</f>
        <v>NA</v>
      </c>
      <c r="L221" s="42" t="str">
        <f>IF(Raw!CE222 = "NA", "-", Raw!CE222)</f>
        <v>-</v>
      </c>
      <c r="M221" s="42" t="str">
        <f>IF(Raw!BH222 = "NA", "-", Raw!BH222)</f>
        <v>-</v>
      </c>
      <c r="N221" s="46" t="str">
        <f>IF(Raw!CD222 = "NA", "-", Raw!CD222)</f>
        <v>-</v>
      </c>
      <c r="O221" s="46" t="str">
        <f>IF(Raw!BG222 = "NA", "-", Raw!BG222)</f>
        <v>-</v>
      </c>
      <c r="P221" s="32" t="str">
        <f>IF(Raw!AW222 = "NA", "-", SUMPRODUCT(Raw!$BT$2:$CC$2, Raw!BT222:CC222))</f>
        <v>-</v>
      </c>
      <c r="Q221" s="32" t="str">
        <f>IF(Raw!AW222 = "NA", "-", SUMPRODUCT(Raw!$AW$2:$BF$2, Raw!AW222:BF222))</f>
        <v>-</v>
      </c>
      <c r="R221" s="7" t="e" cm="1">
        <f t="array" ref="R221">_xlfn.IFS(S221="YES", "Hourly", T221="YES", "Flat Rate")</f>
        <v>#N/A</v>
      </c>
      <c r="S221" s="8" t="str">
        <f>IF(Raw!CO222=1, "YES", "")</f>
        <v/>
      </c>
      <c r="T221" s="8" t="str">
        <f>IF(Raw!CO222=2, "YES", "")</f>
        <v/>
      </c>
      <c r="U221" s="96" t="str">
        <f>IF(Raw!CP222=1, "YES", "")</f>
        <v/>
      </c>
      <c r="V221" s="96"/>
      <c r="X221" s="23">
        <f>SUMPRODUCT(Raw!$BT$3:$CC$3, Raw!BT222:CC222)</f>
        <v>0</v>
      </c>
      <c r="Y221" s="23">
        <f>SUMPRODUCT(Raw!$BT$3:$CC$3, Raw!BU222:CD222)</f>
        <v>0</v>
      </c>
      <c r="Z221" s="28">
        <f t="shared" si="33"/>
        <v>0</v>
      </c>
      <c r="AA221" s="28">
        <f t="shared" si="34"/>
        <v>0</v>
      </c>
      <c r="AC221">
        <f t="shared" si="35"/>
        <v>5</v>
      </c>
      <c r="AD221" s="23">
        <f>IF(U221="YES",SUMPRODUCT(Raw!$BT$3:$CC$3,Raw!BT222:CC222)*0.6,SUMPRODUCT(Raw!$BT$3:$CC$3,Raw!BT222:CC222))</f>
        <v>0</v>
      </c>
      <c r="AE221" s="23">
        <f>IF(U221="YES",SUMPRODUCT(Raw!$BT$3:$CC$3,Raw!BU222:CD222)*0.6,SUMPRODUCT(Raw!$BT$3:$CC$3,Raw!BU222:CD222))</f>
        <v>0</v>
      </c>
      <c r="AF221" s="28">
        <f t="shared" si="36"/>
        <v>0</v>
      </c>
      <c r="AG221" s="28">
        <f t="shared" si="37"/>
        <v>0</v>
      </c>
      <c r="AI221" s="88" t="str">
        <f t="shared" si="31"/>
        <v>-</v>
      </c>
      <c r="AJ221" s="88" t="str">
        <f t="shared" si="32"/>
        <v>-</v>
      </c>
      <c r="AK221" t="e">
        <f t="shared" si="38"/>
        <v>#VALUE!</v>
      </c>
      <c r="AL221" t="e">
        <f t="shared" si="39"/>
        <v>#VALUE!</v>
      </c>
    </row>
    <row r="222" spans="1:38" x14ac:dyDescent="0.25">
      <c r="A222" s="4">
        <f>Raw!J223</f>
        <v>246</v>
      </c>
      <c r="B222" s="4" t="str">
        <f>Raw!K223</f>
        <v>Millbrae Ave</v>
      </c>
      <c r="C222" s="4" t="str">
        <f>Raw!L223</f>
        <v>Magnolia Ave</v>
      </c>
      <c r="D222" s="4" t="str">
        <f>Raw!M223</f>
        <v>Lewis Ave</v>
      </c>
      <c r="E222" s="23" t="str">
        <f>Raw!CG223</f>
        <v>N</v>
      </c>
      <c r="F222" s="7">
        <f>Raw!T223</f>
        <v>7</v>
      </c>
      <c r="G222" s="7">
        <f>Raw!AL223</f>
        <v>0</v>
      </c>
      <c r="H222" s="7">
        <f>Raw!AC223</f>
        <v>0</v>
      </c>
      <c r="I222" s="7">
        <f t="shared" si="30"/>
        <v>0</v>
      </c>
      <c r="J222" s="157" t="str">
        <f>Raw!BT223</f>
        <v>NA</v>
      </c>
      <c r="K222" s="157" t="str">
        <f>Raw!AW223</f>
        <v>NA</v>
      </c>
      <c r="L222" s="42" t="str">
        <f>IF(Raw!CE223 = "NA", "-", Raw!CE223)</f>
        <v>-</v>
      </c>
      <c r="M222" s="42" t="str">
        <f>IF(Raw!BH223 = "NA", "-", Raw!BH223)</f>
        <v>-</v>
      </c>
      <c r="N222" s="46" t="str">
        <f>IF(Raw!CD223 = "NA", "-", Raw!CD223)</f>
        <v>-</v>
      </c>
      <c r="O222" s="46" t="str">
        <f>IF(Raw!BG223 = "NA", "-", Raw!BG223)</f>
        <v>-</v>
      </c>
      <c r="P222" s="32" t="str">
        <f>IF(Raw!AW223 = "NA", "-", SUMPRODUCT(Raw!$BT$2:$CC$2, Raw!BT223:CC223))</f>
        <v>-</v>
      </c>
      <c r="Q222" s="32" t="str">
        <f>IF(Raw!AW223 = "NA", "-", SUMPRODUCT(Raw!$AW$2:$BF$2, Raw!AW223:BF223))</f>
        <v>-</v>
      </c>
      <c r="R222" s="7" t="e" cm="1">
        <f t="array" ref="R222">_xlfn.IFS(S222="YES", "Hourly", T222="YES", "Flat Rate")</f>
        <v>#N/A</v>
      </c>
      <c r="S222" s="8" t="str">
        <f>IF(Raw!CO223=1, "YES", "")</f>
        <v/>
      </c>
      <c r="T222" s="8" t="str">
        <f>IF(Raw!CO223=2, "YES", "")</f>
        <v/>
      </c>
      <c r="U222" s="96" t="str">
        <f>IF(Raw!CP223=1, "YES", "")</f>
        <v/>
      </c>
      <c r="V222" s="96"/>
      <c r="X222" s="23">
        <f>SUMPRODUCT(Raw!$BT$3:$CC$3, Raw!BT223:CC223)</f>
        <v>0</v>
      </c>
      <c r="Y222" s="23">
        <f>SUMPRODUCT(Raw!$BT$3:$CC$3, Raw!BU223:CD223)</f>
        <v>0</v>
      </c>
      <c r="Z222" s="28">
        <f t="shared" si="33"/>
        <v>0</v>
      </c>
      <c r="AA222" s="28">
        <f t="shared" si="34"/>
        <v>0</v>
      </c>
      <c r="AC222">
        <f t="shared" si="35"/>
        <v>7</v>
      </c>
      <c r="AD222" s="23">
        <f>IF(U222="YES",SUMPRODUCT(Raw!$BT$3:$CC$3,Raw!BT223:CC223)*0.6,SUMPRODUCT(Raw!$BT$3:$CC$3,Raw!BT223:CC223))</f>
        <v>0</v>
      </c>
      <c r="AE222" s="23">
        <f>IF(U222="YES",SUMPRODUCT(Raw!$BT$3:$CC$3,Raw!BU223:CD223)*0.6,SUMPRODUCT(Raw!$BT$3:$CC$3,Raw!BU223:CD223))</f>
        <v>0</v>
      </c>
      <c r="AF222" s="28">
        <f t="shared" si="36"/>
        <v>0</v>
      </c>
      <c r="AG222" s="28">
        <f t="shared" si="37"/>
        <v>0</v>
      </c>
      <c r="AI222" s="88" t="str">
        <f t="shared" si="31"/>
        <v>-</v>
      </c>
      <c r="AJ222" s="88" t="str">
        <f t="shared" si="32"/>
        <v>-</v>
      </c>
      <c r="AK222" t="e">
        <f t="shared" si="38"/>
        <v>#VALUE!</v>
      </c>
      <c r="AL222" t="e">
        <f t="shared" si="39"/>
        <v>#VALUE!</v>
      </c>
    </row>
    <row r="223" spans="1:38" x14ac:dyDescent="0.25">
      <c r="A223" s="4">
        <f>Raw!J224</f>
        <v>63</v>
      </c>
      <c r="B223" s="4" t="str">
        <f>Raw!K224</f>
        <v>Magnolia Ave</v>
      </c>
      <c r="C223" s="4" t="str">
        <f>Raw!L224</f>
        <v>Millbrae Ave</v>
      </c>
      <c r="D223" s="4" t="str">
        <f>Raw!M224</f>
        <v>Chadbourne Ave</v>
      </c>
      <c r="E223" s="23" t="str">
        <f>Raw!CG224</f>
        <v>E</v>
      </c>
      <c r="F223" s="7">
        <f>Raw!T224</f>
        <v>9</v>
      </c>
      <c r="G223" s="7">
        <f>Raw!AL224</f>
        <v>0</v>
      </c>
      <c r="H223" s="7">
        <f>Raw!AC224</f>
        <v>1</v>
      </c>
      <c r="I223" s="7">
        <f t="shared" si="30"/>
        <v>1</v>
      </c>
      <c r="J223" s="157" t="str">
        <f>Raw!BT224</f>
        <v>NA</v>
      </c>
      <c r="K223" s="157" t="str">
        <f>Raw!AW224</f>
        <v>NA</v>
      </c>
      <c r="L223" s="42" t="str">
        <f>IF(Raw!CE224 = "NA", "-", Raw!CE224)</f>
        <v>-</v>
      </c>
      <c r="M223" s="42" t="str">
        <f>IF(Raw!BH224 = "NA", "-", Raw!BH224)</f>
        <v>-</v>
      </c>
      <c r="N223" s="46" t="str">
        <f>IF(Raw!CD224 = "NA", "-", Raw!CD224)</f>
        <v>-</v>
      </c>
      <c r="O223" s="46" t="str">
        <f>IF(Raw!BG224 = "NA", "-", Raw!BG224)</f>
        <v>-</v>
      </c>
      <c r="P223" s="32" t="str">
        <f>IF(Raw!AW224 = "NA", "-", SUMPRODUCT(Raw!$BT$2:$CC$2, Raw!BT224:CC224))</f>
        <v>-</v>
      </c>
      <c r="Q223" s="32" t="str">
        <f>IF(Raw!AW224 = "NA", "-", SUMPRODUCT(Raw!$AW$2:$BF$2, Raw!AW224:BF224))</f>
        <v>-</v>
      </c>
      <c r="R223" s="7" t="e" cm="1">
        <f t="array" ref="R223">_xlfn.IFS(S223="YES", "Hourly", T223="YES", "Flat Rate")</f>
        <v>#N/A</v>
      </c>
      <c r="S223" s="8" t="str">
        <f>IF(Raw!CO224=1, "YES", "")</f>
        <v/>
      </c>
      <c r="T223" s="8" t="str">
        <f>IF(Raw!CO224=2, "YES", "")</f>
        <v/>
      </c>
      <c r="U223" s="96" t="str">
        <f>IF(Raw!CP224=1, "YES", "")</f>
        <v/>
      </c>
      <c r="V223" s="96"/>
      <c r="X223" s="23">
        <f>SUMPRODUCT(Raw!$BT$3:$CC$3, Raw!BT224:CC224)</f>
        <v>0</v>
      </c>
      <c r="Y223" s="23">
        <f>SUMPRODUCT(Raw!$BT$3:$CC$3, Raw!BU224:CD224)</f>
        <v>0</v>
      </c>
      <c r="Z223" s="28">
        <f t="shared" si="33"/>
        <v>0</v>
      </c>
      <c r="AA223" s="28">
        <f t="shared" si="34"/>
        <v>0</v>
      </c>
      <c r="AC223">
        <f t="shared" si="35"/>
        <v>9</v>
      </c>
      <c r="AD223" s="23">
        <f>IF(U223="YES",SUMPRODUCT(Raw!$BT$3:$CC$3,Raw!BT224:CC224)*0.6,SUMPRODUCT(Raw!$BT$3:$CC$3,Raw!BT224:CC224))</f>
        <v>0</v>
      </c>
      <c r="AE223" s="23">
        <f>IF(U223="YES",SUMPRODUCT(Raw!$BT$3:$CC$3,Raw!BU224:CD224)*0.6,SUMPRODUCT(Raw!$BT$3:$CC$3,Raw!BU224:CD224))</f>
        <v>0</v>
      </c>
      <c r="AF223" s="28">
        <f t="shared" si="36"/>
        <v>0</v>
      </c>
      <c r="AG223" s="28">
        <f t="shared" si="37"/>
        <v>0</v>
      </c>
      <c r="AI223" s="88" t="str">
        <f t="shared" si="31"/>
        <v>-</v>
      </c>
      <c r="AJ223" s="88" t="str">
        <f t="shared" si="32"/>
        <v>-</v>
      </c>
      <c r="AK223" t="e">
        <f t="shared" si="38"/>
        <v>#VALUE!</v>
      </c>
      <c r="AL223" t="e">
        <f t="shared" si="39"/>
        <v>#VALUE!</v>
      </c>
    </row>
    <row r="224" spans="1:38" x14ac:dyDescent="0.25">
      <c r="A224" s="4">
        <f>Raw!J225</f>
        <v>94</v>
      </c>
      <c r="B224" s="4" t="str">
        <f>Raw!K225</f>
        <v>Broadway</v>
      </c>
      <c r="C224" s="4" t="str">
        <f>Raw!L225</f>
        <v>Chadbourne Ave</v>
      </c>
      <c r="D224" s="4" t="str">
        <f>Raw!M225</f>
        <v>Millbrae Ave</v>
      </c>
      <c r="E224" s="23" t="str">
        <f>Raw!CG225</f>
        <v>W</v>
      </c>
      <c r="F224" s="7">
        <f>Raw!T225</f>
        <v>13</v>
      </c>
      <c r="G224" s="7">
        <f>Raw!AL225</f>
        <v>2</v>
      </c>
      <c r="H224" s="7">
        <f>Raw!AC225</f>
        <v>4</v>
      </c>
      <c r="I224" s="7">
        <f t="shared" si="30"/>
        <v>6</v>
      </c>
      <c r="J224" s="157" t="str">
        <f>Raw!BT225</f>
        <v>NA</v>
      </c>
      <c r="K224" s="157" t="str">
        <f>Raw!AW225</f>
        <v>NA</v>
      </c>
      <c r="L224" s="42" t="str">
        <f>IF(Raw!CE225 = "NA", "-", Raw!CE225)</f>
        <v>-</v>
      </c>
      <c r="M224" s="42" t="str">
        <f>IF(Raw!BH225 = "NA", "-", Raw!BH225)</f>
        <v>-</v>
      </c>
      <c r="N224" s="46" t="str">
        <f>IF(Raw!CD225 = "NA", "-", Raw!CD225)</f>
        <v>-</v>
      </c>
      <c r="O224" s="46" t="str">
        <f>IF(Raw!BG225 = "NA", "-", Raw!BG225)</f>
        <v>-</v>
      </c>
      <c r="P224" s="32" t="str">
        <f>IF(Raw!AW225 = "NA", "-", SUMPRODUCT(Raw!$BT$2:$CC$2, Raw!BT225:CC225))</f>
        <v>-</v>
      </c>
      <c r="Q224" s="32" t="str">
        <f>IF(Raw!AW225 = "NA", "-", SUMPRODUCT(Raw!$AW$2:$BF$2, Raw!AW225:BF225))</f>
        <v>-</v>
      </c>
      <c r="R224" s="7" t="e" cm="1">
        <f t="array" ref="R224">_xlfn.IFS(S224="YES", "Hourly", T224="YES", "Flat Rate")</f>
        <v>#N/A</v>
      </c>
      <c r="S224" s="8" t="str">
        <f>IF(Raw!CO225=1, "YES", "")</f>
        <v/>
      </c>
      <c r="T224" s="8" t="str">
        <f>IF(Raw!CO225=2, "YES", "")</f>
        <v/>
      </c>
      <c r="U224" s="96" t="str">
        <f>IF(Raw!CP225=1, "YES", "")</f>
        <v/>
      </c>
      <c r="V224" s="96"/>
      <c r="X224" s="23">
        <f>SUMPRODUCT(Raw!$BT$3:$CC$3, Raw!BT225:CC225)</f>
        <v>0</v>
      </c>
      <c r="Y224" s="23">
        <f>SUMPRODUCT(Raw!$BT$3:$CC$3, Raw!BU225:CD225)</f>
        <v>0</v>
      </c>
      <c r="Z224" s="28">
        <f t="shared" si="33"/>
        <v>0</v>
      </c>
      <c r="AA224" s="28">
        <f t="shared" si="34"/>
        <v>0</v>
      </c>
      <c r="AC224">
        <f t="shared" si="35"/>
        <v>13</v>
      </c>
      <c r="AD224" s="23">
        <f>IF(U224="YES",SUMPRODUCT(Raw!$BT$3:$CC$3,Raw!BT225:CC225)*0.6,SUMPRODUCT(Raw!$BT$3:$CC$3,Raw!BT225:CC225))</f>
        <v>0</v>
      </c>
      <c r="AE224" s="23">
        <f>IF(U224="YES",SUMPRODUCT(Raw!$BT$3:$CC$3,Raw!BU225:CD225)*0.6,SUMPRODUCT(Raw!$BT$3:$CC$3,Raw!BU225:CD225))</f>
        <v>0</v>
      </c>
      <c r="AF224" s="28">
        <f t="shared" si="36"/>
        <v>0</v>
      </c>
      <c r="AG224" s="28">
        <f t="shared" si="37"/>
        <v>0</v>
      </c>
      <c r="AI224" s="88" t="str">
        <f t="shared" si="31"/>
        <v>-</v>
      </c>
      <c r="AJ224" s="88" t="str">
        <f t="shared" si="32"/>
        <v>-</v>
      </c>
      <c r="AK224" t="e">
        <f t="shared" si="38"/>
        <v>#VALUE!</v>
      </c>
      <c r="AL224" t="e">
        <f t="shared" si="39"/>
        <v>#VALUE!</v>
      </c>
    </row>
    <row r="225" spans="1:38" x14ac:dyDescent="0.25">
      <c r="A225" s="4">
        <f>Raw!J226</f>
        <v>248</v>
      </c>
      <c r="B225" s="4" t="str">
        <f>Raw!K226</f>
        <v>Millbrae Ave</v>
      </c>
      <c r="C225" s="4" t="str">
        <f>Raw!L226</f>
        <v>Broadway</v>
      </c>
      <c r="D225" s="4" t="str">
        <f>Raw!M226</f>
        <v>Magnolia Ave</v>
      </c>
      <c r="E225" s="23" t="str">
        <f>Raw!CG226</f>
        <v>N</v>
      </c>
      <c r="F225" s="7">
        <f>Raw!T226</f>
        <v>0</v>
      </c>
      <c r="G225" s="7">
        <f>Raw!AL226</f>
        <v>0</v>
      </c>
      <c r="H225" s="7">
        <f>Raw!AC226</f>
        <v>0</v>
      </c>
      <c r="I225" s="7">
        <f t="shared" si="30"/>
        <v>0</v>
      </c>
      <c r="J225" s="157">
        <f>Raw!BT226</f>
        <v>0</v>
      </c>
      <c r="K225" s="157">
        <f>Raw!AW226</f>
        <v>0</v>
      </c>
      <c r="L225" s="42">
        <f>IF(Raw!CE226 = "NA", "-", Raw!CE226)</f>
        <v>0</v>
      </c>
      <c r="M225" s="42">
        <f>IF(Raw!BH226 = "NA", "-", Raw!BH226)</f>
        <v>0</v>
      </c>
      <c r="N225" s="46">
        <f>IF(Raw!CD226 = "NA", "-", Raw!CD226)</f>
        <v>0</v>
      </c>
      <c r="O225" s="46">
        <f>IF(Raw!BG226 = "NA", "-", Raw!BG226)</f>
        <v>0</v>
      </c>
      <c r="P225" s="32">
        <f>IF(Raw!AW226 = "NA", "-", SUMPRODUCT(Raw!$BT$2:$CC$2, Raw!BT226:CC226))</f>
        <v>0</v>
      </c>
      <c r="Q225" s="32">
        <f>IF(Raw!AW226 = "NA", "-", SUMPRODUCT(Raw!$AW$2:$BF$2, Raw!AW226:BF226))</f>
        <v>0</v>
      </c>
      <c r="R225" s="7" t="e" cm="1">
        <f t="array" ref="R225">_xlfn.IFS(S225="YES", "Hourly", T225="YES", "Flat Rate")</f>
        <v>#N/A</v>
      </c>
      <c r="S225" s="8" t="str">
        <f>IF(Raw!CO226=1, "YES", "")</f>
        <v/>
      </c>
      <c r="T225" s="8" t="str">
        <f>IF(Raw!CO226=2, "YES", "")</f>
        <v/>
      </c>
      <c r="U225" s="96" t="str">
        <f>IF(Raw!CP226=1, "YES", "")</f>
        <v/>
      </c>
      <c r="V225" s="96"/>
      <c r="X225" s="23">
        <f>SUMPRODUCT(Raw!$BT$3:$CC$3, Raw!BT226:CC226)</f>
        <v>0</v>
      </c>
      <c r="Y225" s="23">
        <f>SUMPRODUCT(Raw!$BT$3:$CC$3, Raw!BU226:CD226)</f>
        <v>0</v>
      </c>
      <c r="Z225" s="28">
        <f t="shared" si="33"/>
        <v>0</v>
      </c>
      <c r="AA225" s="28">
        <f t="shared" si="34"/>
        <v>0</v>
      </c>
      <c r="AC225">
        <f t="shared" si="35"/>
        <v>0</v>
      </c>
      <c r="AD225" s="23">
        <f>IF(U225="YES",SUMPRODUCT(Raw!$BT$3:$CC$3,Raw!BT226:CC226)*0.6,SUMPRODUCT(Raw!$BT$3:$CC$3,Raw!BT226:CC226))</f>
        <v>0</v>
      </c>
      <c r="AE225" s="23">
        <f>IF(U225="YES",SUMPRODUCT(Raw!$BT$3:$CC$3,Raw!BU226:CD226)*0.6,SUMPRODUCT(Raw!$BT$3:$CC$3,Raw!BU226:CD226))</f>
        <v>0</v>
      </c>
      <c r="AF225" s="28">
        <f t="shared" si="36"/>
        <v>0</v>
      </c>
      <c r="AG225" s="28">
        <f t="shared" si="37"/>
        <v>0</v>
      </c>
      <c r="AI225" s="88">
        <f t="shared" si="31"/>
        <v>0</v>
      </c>
      <c r="AJ225" s="88">
        <f t="shared" si="32"/>
        <v>0</v>
      </c>
      <c r="AK225">
        <f t="shared" si="38"/>
        <v>0</v>
      </c>
      <c r="AL225">
        <f t="shared" si="39"/>
        <v>0</v>
      </c>
    </row>
    <row r="226" spans="1:38" x14ac:dyDescent="0.25">
      <c r="A226" s="4">
        <f>Raw!J227</f>
        <v>249</v>
      </c>
      <c r="B226" s="4" t="str">
        <f>Raw!K227</f>
        <v>Millbrae Ave</v>
      </c>
      <c r="C226" s="4" t="str">
        <f>Raw!L227</f>
        <v>Magnolia Ave</v>
      </c>
      <c r="D226" s="4" t="str">
        <f>Raw!M227</f>
        <v>Broadway</v>
      </c>
      <c r="E226" s="23" t="str">
        <f>Raw!CG227</f>
        <v>S</v>
      </c>
      <c r="F226" s="7">
        <f>Raw!T227</f>
        <v>0</v>
      </c>
      <c r="G226" s="7">
        <f>Raw!AL227</f>
        <v>0</v>
      </c>
      <c r="H226" s="7">
        <f>Raw!AC227</f>
        <v>0</v>
      </c>
      <c r="I226" s="7">
        <f t="shared" si="30"/>
        <v>0</v>
      </c>
      <c r="J226" s="157">
        <f>Raw!BT227</f>
        <v>0</v>
      </c>
      <c r="K226" s="157">
        <f>Raw!AW227</f>
        <v>0</v>
      </c>
      <c r="L226" s="42">
        <f>IF(Raw!CE227 = "NA", "-", Raw!CE227)</f>
        <v>0</v>
      </c>
      <c r="M226" s="42">
        <f>IF(Raw!BH227 = "NA", "-", Raw!BH227)</f>
        <v>0</v>
      </c>
      <c r="N226" s="46">
        <f>IF(Raw!CD227 = "NA", "-", Raw!CD227)</f>
        <v>0</v>
      </c>
      <c r="O226" s="46">
        <f>IF(Raw!BG227 = "NA", "-", Raw!BG227)</f>
        <v>0</v>
      </c>
      <c r="P226" s="32">
        <f>IF(Raw!AW227 = "NA", "-", SUMPRODUCT(Raw!$BT$2:$CC$2, Raw!BT227:CC227))</f>
        <v>0</v>
      </c>
      <c r="Q226" s="32">
        <f>IF(Raw!AW227 = "NA", "-", SUMPRODUCT(Raw!$AW$2:$BF$2, Raw!AW227:BF227))</f>
        <v>0</v>
      </c>
      <c r="R226" s="7" t="e" cm="1">
        <f t="array" ref="R226">_xlfn.IFS(S226="YES", "Hourly", T226="YES", "Flat Rate")</f>
        <v>#N/A</v>
      </c>
      <c r="S226" s="8" t="str">
        <f>IF(Raw!CO227=1, "YES", "")</f>
        <v/>
      </c>
      <c r="T226" s="8" t="str">
        <f>IF(Raw!CO227=2, "YES", "")</f>
        <v/>
      </c>
      <c r="U226" s="96" t="str">
        <f>IF(Raw!CP227=1, "YES", "")</f>
        <v/>
      </c>
      <c r="V226" s="96"/>
      <c r="X226" s="23">
        <f>SUMPRODUCT(Raw!$BT$3:$CC$3, Raw!BT227:CC227)</f>
        <v>0</v>
      </c>
      <c r="Y226" s="23">
        <f>SUMPRODUCT(Raw!$BT$3:$CC$3, Raw!BU227:CD227)</f>
        <v>0</v>
      </c>
      <c r="Z226" s="28">
        <f t="shared" si="33"/>
        <v>0</v>
      </c>
      <c r="AA226" s="28">
        <f t="shared" si="34"/>
        <v>0</v>
      </c>
      <c r="AC226">
        <f t="shared" si="35"/>
        <v>0</v>
      </c>
      <c r="AD226" s="23">
        <f>IF(U226="YES",SUMPRODUCT(Raw!$BT$3:$CC$3,Raw!BT227:CC227)*0.6,SUMPRODUCT(Raw!$BT$3:$CC$3,Raw!BT227:CC227))</f>
        <v>0</v>
      </c>
      <c r="AE226" s="23">
        <f>IF(U226="YES",SUMPRODUCT(Raw!$BT$3:$CC$3,Raw!BU227:CD227)*0.6,SUMPRODUCT(Raw!$BT$3:$CC$3,Raw!BU227:CD227))</f>
        <v>0</v>
      </c>
      <c r="AF226" s="28">
        <f t="shared" si="36"/>
        <v>0</v>
      </c>
      <c r="AG226" s="28">
        <f t="shared" si="37"/>
        <v>0</v>
      </c>
      <c r="AI226" s="88">
        <f t="shared" si="31"/>
        <v>0</v>
      </c>
      <c r="AJ226" s="88">
        <f t="shared" si="32"/>
        <v>0</v>
      </c>
      <c r="AK226">
        <f t="shared" si="38"/>
        <v>0</v>
      </c>
      <c r="AL226">
        <f t="shared" si="39"/>
        <v>0</v>
      </c>
    </row>
    <row r="227" spans="1:38" x14ac:dyDescent="0.25">
      <c r="A227" s="4">
        <f>Raw!J228</f>
        <v>95</v>
      </c>
      <c r="B227" s="4" t="str">
        <f>Raw!K228</f>
        <v>Broadway</v>
      </c>
      <c r="C227" s="4" t="str">
        <f>Raw!L228</f>
        <v>Millbrae Ave</v>
      </c>
      <c r="D227" s="4" t="str">
        <f>Raw!M228</f>
        <v>Chadbourne Ave</v>
      </c>
      <c r="E227" s="23" t="str">
        <f>Raw!CG228</f>
        <v>E</v>
      </c>
      <c r="F227" s="7">
        <f>Raw!T228</f>
        <v>15</v>
      </c>
      <c r="G227" s="7">
        <f>Raw!AL228</f>
        <v>2</v>
      </c>
      <c r="H227" s="7">
        <f>Raw!AC228</f>
        <v>4</v>
      </c>
      <c r="I227" s="7">
        <f t="shared" si="30"/>
        <v>6</v>
      </c>
      <c r="J227" s="157" t="str">
        <f>Raw!BT228</f>
        <v>NA</v>
      </c>
      <c r="K227" s="157" t="str">
        <f>Raw!AW228</f>
        <v>NA</v>
      </c>
      <c r="L227" s="42" t="str">
        <f>IF(Raw!CE228 = "NA", "-", Raw!CE228)</f>
        <v>-</v>
      </c>
      <c r="M227" s="42" t="str">
        <f>IF(Raw!BH228 = "NA", "-", Raw!BH228)</f>
        <v>-</v>
      </c>
      <c r="N227" s="46" t="str">
        <f>IF(Raw!CD228 = "NA", "-", Raw!CD228)</f>
        <v>-</v>
      </c>
      <c r="O227" s="46" t="str">
        <f>IF(Raw!BG228 = "NA", "-", Raw!BG228)</f>
        <v>-</v>
      </c>
      <c r="P227" s="32" t="str">
        <f>IF(Raw!AW228 = "NA", "-", SUMPRODUCT(Raw!$BT$2:$CC$2, Raw!BT228:CC228))</f>
        <v>-</v>
      </c>
      <c r="Q227" s="32" t="str">
        <f>IF(Raw!AW228 = "NA", "-", SUMPRODUCT(Raw!$AW$2:$BF$2, Raw!AW228:BF228))</f>
        <v>-</v>
      </c>
      <c r="R227" s="7" t="e" cm="1">
        <f t="array" ref="R227">_xlfn.IFS(S227="YES", "Hourly", T227="YES", "Flat Rate")</f>
        <v>#N/A</v>
      </c>
      <c r="S227" s="8" t="str">
        <f>IF(Raw!CO228=1, "YES", "")</f>
        <v/>
      </c>
      <c r="T227" s="8" t="str">
        <f>IF(Raw!CO228=2, "YES", "")</f>
        <v/>
      </c>
      <c r="U227" s="96" t="str">
        <f>IF(Raw!CP228=1, "YES", "")</f>
        <v/>
      </c>
      <c r="V227" s="96"/>
      <c r="X227" s="23">
        <f>SUMPRODUCT(Raw!$BT$3:$CC$3, Raw!BT228:CC228)</f>
        <v>0</v>
      </c>
      <c r="Y227" s="23">
        <f>SUMPRODUCT(Raw!$BT$3:$CC$3, Raw!BU228:CD228)</f>
        <v>0</v>
      </c>
      <c r="Z227" s="28">
        <f t="shared" si="33"/>
        <v>0</v>
      </c>
      <c r="AA227" s="28">
        <f t="shared" si="34"/>
        <v>0</v>
      </c>
      <c r="AC227">
        <f t="shared" si="35"/>
        <v>15</v>
      </c>
      <c r="AD227" s="23">
        <f>IF(U227="YES",SUMPRODUCT(Raw!$BT$3:$CC$3,Raw!BT228:CC228)*0.6,SUMPRODUCT(Raw!$BT$3:$CC$3,Raw!BT228:CC228))</f>
        <v>0</v>
      </c>
      <c r="AE227" s="23">
        <f>IF(U227="YES",SUMPRODUCT(Raw!$BT$3:$CC$3,Raw!BU228:CD228)*0.6,SUMPRODUCT(Raw!$BT$3:$CC$3,Raw!BU228:CD228))</f>
        <v>0</v>
      </c>
      <c r="AF227" s="28">
        <f t="shared" si="36"/>
        <v>0</v>
      </c>
      <c r="AG227" s="28">
        <f t="shared" si="37"/>
        <v>0</v>
      </c>
      <c r="AI227" s="88" t="str">
        <f t="shared" si="31"/>
        <v>-</v>
      </c>
      <c r="AJ227" s="88" t="str">
        <f t="shared" si="32"/>
        <v>-</v>
      </c>
      <c r="AK227" t="e">
        <f t="shared" si="38"/>
        <v>#VALUE!</v>
      </c>
      <c r="AL227" t="e">
        <f t="shared" si="39"/>
        <v>#VALUE!</v>
      </c>
    </row>
    <row r="228" spans="1:38" x14ac:dyDescent="0.25">
      <c r="A228" s="4">
        <f>Raw!J229</f>
        <v>250</v>
      </c>
      <c r="B228" s="4" t="str">
        <f>Raw!K229</f>
        <v>Millbrae Ave</v>
      </c>
      <c r="C228" s="4" t="str">
        <f>Raw!L229</f>
        <v>El Camino Real</v>
      </c>
      <c r="D228" s="4" t="str">
        <f>Raw!M229</f>
        <v>Broadway</v>
      </c>
      <c r="E228" s="23" t="str">
        <f>Raw!CG229</f>
        <v>N</v>
      </c>
      <c r="F228" s="7">
        <f>Raw!T229</f>
        <v>0</v>
      </c>
      <c r="G228" s="7">
        <f>Raw!AL229</f>
        <v>0</v>
      </c>
      <c r="H228" s="7">
        <f>Raw!AC229</f>
        <v>0</v>
      </c>
      <c r="I228" s="7">
        <f t="shared" si="30"/>
        <v>0</v>
      </c>
      <c r="J228" s="157">
        <f>Raw!BT229</f>
        <v>0</v>
      </c>
      <c r="K228" s="157">
        <f>Raw!AW229</f>
        <v>0</v>
      </c>
      <c r="L228" s="42">
        <f>IF(Raw!CE229 = "NA", "-", Raw!CE229)</f>
        <v>0</v>
      </c>
      <c r="M228" s="42">
        <f>IF(Raw!BH229 = "NA", "-", Raw!BH229)</f>
        <v>0</v>
      </c>
      <c r="N228" s="46">
        <f>IF(Raw!CD229 = "NA", "-", Raw!CD229)</f>
        <v>0</v>
      </c>
      <c r="O228" s="46">
        <f>IF(Raw!BG229 = "NA", "-", Raw!BG229)</f>
        <v>0</v>
      </c>
      <c r="P228" s="32">
        <f>IF(Raw!AW229 = "NA", "-", SUMPRODUCT(Raw!$BT$2:$CC$2, Raw!BT229:CC229))</f>
        <v>0</v>
      </c>
      <c r="Q228" s="32">
        <f>IF(Raw!AW229 = "NA", "-", SUMPRODUCT(Raw!$AW$2:$BF$2, Raw!AW229:BF229))</f>
        <v>0</v>
      </c>
      <c r="R228" s="7" t="e" cm="1">
        <f t="array" ref="R228">_xlfn.IFS(S228="YES", "Hourly", T228="YES", "Flat Rate")</f>
        <v>#N/A</v>
      </c>
      <c r="S228" s="8" t="str">
        <f>IF(Raw!CO229=1, "YES", "")</f>
        <v/>
      </c>
      <c r="T228" s="8" t="str">
        <f>IF(Raw!CO229=2, "YES", "")</f>
        <v/>
      </c>
      <c r="U228" s="96" t="str">
        <f>IF(Raw!CP229=1, "YES", "")</f>
        <v/>
      </c>
      <c r="V228" s="96"/>
      <c r="X228" s="23">
        <f>SUMPRODUCT(Raw!$BT$3:$CC$3, Raw!BT229:CC229)</f>
        <v>0</v>
      </c>
      <c r="Y228" s="23">
        <f>SUMPRODUCT(Raw!$BT$3:$CC$3, Raw!BU229:CD229)</f>
        <v>0</v>
      </c>
      <c r="Z228" s="28">
        <f t="shared" si="33"/>
        <v>0</v>
      </c>
      <c r="AA228" s="28">
        <f t="shared" si="34"/>
        <v>0</v>
      </c>
      <c r="AC228">
        <f t="shared" si="35"/>
        <v>0</v>
      </c>
      <c r="AD228" s="23">
        <f>IF(U228="YES",SUMPRODUCT(Raw!$BT$3:$CC$3,Raw!BT229:CC229)*0.6,SUMPRODUCT(Raw!$BT$3:$CC$3,Raw!BT229:CC229))</f>
        <v>0</v>
      </c>
      <c r="AE228" s="23">
        <f>IF(U228="YES",SUMPRODUCT(Raw!$BT$3:$CC$3,Raw!BU229:CD229)*0.6,SUMPRODUCT(Raw!$BT$3:$CC$3,Raw!BU229:CD229))</f>
        <v>0</v>
      </c>
      <c r="AF228" s="28">
        <f t="shared" si="36"/>
        <v>0</v>
      </c>
      <c r="AG228" s="28">
        <f t="shared" si="37"/>
        <v>0</v>
      </c>
      <c r="AI228" s="88">
        <f t="shared" si="31"/>
        <v>0</v>
      </c>
      <c r="AJ228" s="88">
        <f t="shared" si="32"/>
        <v>0</v>
      </c>
      <c r="AK228">
        <f t="shared" si="38"/>
        <v>0</v>
      </c>
      <c r="AL228">
        <f t="shared" si="39"/>
        <v>0</v>
      </c>
    </row>
    <row r="229" spans="1:38" x14ac:dyDescent="0.25">
      <c r="A229" s="4">
        <f>Raw!J230</f>
        <v>132</v>
      </c>
      <c r="B229" s="4" t="str">
        <f>Raw!K230</f>
        <v>El Camino Real</v>
      </c>
      <c r="C229" s="4" t="str">
        <f>Raw!L230</f>
        <v>Chadbourne Ave</v>
      </c>
      <c r="D229" s="4" t="str">
        <f>Raw!M230</f>
        <v>Millbrae Ave</v>
      </c>
      <c r="E229" s="23" t="str">
        <f>Raw!CG230</f>
        <v>W</v>
      </c>
      <c r="F229" s="7">
        <f>Raw!T230</f>
        <v>4</v>
      </c>
      <c r="G229" s="7">
        <f>Raw!AL230</f>
        <v>0</v>
      </c>
      <c r="H229" s="7">
        <f>Raw!AC230</f>
        <v>1</v>
      </c>
      <c r="I229" s="7">
        <f t="shared" si="30"/>
        <v>1</v>
      </c>
      <c r="J229" s="157">
        <f>Raw!BT230</f>
        <v>0</v>
      </c>
      <c r="K229" s="157">
        <f>Raw!AW230</f>
        <v>10</v>
      </c>
      <c r="L229" s="42">
        <f>IF(Raw!CE230 = "NA", "-", Raw!CE230)</f>
        <v>1</v>
      </c>
      <c r="M229" s="42">
        <f>IF(Raw!BH230 = "NA", "-", Raw!BH230)</f>
        <v>3.3</v>
      </c>
      <c r="N229" s="46">
        <f>IF(Raw!CD230 = "NA", "-", Raw!CD230)</f>
        <v>4</v>
      </c>
      <c r="O229" s="46">
        <f>IF(Raw!BG230 = "NA", "-", Raw!BG230)</f>
        <v>14</v>
      </c>
      <c r="P229" s="32">
        <f>IF(Raw!AW230 = "NA", "-", SUMPRODUCT(Raw!$BT$2:$CC$2, Raw!BT230:CC230))</f>
        <v>20</v>
      </c>
      <c r="Q229" s="32">
        <f>IF(Raw!AW230 = "NA", "-", SUMPRODUCT(Raw!$AW$2:$BF$2, Raw!AW230:BF230))</f>
        <v>27</v>
      </c>
      <c r="R229" s="7" t="str" cm="1">
        <f t="array" ref="R229">_xlfn.IFS(S229="YES", "Hourly", T229="YES", "Flat Rate")</f>
        <v>Hourly</v>
      </c>
      <c r="S229" s="8" t="str">
        <f>IF(Raw!CO230=1, "YES", "")</f>
        <v>YES</v>
      </c>
      <c r="T229" s="8" t="str">
        <f>IF(Raw!CO230=2, "YES", "")</f>
        <v/>
      </c>
      <c r="U229" s="96" t="str">
        <f>IF(Raw!CP230=1, "YES", "")</f>
        <v/>
      </c>
      <c r="V229" s="96"/>
      <c r="X229" s="23">
        <f>SUMPRODUCT(Raw!$BT$3:$CC$3, Raw!BT230:CC230)</f>
        <v>8</v>
      </c>
      <c r="Y229" s="23">
        <f>SUMPRODUCT(Raw!$BT$3:$CC$3, Raw!BU230:CD230)</f>
        <v>16</v>
      </c>
      <c r="Z229" s="28">
        <f t="shared" si="33"/>
        <v>56</v>
      </c>
      <c r="AA229" s="28">
        <f t="shared" si="34"/>
        <v>2920</v>
      </c>
      <c r="AC229">
        <f t="shared" si="35"/>
        <v>4</v>
      </c>
      <c r="AD229" s="23">
        <f>IF(U229="YES",SUMPRODUCT(Raw!$BT$3:$CC$3,Raw!BT230:CC230)*0.6,SUMPRODUCT(Raw!$BT$3:$CC$3,Raw!BT230:CC230))</f>
        <v>8</v>
      </c>
      <c r="AE229" s="23">
        <f>IF(U229="YES",SUMPRODUCT(Raw!$BT$3:$CC$3,Raw!BU230:CD230)*0.6,SUMPRODUCT(Raw!$BT$3:$CC$3,Raw!BU230:CD230))</f>
        <v>16</v>
      </c>
      <c r="AF229" s="28">
        <f t="shared" si="36"/>
        <v>56</v>
      </c>
      <c r="AG229" s="28">
        <f t="shared" si="37"/>
        <v>2920</v>
      </c>
      <c r="AI229" s="88">
        <f t="shared" si="31"/>
        <v>4</v>
      </c>
      <c r="AJ229" s="88">
        <f t="shared" si="32"/>
        <v>14</v>
      </c>
      <c r="AK229">
        <f t="shared" si="38"/>
        <v>187</v>
      </c>
      <c r="AL229">
        <f t="shared" si="39"/>
        <v>9746</v>
      </c>
    </row>
    <row r="230" spans="1:38" x14ac:dyDescent="0.25">
      <c r="A230" s="4">
        <f>Raw!J231</f>
        <v>65</v>
      </c>
      <c r="B230" s="4" t="str">
        <f>Raw!K231</f>
        <v>Magnolia Ave</v>
      </c>
      <c r="C230" s="4" t="str">
        <f>Raw!L231</f>
        <v>Broadway</v>
      </c>
      <c r="D230" s="4" t="str">
        <f>Raw!M231</f>
        <v>Millbrae Ave</v>
      </c>
      <c r="E230" s="23" t="str">
        <f>Raw!CG231</f>
        <v>E</v>
      </c>
      <c r="F230" s="7">
        <f>Raw!T231</f>
        <v>5</v>
      </c>
      <c r="G230" s="7">
        <f>Raw!AL231</f>
        <v>2</v>
      </c>
      <c r="H230" s="7">
        <f>Raw!AC231</f>
        <v>4</v>
      </c>
      <c r="I230" s="7">
        <f t="shared" si="30"/>
        <v>6</v>
      </c>
      <c r="J230" s="157" t="str">
        <f>Raw!BT231</f>
        <v>NA</v>
      </c>
      <c r="K230" s="157" t="str">
        <f>Raw!AW231</f>
        <v>NA</v>
      </c>
      <c r="L230" s="42" t="str">
        <f>IF(Raw!CE231 = "NA", "-", Raw!CE231)</f>
        <v>-</v>
      </c>
      <c r="M230" s="42" t="str">
        <f>IF(Raw!BH231 = "NA", "-", Raw!BH231)</f>
        <v>-</v>
      </c>
      <c r="N230" s="46" t="str">
        <f>IF(Raw!CD231 = "NA", "-", Raw!CD231)</f>
        <v>-</v>
      </c>
      <c r="O230" s="46" t="str">
        <f>IF(Raw!BG231 = "NA", "-", Raw!BG231)</f>
        <v>-</v>
      </c>
      <c r="P230" s="32" t="str">
        <f>IF(Raw!AW231 = "NA", "-", SUMPRODUCT(Raw!$BT$2:$CC$2, Raw!BT231:CC231))</f>
        <v>-</v>
      </c>
      <c r="Q230" s="32" t="str">
        <f>IF(Raw!AW231 = "NA", "-", SUMPRODUCT(Raw!$AW$2:$BF$2, Raw!AW231:BF231))</f>
        <v>-</v>
      </c>
      <c r="R230" s="7" t="e" cm="1">
        <f t="array" ref="R230">_xlfn.IFS(S230="YES", "Hourly", T230="YES", "Flat Rate")</f>
        <v>#N/A</v>
      </c>
      <c r="S230" s="8" t="str">
        <f>IF(Raw!CO231=1, "YES", "")</f>
        <v/>
      </c>
      <c r="T230" s="8" t="str">
        <f>IF(Raw!CO231=2, "YES", "")</f>
        <v/>
      </c>
      <c r="U230" s="96" t="str">
        <f>IF(Raw!CP231=1, "YES", "")</f>
        <v/>
      </c>
      <c r="V230" s="96"/>
      <c r="X230" s="23">
        <f>SUMPRODUCT(Raw!$BT$3:$CC$3, Raw!BT231:CC231)</f>
        <v>0</v>
      </c>
      <c r="Y230" s="23">
        <f>SUMPRODUCT(Raw!$BT$3:$CC$3, Raw!BU231:CD231)</f>
        <v>0</v>
      </c>
      <c r="Z230" s="28">
        <f t="shared" si="33"/>
        <v>0</v>
      </c>
      <c r="AA230" s="28">
        <f t="shared" si="34"/>
        <v>0</v>
      </c>
      <c r="AC230">
        <f t="shared" si="35"/>
        <v>5</v>
      </c>
      <c r="AD230" s="23">
        <f>IF(U230="YES",SUMPRODUCT(Raw!$BT$3:$CC$3,Raw!BT231:CC231)*0.6,SUMPRODUCT(Raw!$BT$3:$CC$3,Raw!BT231:CC231))</f>
        <v>0</v>
      </c>
      <c r="AE230" s="23">
        <f>IF(U230="YES",SUMPRODUCT(Raw!$BT$3:$CC$3,Raw!BU231:CD231)*0.6,SUMPRODUCT(Raw!$BT$3:$CC$3,Raw!BU231:CD231))</f>
        <v>0</v>
      </c>
      <c r="AF230" s="28">
        <f t="shared" si="36"/>
        <v>0</v>
      </c>
      <c r="AG230" s="28">
        <f t="shared" si="37"/>
        <v>0</v>
      </c>
      <c r="AI230" s="88" t="str">
        <f t="shared" si="31"/>
        <v>-</v>
      </c>
      <c r="AJ230" s="88" t="str">
        <f t="shared" si="32"/>
        <v>-</v>
      </c>
      <c r="AK230" t="e">
        <f t="shared" si="38"/>
        <v>#VALUE!</v>
      </c>
      <c r="AL230" t="e">
        <f t="shared" si="39"/>
        <v>#VALUE!</v>
      </c>
    </row>
    <row r="231" spans="1:38" x14ac:dyDescent="0.25">
      <c r="A231" s="4">
        <f>Raw!J232</f>
        <v>96</v>
      </c>
      <c r="B231" s="4" t="str">
        <f>Raw!K232</f>
        <v>Broadway</v>
      </c>
      <c r="C231" s="4" t="str">
        <f>Raw!L232</f>
        <v>Millbrae Ave</v>
      </c>
      <c r="D231" s="4" t="str">
        <f>Raw!M232</f>
        <v>Magnolia Ave</v>
      </c>
      <c r="E231" s="23" t="str">
        <f>Raw!CG232</f>
        <v>W</v>
      </c>
      <c r="F231" s="7">
        <f>Raw!T232</f>
        <v>11</v>
      </c>
      <c r="G231" s="7">
        <f>Raw!AL232</f>
        <v>2</v>
      </c>
      <c r="H231" s="7">
        <f>Raw!AC232</f>
        <v>3</v>
      </c>
      <c r="I231" s="7">
        <f t="shared" si="30"/>
        <v>5</v>
      </c>
      <c r="J231" s="157" t="str">
        <f>Raw!BT232</f>
        <v>NA</v>
      </c>
      <c r="K231" s="157" t="str">
        <f>Raw!AW232</f>
        <v>NA</v>
      </c>
      <c r="L231" s="42" t="str">
        <f>IF(Raw!CE232 = "NA", "-", Raw!CE232)</f>
        <v>-</v>
      </c>
      <c r="M231" s="42" t="str">
        <f>IF(Raw!BH232 = "NA", "-", Raw!BH232)</f>
        <v>-</v>
      </c>
      <c r="N231" s="46" t="str">
        <f>IF(Raw!CD232 = "NA", "-", Raw!CD232)</f>
        <v>-</v>
      </c>
      <c r="O231" s="46" t="str">
        <f>IF(Raw!BG232 = "NA", "-", Raw!BG232)</f>
        <v>-</v>
      </c>
      <c r="P231" s="32" t="str">
        <f>IF(Raw!AW232 = "NA", "-", SUMPRODUCT(Raw!$BT$2:$CC$2, Raw!BT232:CC232))</f>
        <v>-</v>
      </c>
      <c r="Q231" s="32" t="str">
        <f>IF(Raw!AW232 = "NA", "-", SUMPRODUCT(Raw!$AW$2:$BF$2, Raw!AW232:BF232))</f>
        <v>-</v>
      </c>
      <c r="R231" s="7" t="e" cm="1">
        <f t="array" ref="R231">_xlfn.IFS(S231="YES", "Hourly", T231="YES", "Flat Rate")</f>
        <v>#N/A</v>
      </c>
      <c r="S231" s="8" t="str">
        <f>IF(Raw!CO232=1, "YES", "")</f>
        <v/>
      </c>
      <c r="T231" s="8" t="str">
        <f>IF(Raw!CO232=2, "YES", "")</f>
        <v/>
      </c>
      <c r="U231" s="96" t="str">
        <f>IF(Raw!CP232=1, "YES", "")</f>
        <v/>
      </c>
      <c r="V231" s="96"/>
      <c r="X231" s="23">
        <f>SUMPRODUCT(Raw!$BT$3:$CC$3, Raw!BT232:CC232)</f>
        <v>0</v>
      </c>
      <c r="Y231" s="23">
        <f>SUMPRODUCT(Raw!$BT$3:$CC$3, Raw!BU232:CD232)</f>
        <v>0</v>
      </c>
      <c r="Z231" s="28">
        <f t="shared" si="33"/>
        <v>0</v>
      </c>
      <c r="AA231" s="28">
        <f t="shared" si="34"/>
        <v>0</v>
      </c>
      <c r="AC231">
        <f t="shared" si="35"/>
        <v>11</v>
      </c>
      <c r="AD231" s="23">
        <f>IF(U231="YES",SUMPRODUCT(Raw!$BT$3:$CC$3,Raw!BT232:CC232)*0.6,SUMPRODUCT(Raw!$BT$3:$CC$3,Raw!BT232:CC232))</f>
        <v>0</v>
      </c>
      <c r="AE231" s="23">
        <f>IF(U231="YES",SUMPRODUCT(Raw!$BT$3:$CC$3,Raw!BU232:CD232)*0.6,SUMPRODUCT(Raw!$BT$3:$CC$3,Raw!BU232:CD232))</f>
        <v>0</v>
      </c>
      <c r="AF231" s="28">
        <f t="shared" si="36"/>
        <v>0</v>
      </c>
      <c r="AG231" s="28">
        <f t="shared" si="37"/>
        <v>0</v>
      </c>
      <c r="AI231" s="88" t="str">
        <f t="shared" si="31"/>
        <v>-</v>
      </c>
      <c r="AJ231" s="88" t="str">
        <f t="shared" si="32"/>
        <v>-</v>
      </c>
      <c r="AK231" t="e">
        <f t="shared" si="38"/>
        <v>#VALUE!</v>
      </c>
      <c r="AL231" t="e">
        <f t="shared" si="39"/>
        <v>#VALUE!</v>
      </c>
    </row>
    <row r="232" spans="1:38" x14ac:dyDescent="0.25">
      <c r="A232" s="4">
        <f>Raw!J233</f>
        <v>97</v>
      </c>
      <c r="B232" s="4" t="str">
        <f>Raw!K233</f>
        <v>Broadway</v>
      </c>
      <c r="C232" s="4" t="str">
        <f>Raw!L233</f>
        <v>Magnolia Ave</v>
      </c>
      <c r="D232" s="4" t="str">
        <f>Raw!M233</f>
        <v>Millbrae Ave</v>
      </c>
      <c r="E232" s="23" t="str">
        <f>Raw!CG233</f>
        <v>E</v>
      </c>
      <c r="F232" s="7">
        <f>Raw!T233</f>
        <v>13</v>
      </c>
      <c r="G232" s="7">
        <f>Raw!AL233</f>
        <v>2</v>
      </c>
      <c r="H232" s="7">
        <f>Raw!AC233</f>
        <v>3</v>
      </c>
      <c r="I232" s="7">
        <f t="shared" si="30"/>
        <v>5</v>
      </c>
      <c r="J232" s="157" t="str">
        <f>Raw!BT233</f>
        <v>NA</v>
      </c>
      <c r="K232" s="157" t="str">
        <f>Raw!AW233</f>
        <v>NA</v>
      </c>
      <c r="L232" s="42" t="str">
        <f>IF(Raw!CE233 = "NA", "-", Raw!CE233)</f>
        <v>-</v>
      </c>
      <c r="M232" s="42" t="str">
        <f>IF(Raw!BH233 = "NA", "-", Raw!BH233)</f>
        <v>-</v>
      </c>
      <c r="N232" s="46" t="str">
        <f>IF(Raw!CD233 = "NA", "-", Raw!CD233)</f>
        <v>-</v>
      </c>
      <c r="O232" s="46" t="str">
        <f>IF(Raw!BG233 = "NA", "-", Raw!BG233)</f>
        <v>-</v>
      </c>
      <c r="P232" s="32" t="str">
        <f>IF(Raw!AW233 = "NA", "-", SUMPRODUCT(Raw!$BT$2:$CC$2, Raw!BT233:CC233))</f>
        <v>-</v>
      </c>
      <c r="Q232" s="32" t="str">
        <f>IF(Raw!AW233 = "NA", "-", SUMPRODUCT(Raw!$AW$2:$BF$2, Raw!AW233:BF233))</f>
        <v>-</v>
      </c>
      <c r="R232" s="7" t="e" cm="1">
        <f t="array" ref="R232">_xlfn.IFS(S232="YES", "Hourly", T232="YES", "Flat Rate")</f>
        <v>#N/A</v>
      </c>
      <c r="S232" s="8" t="str">
        <f>IF(Raw!CO233=1, "YES", "")</f>
        <v/>
      </c>
      <c r="T232" s="8" t="str">
        <f>IF(Raw!CO233=2, "YES", "")</f>
        <v/>
      </c>
      <c r="U232" s="96" t="str">
        <f>IF(Raw!CP233=1, "YES", "")</f>
        <v/>
      </c>
      <c r="V232" s="96"/>
      <c r="X232" s="23">
        <f>SUMPRODUCT(Raw!$BT$3:$CC$3, Raw!BT233:CC233)</f>
        <v>0</v>
      </c>
      <c r="Y232" s="23">
        <f>SUMPRODUCT(Raw!$BT$3:$CC$3, Raw!BU233:CD233)</f>
        <v>0</v>
      </c>
      <c r="Z232" s="28">
        <f t="shared" si="33"/>
        <v>0</v>
      </c>
      <c r="AA232" s="28">
        <f t="shared" si="34"/>
        <v>0</v>
      </c>
      <c r="AC232">
        <f t="shared" si="35"/>
        <v>13</v>
      </c>
      <c r="AD232" s="23">
        <f>IF(U232="YES",SUMPRODUCT(Raw!$BT$3:$CC$3,Raw!BT233:CC233)*0.6,SUMPRODUCT(Raw!$BT$3:$CC$3,Raw!BT233:CC233))</f>
        <v>0</v>
      </c>
      <c r="AE232" s="23">
        <f>IF(U232="YES",SUMPRODUCT(Raw!$BT$3:$CC$3,Raw!BU233:CD233)*0.6,SUMPRODUCT(Raw!$BT$3:$CC$3,Raw!BU233:CD233))</f>
        <v>0</v>
      </c>
      <c r="AF232" s="28">
        <f t="shared" si="36"/>
        <v>0</v>
      </c>
      <c r="AG232" s="28">
        <f t="shared" si="37"/>
        <v>0</v>
      </c>
      <c r="AI232" s="88" t="str">
        <f t="shared" si="31"/>
        <v>-</v>
      </c>
      <c r="AJ232" s="88" t="str">
        <f t="shared" si="32"/>
        <v>-</v>
      </c>
      <c r="AK232" t="e">
        <f t="shared" si="38"/>
        <v>#VALUE!</v>
      </c>
      <c r="AL232" t="e">
        <f t="shared" si="39"/>
        <v>#VALUE!</v>
      </c>
    </row>
    <row r="233" spans="1:38" x14ac:dyDescent="0.25">
      <c r="A233" s="4">
        <f>Raw!J234</f>
        <v>64</v>
      </c>
      <c r="B233" s="4" t="str">
        <f>Raw!K234</f>
        <v>Magnolia Ave</v>
      </c>
      <c r="C233" s="4" t="str">
        <f>Raw!L234</f>
        <v>Millbrae Ave</v>
      </c>
      <c r="D233" s="4" t="str">
        <f>Raw!M234</f>
        <v>Murchison Dr</v>
      </c>
      <c r="E233" s="23" t="str">
        <f>Raw!CG234</f>
        <v>W</v>
      </c>
      <c r="F233" s="7">
        <f>Raw!T234</f>
        <v>20</v>
      </c>
      <c r="G233" s="7">
        <f>Raw!AL234</f>
        <v>0</v>
      </c>
      <c r="H233" s="7">
        <f>Raw!AC234</f>
        <v>2</v>
      </c>
      <c r="I233" s="7">
        <f t="shared" si="30"/>
        <v>2</v>
      </c>
      <c r="J233" s="157" t="str">
        <f>Raw!BT234</f>
        <v>NA</v>
      </c>
      <c r="K233" s="157" t="str">
        <f>Raw!AW234</f>
        <v>NA</v>
      </c>
      <c r="L233" s="42" t="str">
        <f>IF(Raw!CE234 = "NA", "-", Raw!CE234)</f>
        <v>-</v>
      </c>
      <c r="M233" s="42" t="str">
        <f>IF(Raw!BH234 = "NA", "-", Raw!BH234)</f>
        <v>-</v>
      </c>
      <c r="N233" s="46" t="str">
        <f>IF(Raw!CD234 = "NA", "-", Raw!CD234)</f>
        <v>-</v>
      </c>
      <c r="O233" s="46" t="str">
        <f>IF(Raw!BG234 = "NA", "-", Raw!BG234)</f>
        <v>-</v>
      </c>
      <c r="P233" s="32" t="str">
        <f>IF(Raw!AW234 = "NA", "-", SUMPRODUCT(Raw!$BT$2:$CC$2, Raw!BT234:CC234))</f>
        <v>-</v>
      </c>
      <c r="Q233" s="32" t="str">
        <f>IF(Raw!AW234 = "NA", "-", SUMPRODUCT(Raw!$AW$2:$BF$2, Raw!AW234:BF234))</f>
        <v>-</v>
      </c>
      <c r="R233" s="7" t="e" cm="1">
        <f t="array" ref="R233">_xlfn.IFS(S233="YES", "Hourly", T233="YES", "Flat Rate")</f>
        <v>#N/A</v>
      </c>
      <c r="S233" s="8" t="str">
        <f>IF(Raw!CO234=1, "YES", "")</f>
        <v/>
      </c>
      <c r="T233" s="8" t="str">
        <f>IF(Raw!CO234=2, "YES", "")</f>
        <v/>
      </c>
      <c r="U233" s="96" t="str">
        <f>IF(Raw!CP234=1, "YES", "")</f>
        <v/>
      </c>
      <c r="V233" s="96"/>
      <c r="X233" s="23">
        <f>SUMPRODUCT(Raw!$BT$3:$CC$3, Raw!BT234:CC234)</f>
        <v>0</v>
      </c>
      <c r="Y233" s="23">
        <f>SUMPRODUCT(Raw!$BT$3:$CC$3, Raw!BU234:CD234)</f>
        <v>0</v>
      </c>
      <c r="Z233" s="28">
        <f t="shared" si="33"/>
        <v>0</v>
      </c>
      <c r="AA233" s="28">
        <f t="shared" si="34"/>
        <v>0</v>
      </c>
      <c r="AC233">
        <f t="shared" si="35"/>
        <v>20</v>
      </c>
      <c r="AD233" s="23">
        <f>IF(U233="YES",SUMPRODUCT(Raw!$BT$3:$CC$3,Raw!BT234:CC234)*0.6,SUMPRODUCT(Raw!$BT$3:$CC$3,Raw!BT234:CC234))</f>
        <v>0</v>
      </c>
      <c r="AE233" s="23">
        <f>IF(U233="YES",SUMPRODUCT(Raw!$BT$3:$CC$3,Raw!BU234:CD234)*0.6,SUMPRODUCT(Raw!$BT$3:$CC$3,Raw!BU234:CD234))</f>
        <v>0</v>
      </c>
      <c r="AF233" s="28">
        <f t="shared" si="36"/>
        <v>0</v>
      </c>
      <c r="AG233" s="28">
        <f t="shared" si="37"/>
        <v>0</v>
      </c>
      <c r="AI233" s="88" t="str">
        <f t="shared" si="31"/>
        <v>-</v>
      </c>
      <c r="AJ233" s="88" t="str">
        <f t="shared" si="32"/>
        <v>-</v>
      </c>
      <c r="AK233" t="e">
        <f t="shared" si="38"/>
        <v>#VALUE!</v>
      </c>
      <c r="AL233" t="e">
        <f t="shared" si="39"/>
        <v>#VALUE!</v>
      </c>
    </row>
    <row r="234" spans="1:38" x14ac:dyDescent="0.25">
      <c r="A234" s="4">
        <f>Raw!J235</f>
        <v>66</v>
      </c>
      <c r="B234" s="4" t="str">
        <f>Raw!K235</f>
        <v>Magnolia Ave</v>
      </c>
      <c r="C234" s="4" t="str">
        <f>Raw!L235</f>
        <v>Murchison Dr</v>
      </c>
      <c r="D234" s="4" t="str">
        <f>Raw!M235</f>
        <v>Broadway</v>
      </c>
      <c r="E234" s="23" t="str">
        <f>Raw!CG235</f>
        <v>E</v>
      </c>
      <c r="F234" s="7">
        <f>Raw!T235</f>
        <v>16</v>
      </c>
      <c r="G234" s="7">
        <f>Raw!AL235</f>
        <v>2</v>
      </c>
      <c r="H234" s="7">
        <f>Raw!AC235</f>
        <v>2</v>
      </c>
      <c r="I234" s="7">
        <f t="shared" si="30"/>
        <v>4</v>
      </c>
      <c r="J234" s="157" t="str">
        <f>Raw!BT235</f>
        <v>NA</v>
      </c>
      <c r="K234" s="157" t="str">
        <f>Raw!AW235</f>
        <v>NA</v>
      </c>
      <c r="L234" s="42" t="str">
        <f>IF(Raw!CE235 = "NA", "-", Raw!CE235)</f>
        <v>-</v>
      </c>
      <c r="M234" s="42" t="str">
        <f>IF(Raw!BH235 = "NA", "-", Raw!BH235)</f>
        <v>-</v>
      </c>
      <c r="N234" s="46" t="str">
        <f>IF(Raw!CD235 = "NA", "-", Raw!CD235)</f>
        <v>-</v>
      </c>
      <c r="O234" s="46" t="str">
        <f>IF(Raw!BG235 = "NA", "-", Raw!BG235)</f>
        <v>-</v>
      </c>
      <c r="P234" s="32" t="str">
        <f>IF(Raw!AW235 = "NA", "-", SUMPRODUCT(Raw!$BT$2:$CC$2, Raw!BT235:CC235))</f>
        <v>-</v>
      </c>
      <c r="Q234" s="32" t="str">
        <f>IF(Raw!AW235 = "NA", "-", SUMPRODUCT(Raw!$AW$2:$BF$2, Raw!AW235:BF235))</f>
        <v>-</v>
      </c>
      <c r="R234" s="7" t="e" cm="1">
        <f t="array" ref="R234">_xlfn.IFS(S234="YES", "Hourly", T234="YES", "Flat Rate")</f>
        <v>#N/A</v>
      </c>
      <c r="S234" s="8" t="str">
        <f>IF(Raw!CO235=1, "YES", "")</f>
        <v/>
      </c>
      <c r="T234" s="8" t="str">
        <f>IF(Raw!CO235=2, "YES", "")</f>
        <v/>
      </c>
      <c r="U234" s="96" t="str">
        <f>IF(Raw!CP235=1, "YES", "")</f>
        <v/>
      </c>
      <c r="V234" s="96"/>
      <c r="X234" s="23">
        <f>SUMPRODUCT(Raw!$BT$3:$CC$3, Raw!BT235:CC235)</f>
        <v>0</v>
      </c>
      <c r="Y234" s="23">
        <f>SUMPRODUCT(Raw!$BT$3:$CC$3, Raw!BU235:CD235)</f>
        <v>0</v>
      </c>
      <c r="Z234" s="28">
        <f t="shared" si="33"/>
        <v>0</v>
      </c>
      <c r="AA234" s="28">
        <f t="shared" si="34"/>
        <v>0</v>
      </c>
      <c r="AC234">
        <f t="shared" si="35"/>
        <v>16</v>
      </c>
      <c r="AD234" s="23">
        <f>IF(U234="YES",SUMPRODUCT(Raw!$BT$3:$CC$3,Raw!BT235:CC235)*0.6,SUMPRODUCT(Raw!$BT$3:$CC$3,Raw!BT235:CC235))</f>
        <v>0</v>
      </c>
      <c r="AE234" s="23">
        <f>IF(U234="YES",SUMPRODUCT(Raw!$BT$3:$CC$3,Raw!BU235:CD235)*0.6,SUMPRODUCT(Raw!$BT$3:$CC$3,Raw!BU235:CD235))</f>
        <v>0</v>
      </c>
      <c r="AF234" s="28">
        <f t="shared" si="36"/>
        <v>0</v>
      </c>
      <c r="AG234" s="28">
        <f t="shared" si="37"/>
        <v>0</v>
      </c>
      <c r="AI234" s="88" t="str">
        <f t="shared" si="31"/>
        <v>-</v>
      </c>
      <c r="AJ234" s="88" t="str">
        <f t="shared" si="32"/>
        <v>-</v>
      </c>
      <c r="AK234" t="e">
        <f t="shared" si="38"/>
        <v>#VALUE!</v>
      </c>
      <c r="AL234" t="e">
        <f t="shared" si="39"/>
        <v>#VALUE!</v>
      </c>
    </row>
    <row r="235" spans="1:38" x14ac:dyDescent="0.25">
      <c r="A235" s="4">
        <f>Raw!J236</f>
        <v>251</v>
      </c>
      <c r="B235" s="4" t="str">
        <f>Raw!K236</f>
        <v>Millbrae Ave</v>
      </c>
      <c r="C235" s="4" t="str">
        <f>Raw!L236</f>
        <v>Broadway</v>
      </c>
      <c r="D235" s="4" t="str">
        <f>Raw!M236</f>
        <v>El Camino Real</v>
      </c>
      <c r="E235" s="23" t="str">
        <f>Raw!CG236</f>
        <v>S</v>
      </c>
      <c r="F235" s="7">
        <f>Raw!T236</f>
        <v>0</v>
      </c>
      <c r="G235" s="7">
        <f>Raw!AL236</f>
        <v>0</v>
      </c>
      <c r="H235" s="7">
        <f>Raw!AC236</f>
        <v>0</v>
      </c>
      <c r="I235" s="7">
        <f t="shared" si="30"/>
        <v>0</v>
      </c>
      <c r="J235" s="157">
        <f>Raw!BT236</f>
        <v>0</v>
      </c>
      <c r="K235" s="157">
        <f>Raw!AW236</f>
        <v>0</v>
      </c>
      <c r="L235" s="42">
        <f>IF(Raw!CE236 = "NA", "-", Raw!CE236)</f>
        <v>0</v>
      </c>
      <c r="M235" s="42">
        <f>IF(Raw!BH236 = "NA", "-", Raw!BH236)</f>
        <v>0</v>
      </c>
      <c r="N235" s="46">
        <f>IF(Raw!CD236 = "NA", "-", Raw!CD236)</f>
        <v>0</v>
      </c>
      <c r="O235" s="46">
        <f>IF(Raw!BG236 = "NA", "-", Raw!BG236)</f>
        <v>0</v>
      </c>
      <c r="P235" s="32">
        <f>IF(Raw!AW236 = "NA", "-", SUMPRODUCT(Raw!$BT$2:$CC$2, Raw!BT236:CC236))</f>
        <v>0</v>
      </c>
      <c r="Q235" s="32">
        <f>IF(Raw!AW236 = "NA", "-", SUMPRODUCT(Raw!$AW$2:$BF$2, Raw!AW236:BF236))</f>
        <v>0</v>
      </c>
      <c r="R235" s="7" t="e" cm="1">
        <f t="array" ref="R235">_xlfn.IFS(S235="YES", "Hourly", T235="YES", "Flat Rate")</f>
        <v>#N/A</v>
      </c>
      <c r="S235" s="8" t="str">
        <f>IF(Raw!CO236=1, "YES", "")</f>
        <v/>
      </c>
      <c r="T235" s="8" t="str">
        <f>IF(Raw!CO236=2, "YES", "")</f>
        <v/>
      </c>
      <c r="U235" s="96" t="str">
        <f>IF(Raw!CP236=1, "YES", "")</f>
        <v/>
      </c>
      <c r="V235" s="96"/>
      <c r="X235" s="23">
        <f>SUMPRODUCT(Raw!$BT$3:$CC$3, Raw!BT236:CC236)</f>
        <v>0</v>
      </c>
      <c r="Y235" s="23">
        <f>SUMPRODUCT(Raw!$BT$3:$CC$3, Raw!BU236:CD236)</f>
        <v>0</v>
      </c>
      <c r="Z235" s="28">
        <f t="shared" si="33"/>
        <v>0</v>
      </c>
      <c r="AA235" s="28">
        <f t="shared" si="34"/>
        <v>0</v>
      </c>
      <c r="AC235">
        <f t="shared" si="35"/>
        <v>0</v>
      </c>
      <c r="AD235" s="23">
        <f>IF(U235="YES",SUMPRODUCT(Raw!$BT$3:$CC$3,Raw!BT236:CC236)*0.6,SUMPRODUCT(Raw!$BT$3:$CC$3,Raw!BT236:CC236))</f>
        <v>0</v>
      </c>
      <c r="AE235" s="23">
        <f>IF(U235="YES",SUMPRODUCT(Raw!$BT$3:$CC$3,Raw!BU236:CD236)*0.6,SUMPRODUCT(Raw!$BT$3:$CC$3,Raw!BU236:CD236))</f>
        <v>0</v>
      </c>
      <c r="AF235" s="28">
        <f t="shared" si="36"/>
        <v>0</v>
      </c>
      <c r="AG235" s="28">
        <f t="shared" si="37"/>
        <v>0</v>
      </c>
      <c r="AI235" s="88">
        <f t="shared" si="31"/>
        <v>0</v>
      </c>
      <c r="AJ235" s="88">
        <f t="shared" si="32"/>
        <v>0</v>
      </c>
      <c r="AK235">
        <f t="shared" si="38"/>
        <v>0</v>
      </c>
      <c r="AL235">
        <f t="shared" si="39"/>
        <v>0</v>
      </c>
    </row>
    <row r="236" spans="1:38" x14ac:dyDescent="0.25">
      <c r="A236" s="4">
        <f>Raw!J237</f>
        <v>134</v>
      </c>
      <c r="B236" s="4" t="str">
        <f>Raw!K237</f>
        <v>El Camino Real</v>
      </c>
      <c r="C236" s="4" t="str">
        <f>Raw!L237</f>
        <v>Millbrae Ave</v>
      </c>
      <c r="D236" s="4" t="str">
        <f>Raw!M237</f>
        <v>Murchison Dr</v>
      </c>
      <c r="E236" s="23" t="str">
        <f>Raw!CG237</f>
        <v>W</v>
      </c>
      <c r="F236" s="7">
        <f>Raw!T237</f>
        <v>0</v>
      </c>
      <c r="G236" s="7">
        <f>Raw!AL237</f>
        <v>0</v>
      </c>
      <c r="H236" s="7">
        <f>Raw!AC237</f>
        <v>0</v>
      </c>
      <c r="I236" s="7">
        <f t="shared" si="30"/>
        <v>0</v>
      </c>
      <c r="J236" s="157">
        <f>Raw!BT237</f>
        <v>0</v>
      </c>
      <c r="K236" s="157">
        <f>Raw!AW237</f>
        <v>0</v>
      </c>
      <c r="L236" s="42">
        <f>IF(Raw!CE237 = "NA", "-", Raw!CE237)</f>
        <v>0</v>
      </c>
      <c r="M236" s="42">
        <f>IF(Raw!BH237 = "NA", "-", Raw!BH237)</f>
        <v>0</v>
      </c>
      <c r="N236" s="46">
        <f>IF(Raw!CD237 = "NA", "-", Raw!CD237)</f>
        <v>0</v>
      </c>
      <c r="O236" s="46">
        <f>IF(Raw!BG237 = "NA", "-", Raw!BG237)</f>
        <v>0</v>
      </c>
      <c r="P236" s="32">
        <f>IF(Raw!AW237 = "NA", "-", SUMPRODUCT(Raw!$BT$2:$CC$2, Raw!BT237:CC237))</f>
        <v>0</v>
      </c>
      <c r="Q236" s="32">
        <f>IF(Raw!AW237 = "NA", "-", SUMPRODUCT(Raw!$AW$2:$BF$2, Raw!AW237:BF237))</f>
        <v>0</v>
      </c>
      <c r="R236" s="7" t="e" cm="1">
        <f t="array" ref="R236">_xlfn.IFS(S236="YES", "Hourly", T236="YES", "Flat Rate")</f>
        <v>#N/A</v>
      </c>
      <c r="S236" s="8" t="str">
        <f>IF(Raw!CO237=1, "YES", "")</f>
        <v/>
      </c>
      <c r="T236" s="8" t="str">
        <f>IF(Raw!CO237=2, "YES", "")</f>
        <v/>
      </c>
      <c r="U236" s="96" t="str">
        <f>IF(Raw!CP237=1, "YES", "")</f>
        <v/>
      </c>
      <c r="V236" s="96"/>
      <c r="X236" s="23">
        <f>SUMPRODUCT(Raw!$BT$3:$CC$3, Raw!BT237:CC237)</f>
        <v>0</v>
      </c>
      <c r="Y236" s="23">
        <f>SUMPRODUCT(Raw!$BT$3:$CC$3, Raw!BU237:CD237)</f>
        <v>0</v>
      </c>
      <c r="Z236" s="28">
        <f t="shared" si="33"/>
        <v>0</v>
      </c>
      <c r="AA236" s="28">
        <f t="shared" si="34"/>
        <v>0</v>
      </c>
      <c r="AC236">
        <f t="shared" si="35"/>
        <v>0</v>
      </c>
      <c r="AD236" s="23">
        <f>IF(U236="YES",SUMPRODUCT(Raw!$BT$3:$CC$3,Raw!BT237:CC237)*0.6,SUMPRODUCT(Raw!$BT$3:$CC$3,Raw!BT237:CC237))</f>
        <v>0</v>
      </c>
      <c r="AE236" s="23">
        <f>IF(U236="YES",SUMPRODUCT(Raw!$BT$3:$CC$3,Raw!BU237:CD237)*0.6,SUMPRODUCT(Raw!$BT$3:$CC$3,Raw!BU237:CD237))</f>
        <v>0</v>
      </c>
      <c r="AF236" s="28">
        <f t="shared" si="36"/>
        <v>0</v>
      </c>
      <c r="AG236" s="28">
        <f t="shared" si="37"/>
        <v>0</v>
      </c>
      <c r="AI236" s="88">
        <f t="shared" si="31"/>
        <v>0</v>
      </c>
      <c r="AJ236" s="88">
        <f t="shared" si="32"/>
        <v>0</v>
      </c>
      <c r="AK236">
        <f t="shared" si="38"/>
        <v>0</v>
      </c>
      <c r="AL236">
        <f t="shared" si="39"/>
        <v>0</v>
      </c>
    </row>
    <row r="237" spans="1:38" x14ac:dyDescent="0.25">
      <c r="A237" s="4">
        <f>Raw!J238</f>
        <v>256</v>
      </c>
      <c r="B237" s="4" t="str">
        <f>Raw!K238</f>
        <v>Murchison Dr</v>
      </c>
      <c r="C237" s="4" t="str">
        <f>Raw!L238</f>
        <v>El Camino Real</v>
      </c>
      <c r="D237" s="4" t="str">
        <f>Raw!M238</f>
        <v>Magnolia Ave</v>
      </c>
      <c r="E237" s="23" t="str">
        <f>Raw!CG238</f>
        <v>N</v>
      </c>
      <c r="F237" s="7">
        <f>Raw!T238</f>
        <v>15</v>
      </c>
      <c r="G237" s="7">
        <f>Raw!AL238</f>
        <v>0</v>
      </c>
      <c r="H237" s="7">
        <f>Raw!AC238</f>
        <v>0</v>
      </c>
      <c r="I237" s="7">
        <f t="shared" si="30"/>
        <v>0</v>
      </c>
      <c r="J237" s="157">
        <f>Raw!BT238</f>
        <v>1</v>
      </c>
      <c r="K237" s="157">
        <f>Raw!AW238</f>
        <v>0</v>
      </c>
      <c r="L237" s="42">
        <f>IF(Raw!CE238 = "NA", "-", Raw!CE238)</f>
        <v>0.1</v>
      </c>
      <c r="M237" s="42">
        <f>IF(Raw!BH238 = "NA", "-", Raw!BH238)</f>
        <v>0</v>
      </c>
      <c r="N237" s="46">
        <f>IF(Raw!CD238 = "NA", "-", Raw!CD238)</f>
        <v>2</v>
      </c>
      <c r="O237" s="46">
        <f>IF(Raw!BG238 = "NA", "-", Raw!BG238)</f>
        <v>0</v>
      </c>
      <c r="P237" s="32">
        <f>IF(Raw!AW238 = "NA", "-", SUMPRODUCT(Raw!$BT$2:$CC$2, Raw!BT238:CC238))</f>
        <v>3</v>
      </c>
      <c r="Q237" s="32">
        <f>IF(Raw!AW238 = "NA", "-", SUMPRODUCT(Raw!$AW$2:$BF$2, Raw!AW238:BF238))</f>
        <v>0</v>
      </c>
      <c r="R237" s="7" t="e" cm="1">
        <f t="array" ref="R237">_xlfn.IFS(S237="YES", "Hourly", T237="YES", "Flat Rate")</f>
        <v>#N/A</v>
      </c>
      <c r="S237" s="8" t="str">
        <f>IF(Raw!CO238=1, "YES", "")</f>
        <v/>
      </c>
      <c r="T237" s="8" t="str">
        <f>IF(Raw!CO238=2, "YES", "")</f>
        <v/>
      </c>
      <c r="U237" s="96" t="str">
        <f>IF(Raw!CP238=1, "YES", "")</f>
        <v/>
      </c>
      <c r="V237" s="96"/>
      <c r="X237" s="23">
        <f>SUMPRODUCT(Raw!$BT$3:$CC$3, Raw!BT238:CC238)</f>
        <v>3</v>
      </c>
      <c r="Y237" s="23">
        <f>SUMPRODUCT(Raw!$BT$3:$CC$3, Raw!BU238:CD238)</f>
        <v>5</v>
      </c>
      <c r="Z237" s="28">
        <f t="shared" si="33"/>
        <v>20</v>
      </c>
      <c r="AA237" s="28">
        <f t="shared" si="34"/>
        <v>1043</v>
      </c>
      <c r="AC237">
        <f t="shared" si="35"/>
        <v>15</v>
      </c>
      <c r="AD237" s="23">
        <f>IF(U237="YES",SUMPRODUCT(Raw!$BT$3:$CC$3,Raw!BT238:CC238)*0.6,SUMPRODUCT(Raw!$BT$3:$CC$3,Raw!BT238:CC238))</f>
        <v>3</v>
      </c>
      <c r="AE237" s="23">
        <f>IF(U237="YES",SUMPRODUCT(Raw!$BT$3:$CC$3,Raw!BU238:CD238)*0.6,SUMPRODUCT(Raw!$BT$3:$CC$3,Raw!BU238:CD238))</f>
        <v>5</v>
      </c>
      <c r="AF237" s="28">
        <f t="shared" si="36"/>
        <v>20</v>
      </c>
      <c r="AG237" s="28">
        <f t="shared" si="37"/>
        <v>1043</v>
      </c>
      <c r="AI237" s="88">
        <f t="shared" si="31"/>
        <v>2</v>
      </c>
      <c r="AJ237" s="88">
        <f t="shared" si="32"/>
        <v>0</v>
      </c>
      <c r="AK237">
        <f t="shared" si="38"/>
        <v>55</v>
      </c>
      <c r="AL237">
        <f t="shared" si="39"/>
        <v>2871</v>
      </c>
    </row>
    <row r="238" spans="1:38" x14ac:dyDescent="0.25">
      <c r="A238" s="4">
        <f>Raw!J239</f>
        <v>135</v>
      </c>
      <c r="B238" s="4" t="str">
        <f>Raw!K239</f>
        <v>El Camino Real</v>
      </c>
      <c r="C238" s="4" t="str">
        <f>Raw!L239</f>
        <v>Murchison Dr</v>
      </c>
      <c r="D238" s="4" t="str">
        <f>Raw!M239</f>
        <v>Millbrae Ave</v>
      </c>
      <c r="E238" s="23" t="str">
        <f>Raw!CG239</f>
        <v>E</v>
      </c>
      <c r="F238" s="7">
        <f>Raw!T239</f>
        <v>0</v>
      </c>
      <c r="G238" s="7">
        <f>Raw!AL239</f>
        <v>0</v>
      </c>
      <c r="H238" s="7">
        <f>Raw!AC239</f>
        <v>0</v>
      </c>
      <c r="I238" s="7">
        <f t="shared" si="30"/>
        <v>0</v>
      </c>
      <c r="J238" s="157">
        <f>Raw!BT239</f>
        <v>0</v>
      </c>
      <c r="K238" s="157">
        <f>Raw!AW239</f>
        <v>0</v>
      </c>
      <c r="L238" s="42">
        <f>IF(Raw!CE239 = "NA", "-", Raw!CE239)</f>
        <v>0</v>
      </c>
      <c r="M238" s="42">
        <f>IF(Raw!BH239 = "NA", "-", Raw!BH239)</f>
        <v>0</v>
      </c>
      <c r="N238" s="46">
        <f>IF(Raw!CD239 = "NA", "-", Raw!CD239)</f>
        <v>0</v>
      </c>
      <c r="O238" s="46">
        <f>IF(Raw!BG239 = "NA", "-", Raw!BG239)</f>
        <v>0</v>
      </c>
      <c r="P238" s="32">
        <f>IF(Raw!AW239 = "NA", "-", SUMPRODUCT(Raw!$BT$2:$CC$2, Raw!BT239:CC239))</f>
        <v>0</v>
      </c>
      <c r="Q238" s="32">
        <f>IF(Raw!AW239 = "NA", "-", SUMPRODUCT(Raw!$AW$2:$BF$2, Raw!AW239:BF239))</f>
        <v>0</v>
      </c>
      <c r="R238" s="7" t="e" cm="1">
        <f t="array" ref="R238">_xlfn.IFS(S238="YES", "Hourly", T238="YES", "Flat Rate")</f>
        <v>#N/A</v>
      </c>
      <c r="S238" s="8" t="str">
        <f>IF(Raw!CO239=1, "YES", "")</f>
        <v/>
      </c>
      <c r="T238" s="8" t="str">
        <f>IF(Raw!CO239=2, "YES", "")</f>
        <v/>
      </c>
      <c r="U238" s="96" t="str">
        <f>IF(Raw!CP239=1, "YES", "")</f>
        <v/>
      </c>
      <c r="V238" s="96"/>
      <c r="X238" s="23">
        <f>SUMPRODUCT(Raw!$BT$3:$CC$3, Raw!BT239:CC239)</f>
        <v>0</v>
      </c>
      <c r="Y238" s="23">
        <f>SUMPRODUCT(Raw!$BT$3:$CC$3, Raw!BU239:CD239)</f>
        <v>0</v>
      </c>
      <c r="Z238" s="28">
        <f t="shared" si="33"/>
        <v>0</v>
      </c>
      <c r="AA238" s="28">
        <f t="shared" si="34"/>
        <v>0</v>
      </c>
      <c r="AC238">
        <f t="shared" si="35"/>
        <v>0</v>
      </c>
      <c r="AD238" s="23">
        <f>IF(U238="YES",SUMPRODUCT(Raw!$BT$3:$CC$3,Raw!BT239:CC239)*0.6,SUMPRODUCT(Raw!$BT$3:$CC$3,Raw!BT239:CC239))</f>
        <v>0</v>
      </c>
      <c r="AE238" s="23">
        <f>IF(U238="YES",SUMPRODUCT(Raw!$BT$3:$CC$3,Raw!BU239:CD239)*0.6,SUMPRODUCT(Raw!$BT$3:$CC$3,Raw!BU239:CD239))</f>
        <v>0</v>
      </c>
      <c r="AF238" s="28">
        <f t="shared" si="36"/>
        <v>0</v>
      </c>
      <c r="AG238" s="28">
        <f t="shared" si="37"/>
        <v>0</v>
      </c>
      <c r="AI238" s="88">
        <f t="shared" si="31"/>
        <v>0</v>
      </c>
      <c r="AJ238" s="88">
        <f t="shared" si="32"/>
        <v>0</v>
      </c>
      <c r="AK238">
        <f t="shared" si="38"/>
        <v>0</v>
      </c>
      <c r="AL238">
        <f t="shared" si="39"/>
        <v>0</v>
      </c>
    </row>
    <row r="239" spans="1:38" x14ac:dyDescent="0.25">
      <c r="A239" s="4">
        <f>Raw!J240</f>
        <v>151</v>
      </c>
      <c r="B239" s="4" t="str">
        <f>Raw!K240</f>
        <v>California Dr</v>
      </c>
      <c r="C239" s="4" t="str">
        <f>Raw!L240</f>
        <v>Irwin Pl</v>
      </c>
      <c r="D239" s="4" t="str">
        <f>Raw!M240</f>
        <v>Murchison Dr</v>
      </c>
      <c r="E239" s="23" t="str">
        <f>Raw!CG240</f>
        <v>W</v>
      </c>
      <c r="F239" s="7">
        <f>Raw!T240</f>
        <v>9</v>
      </c>
      <c r="G239" s="7">
        <f>Raw!AL240</f>
        <v>1</v>
      </c>
      <c r="H239" s="7">
        <f>Raw!AC240</f>
        <v>1</v>
      </c>
      <c r="I239" s="7">
        <f t="shared" si="30"/>
        <v>2</v>
      </c>
      <c r="J239" s="157">
        <f>Raw!BT240</f>
        <v>0</v>
      </c>
      <c r="K239" s="157">
        <f>Raw!AW240</f>
        <v>1</v>
      </c>
      <c r="L239" s="42">
        <f>IF(Raw!CE240 = "NA", "-", Raw!CE240)</f>
        <v>1.8</v>
      </c>
      <c r="M239" s="42">
        <f>IF(Raw!BH240 = "NA", "-", Raw!BH240)</f>
        <v>0.9</v>
      </c>
      <c r="N239" s="46">
        <f>IF(Raw!CD240 = "NA", "-", Raw!CD240)</f>
        <v>17</v>
      </c>
      <c r="O239" s="46">
        <f>IF(Raw!BG240 = "NA", "-", Raw!BG240)</f>
        <v>8</v>
      </c>
      <c r="P239" s="32">
        <f>IF(Raw!AW240 = "NA", "-", SUMPRODUCT(Raw!$BT$2:$CC$2, Raw!BT240:CC240))</f>
        <v>60</v>
      </c>
      <c r="Q239" s="32">
        <f>IF(Raw!AW240 = "NA", "-", SUMPRODUCT(Raw!$AW$2:$BF$2, Raw!AW240:BF240))</f>
        <v>59</v>
      </c>
      <c r="R239" s="7" t="e" cm="1">
        <f t="array" ref="R239">_xlfn.IFS(S239="YES", "Hourly", T239="YES", "Flat Rate")</f>
        <v>#N/A</v>
      </c>
      <c r="S239" s="8" t="str">
        <f>IF(Raw!CO240=1, "YES", "")</f>
        <v/>
      </c>
      <c r="T239" s="8" t="str">
        <f>IF(Raw!CO240=2, "YES", "")</f>
        <v/>
      </c>
      <c r="U239" s="96" t="str">
        <f>IF(Raw!CP240=1, "YES", "")</f>
        <v/>
      </c>
      <c r="V239" s="96"/>
      <c r="X239" s="23">
        <f>SUMPRODUCT(Raw!$BT$3:$CC$3, Raw!BT240:CC240)</f>
        <v>34</v>
      </c>
      <c r="Y239" s="23">
        <f>SUMPRODUCT(Raw!$BT$3:$CC$3, Raw!BU240:CD240)</f>
        <v>62</v>
      </c>
      <c r="Z239" s="28">
        <f t="shared" si="33"/>
        <v>232</v>
      </c>
      <c r="AA239" s="28">
        <f t="shared" si="34"/>
        <v>12098</v>
      </c>
      <c r="AC239">
        <f t="shared" si="35"/>
        <v>9</v>
      </c>
      <c r="AD239" s="23">
        <f>IF(U239="YES",SUMPRODUCT(Raw!$BT$3:$CC$3,Raw!BT240:CC240)*0.6,SUMPRODUCT(Raw!$BT$3:$CC$3,Raw!BT240:CC240))</f>
        <v>34</v>
      </c>
      <c r="AE239" s="23">
        <f>IF(U239="YES",SUMPRODUCT(Raw!$BT$3:$CC$3,Raw!BU240:CD240)*0.6,SUMPRODUCT(Raw!$BT$3:$CC$3,Raw!BU240:CD240))</f>
        <v>62</v>
      </c>
      <c r="AF239" s="28">
        <f t="shared" si="36"/>
        <v>232</v>
      </c>
      <c r="AG239" s="28">
        <f t="shared" si="37"/>
        <v>12098</v>
      </c>
      <c r="AI239" s="88">
        <f t="shared" si="31"/>
        <v>17</v>
      </c>
      <c r="AJ239" s="88">
        <f t="shared" si="32"/>
        <v>8</v>
      </c>
      <c r="AK239">
        <f t="shared" si="38"/>
        <v>511.5</v>
      </c>
      <c r="AL239">
        <f t="shared" si="39"/>
        <v>26691.5</v>
      </c>
    </row>
    <row r="240" spans="1:38" x14ac:dyDescent="0.25">
      <c r="A240" s="4">
        <f>Raw!J241</f>
        <v>258</v>
      </c>
      <c r="B240" s="4" t="str">
        <f>Raw!K241</f>
        <v>Murchison Dr</v>
      </c>
      <c r="C240" s="4" t="str">
        <f>Raw!L241</f>
        <v>California Dr</v>
      </c>
      <c r="D240" s="4" t="str">
        <f>Raw!M241</f>
        <v>El Camino Real</v>
      </c>
      <c r="E240" s="23" t="str">
        <f>Raw!CG241</f>
        <v>N</v>
      </c>
      <c r="F240" s="7">
        <f>Raw!T241</f>
        <v>9</v>
      </c>
      <c r="G240" s="7">
        <f>Raw!AL241</f>
        <v>0</v>
      </c>
      <c r="H240" s="7">
        <f>Raw!AC241</f>
        <v>0</v>
      </c>
      <c r="I240" s="7">
        <f t="shared" si="30"/>
        <v>0</v>
      </c>
      <c r="J240" s="157">
        <f>Raw!BT241</f>
        <v>3</v>
      </c>
      <c r="K240" s="157">
        <f>Raw!AW241</f>
        <v>1</v>
      </c>
      <c r="L240" s="42">
        <f>IF(Raw!CE241 = "NA", "-", Raw!CE241)</f>
        <v>0.6</v>
      </c>
      <c r="M240" s="42">
        <f>IF(Raw!BH241 = "NA", "-", Raw!BH241)</f>
        <v>0.2</v>
      </c>
      <c r="N240" s="46">
        <f>IF(Raw!CD241 = "NA", "-", Raw!CD241)</f>
        <v>5</v>
      </c>
      <c r="O240" s="46">
        <f>IF(Raw!BG241 = "NA", "-", Raw!BG241)</f>
        <v>2</v>
      </c>
      <c r="P240" s="32">
        <f>IF(Raw!AW241 = "NA", "-", SUMPRODUCT(Raw!$BT$2:$CC$2, Raw!BT241:CC241))</f>
        <v>8</v>
      </c>
      <c r="Q240" s="32">
        <f>IF(Raw!AW241 = "NA", "-", SUMPRODUCT(Raw!$AW$2:$BF$2, Raw!AW241:BF241))</f>
        <v>4</v>
      </c>
      <c r="R240" s="7" t="e" cm="1">
        <f t="array" ref="R240">_xlfn.IFS(S240="YES", "Hourly", T240="YES", "Flat Rate")</f>
        <v>#N/A</v>
      </c>
      <c r="S240" s="8" t="str">
        <f>IF(Raw!CO241=1, "YES", "")</f>
        <v/>
      </c>
      <c r="T240" s="8" t="str">
        <f>IF(Raw!CO241=2, "YES", "")</f>
        <v/>
      </c>
      <c r="U240" s="96" t="str">
        <f>IF(Raw!CP241=1, "YES", "")</f>
        <v/>
      </c>
      <c r="V240" s="96"/>
      <c r="X240" s="23">
        <f>SUMPRODUCT(Raw!$BT$3:$CC$3, Raw!BT241:CC241)</f>
        <v>7</v>
      </c>
      <c r="Y240" s="23">
        <f>SUMPRODUCT(Raw!$BT$3:$CC$3, Raw!BU241:CD241)</f>
        <v>13</v>
      </c>
      <c r="Z240" s="28">
        <f t="shared" si="33"/>
        <v>48</v>
      </c>
      <c r="AA240" s="28">
        <f t="shared" si="34"/>
        <v>2503</v>
      </c>
      <c r="AC240">
        <f t="shared" si="35"/>
        <v>9</v>
      </c>
      <c r="AD240" s="23">
        <f>IF(U240="YES",SUMPRODUCT(Raw!$BT$3:$CC$3,Raw!BT241:CC241)*0.6,SUMPRODUCT(Raw!$BT$3:$CC$3,Raw!BT241:CC241))</f>
        <v>7</v>
      </c>
      <c r="AE240" s="23">
        <f>IF(U240="YES",SUMPRODUCT(Raw!$BT$3:$CC$3,Raw!BU241:CD241)*0.6,SUMPRODUCT(Raw!$BT$3:$CC$3,Raw!BU241:CD241))</f>
        <v>13</v>
      </c>
      <c r="AF240" s="28">
        <f t="shared" si="36"/>
        <v>48</v>
      </c>
      <c r="AG240" s="28">
        <f t="shared" si="37"/>
        <v>2503</v>
      </c>
      <c r="AI240" s="88">
        <f t="shared" si="31"/>
        <v>5</v>
      </c>
      <c r="AJ240" s="88">
        <f t="shared" si="32"/>
        <v>2</v>
      </c>
      <c r="AK240">
        <f t="shared" si="38"/>
        <v>148.5</v>
      </c>
      <c r="AL240">
        <f t="shared" si="39"/>
        <v>7749.5</v>
      </c>
    </row>
    <row r="241" spans="1:38" x14ac:dyDescent="0.25">
      <c r="A241" s="4">
        <f>Raw!J242</f>
        <v>257</v>
      </c>
      <c r="B241" s="4" t="str">
        <f>Raw!K242</f>
        <v>Murchison Dr</v>
      </c>
      <c r="C241" s="4" t="str">
        <f>Raw!L242</f>
        <v>Magnolia Ave</v>
      </c>
      <c r="D241" s="4" t="str">
        <f>Raw!M242</f>
        <v>El Camino Real</v>
      </c>
      <c r="E241" s="23" t="str">
        <f>Raw!CG242</f>
        <v>S</v>
      </c>
      <c r="F241" s="7">
        <f>Raw!T242</f>
        <v>6</v>
      </c>
      <c r="G241" s="7">
        <f>Raw!AL242</f>
        <v>0</v>
      </c>
      <c r="H241" s="7">
        <f>Raw!AC242</f>
        <v>0</v>
      </c>
      <c r="I241" s="7">
        <f t="shared" si="30"/>
        <v>0</v>
      </c>
      <c r="J241" s="157">
        <f>Raw!BT242</f>
        <v>0</v>
      </c>
      <c r="K241" s="157">
        <f>Raw!AW242</f>
        <v>0</v>
      </c>
      <c r="L241" s="42">
        <f>IF(Raw!CE242 = "NA", "-", Raw!CE242)</f>
        <v>0.4</v>
      </c>
      <c r="M241" s="42">
        <f>IF(Raw!BH242 = "NA", "-", Raw!BH242)</f>
        <v>0.5</v>
      </c>
      <c r="N241" s="46">
        <f>IF(Raw!CD242 = "NA", "-", Raw!CD242)</f>
        <v>2</v>
      </c>
      <c r="O241" s="46">
        <f>IF(Raw!BG242 = "NA", "-", Raw!BG242)</f>
        <v>3</v>
      </c>
      <c r="P241" s="32">
        <f>IF(Raw!AW242 = "NA", "-", SUMPRODUCT(Raw!$BT$2:$CC$2, Raw!BT242:CC242))</f>
        <v>20</v>
      </c>
      <c r="Q241" s="32">
        <f>IF(Raw!AW242 = "NA", "-", SUMPRODUCT(Raw!$AW$2:$BF$2, Raw!AW242:BF242))</f>
        <v>27</v>
      </c>
      <c r="R241" s="7" t="e" cm="1">
        <f t="array" ref="R241">_xlfn.IFS(S241="YES", "Hourly", T241="YES", "Flat Rate")</f>
        <v>#N/A</v>
      </c>
      <c r="S241" s="8" t="str">
        <f>IF(Raw!CO242=1, "YES", "")</f>
        <v/>
      </c>
      <c r="T241" s="8" t="str">
        <f>IF(Raw!CO242=2, "YES", "")</f>
        <v/>
      </c>
      <c r="U241" s="96" t="str">
        <f>IF(Raw!CP242=1, "YES", "")</f>
        <v/>
      </c>
      <c r="V241" s="96"/>
      <c r="X241" s="23">
        <f>SUMPRODUCT(Raw!$BT$3:$CC$3, Raw!BT242:CC242)</f>
        <v>4</v>
      </c>
      <c r="Y241" s="23">
        <f>SUMPRODUCT(Raw!$BT$3:$CC$3, Raw!BU242:CD242)</f>
        <v>8</v>
      </c>
      <c r="Z241" s="28">
        <f t="shared" si="33"/>
        <v>28</v>
      </c>
      <c r="AA241" s="28">
        <f t="shared" si="34"/>
        <v>1460</v>
      </c>
      <c r="AC241">
        <f t="shared" si="35"/>
        <v>6</v>
      </c>
      <c r="AD241" s="23">
        <f>IF(U241="YES",SUMPRODUCT(Raw!$BT$3:$CC$3,Raw!BT242:CC242)*0.6,SUMPRODUCT(Raw!$BT$3:$CC$3,Raw!BT242:CC242))</f>
        <v>4</v>
      </c>
      <c r="AE241" s="23">
        <f>IF(U241="YES",SUMPRODUCT(Raw!$BT$3:$CC$3,Raw!BU242:CD242)*0.6,SUMPRODUCT(Raw!$BT$3:$CC$3,Raw!BU242:CD242))</f>
        <v>8</v>
      </c>
      <c r="AF241" s="28">
        <f t="shared" si="36"/>
        <v>28</v>
      </c>
      <c r="AG241" s="28">
        <f t="shared" si="37"/>
        <v>1460</v>
      </c>
      <c r="AI241" s="88">
        <f t="shared" si="31"/>
        <v>2</v>
      </c>
      <c r="AJ241" s="88">
        <f t="shared" si="32"/>
        <v>3</v>
      </c>
      <c r="AK241">
        <f t="shared" si="38"/>
        <v>71.5</v>
      </c>
      <c r="AL241">
        <f t="shared" si="39"/>
        <v>3729</v>
      </c>
    </row>
    <row r="242" spans="1:38" x14ac:dyDescent="0.25">
      <c r="A242" s="4">
        <f>Raw!J243</f>
        <v>259</v>
      </c>
      <c r="B242" s="4" t="str">
        <f>Raw!K243</f>
        <v>Murchison Dr</v>
      </c>
      <c r="C242" s="4" t="str">
        <f>Raw!L243</f>
        <v>El Camino Real</v>
      </c>
      <c r="D242" s="4" t="str">
        <f>Raw!M243</f>
        <v>California Dr</v>
      </c>
      <c r="E242" s="23" t="str">
        <f>Raw!CG243</f>
        <v>S</v>
      </c>
      <c r="F242" s="7">
        <f>Raw!T243</f>
        <v>4</v>
      </c>
      <c r="G242" s="7">
        <f>Raw!AL243</f>
        <v>3</v>
      </c>
      <c r="H242" s="7">
        <f>Raw!AC243</f>
        <v>0</v>
      </c>
      <c r="I242" s="7">
        <f t="shared" si="30"/>
        <v>3</v>
      </c>
      <c r="J242" s="157">
        <f>Raw!BT243</f>
        <v>1</v>
      </c>
      <c r="K242" s="157">
        <f>Raw!AW243</f>
        <v>0</v>
      </c>
      <c r="L242" s="42">
        <f>IF(Raw!CE243 = "NA", "-", Raw!CE243)</f>
        <v>1.1000000000000001</v>
      </c>
      <c r="M242" s="42">
        <f>IF(Raw!BH243 = "NA", "-", Raw!BH243)</f>
        <v>0</v>
      </c>
      <c r="N242" s="46">
        <f>IF(Raw!CD243 = "NA", "-", Raw!CD243)</f>
        <v>5</v>
      </c>
      <c r="O242" s="46">
        <f>IF(Raw!BG243 = "NA", "-", Raw!BG243)</f>
        <v>0</v>
      </c>
      <c r="P242" s="32">
        <f>IF(Raw!AW243 = "NA", "-", SUMPRODUCT(Raw!$BT$2:$CC$2, Raw!BT243:CC243))</f>
        <v>40</v>
      </c>
      <c r="Q242" s="32">
        <f>IF(Raw!AW243 = "NA", "-", SUMPRODUCT(Raw!$AW$2:$BF$2, Raw!AW243:BF243))</f>
        <v>0</v>
      </c>
      <c r="R242" s="7" t="e" cm="1">
        <f t="array" ref="R242">_xlfn.IFS(S242="YES", "Hourly", T242="YES", "Flat Rate")</f>
        <v>#N/A</v>
      </c>
      <c r="S242" s="8" t="str">
        <f>IF(Raw!CO243=1, "YES", "")</f>
        <v/>
      </c>
      <c r="T242" s="8" t="str">
        <f>IF(Raw!CO243=2, "YES", "")</f>
        <v/>
      </c>
      <c r="U242" s="96" t="str">
        <f>IF(Raw!CP243=1, "YES", "")</f>
        <v/>
      </c>
      <c r="V242" s="96"/>
      <c r="X242" s="23">
        <f>SUMPRODUCT(Raw!$BT$3:$CC$3, Raw!BT243:CC243)</f>
        <v>9</v>
      </c>
      <c r="Y242" s="23">
        <f>SUMPRODUCT(Raw!$BT$3:$CC$3, Raw!BU243:CD243)</f>
        <v>18</v>
      </c>
      <c r="Z242" s="28">
        <f t="shared" si="33"/>
        <v>63</v>
      </c>
      <c r="AA242" s="28">
        <f t="shared" si="34"/>
        <v>3285</v>
      </c>
      <c r="AC242">
        <f t="shared" si="35"/>
        <v>4</v>
      </c>
      <c r="AD242" s="23">
        <f>IF(U242="YES",SUMPRODUCT(Raw!$BT$3:$CC$3,Raw!BT243:CC243)*0.6,SUMPRODUCT(Raw!$BT$3:$CC$3,Raw!BT243:CC243))</f>
        <v>9</v>
      </c>
      <c r="AE242" s="23">
        <f>IF(U242="YES",SUMPRODUCT(Raw!$BT$3:$CC$3,Raw!BU243:CD243)*0.6,SUMPRODUCT(Raw!$BT$3:$CC$3,Raw!BU243:CD243))</f>
        <v>18</v>
      </c>
      <c r="AF242" s="28">
        <f t="shared" si="36"/>
        <v>63</v>
      </c>
      <c r="AG242" s="28">
        <f t="shared" si="37"/>
        <v>3285</v>
      </c>
      <c r="AI242" s="88">
        <f t="shared" si="31"/>
        <v>5</v>
      </c>
      <c r="AJ242" s="88">
        <f t="shared" si="32"/>
        <v>0</v>
      </c>
      <c r="AK242">
        <f t="shared" si="38"/>
        <v>137.5</v>
      </c>
      <c r="AL242">
        <f t="shared" si="39"/>
        <v>7177.5</v>
      </c>
    </row>
    <row r="243" spans="1:38" x14ac:dyDescent="0.25">
      <c r="A243" s="4">
        <f>Raw!J244</f>
        <v>145</v>
      </c>
      <c r="B243" s="4" t="str">
        <f>Raw!K244</f>
        <v>Sierra Ave</v>
      </c>
      <c r="C243" s="4" t="str">
        <f>Raw!L244</f>
        <v>El Camino Real</v>
      </c>
      <c r="D243" s="4" t="str">
        <f>Raw!M244</f>
        <v>Linden Ave</v>
      </c>
      <c r="E243" s="23" t="str">
        <f>Raw!CG244</f>
        <v>E</v>
      </c>
      <c r="F243" s="7">
        <f>Raw!T244</f>
        <v>14</v>
      </c>
      <c r="G243" s="7">
        <f>Raw!AL244</f>
        <v>0</v>
      </c>
      <c r="H243" s="7">
        <f>Raw!AC244</f>
        <v>0</v>
      </c>
      <c r="I243" s="7">
        <f t="shared" si="30"/>
        <v>0</v>
      </c>
      <c r="J243" s="157">
        <f>Raw!BT244</f>
        <v>3</v>
      </c>
      <c r="K243" s="157">
        <f>Raw!AW244</f>
        <v>8</v>
      </c>
      <c r="L243" s="42">
        <f>IF(Raw!CE244 = "NA", "-", Raw!CE244)</f>
        <v>0.4</v>
      </c>
      <c r="M243" s="42">
        <f>IF(Raw!BH244 = "NA", "-", Raw!BH244)</f>
        <v>0.9</v>
      </c>
      <c r="N243" s="46">
        <f>IF(Raw!CD244 = "NA", "-", Raw!CD244)</f>
        <v>5</v>
      </c>
      <c r="O243" s="46">
        <f>IF(Raw!BG244 = "NA", "-", Raw!BG244)</f>
        <v>12</v>
      </c>
      <c r="P243" s="32">
        <f>IF(Raw!AW244 = "NA", "-", SUMPRODUCT(Raw!$BT$2:$CC$2, Raw!BT244:CC244))</f>
        <v>13</v>
      </c>
      <c r="Q243" s="32">
        <f>IF(Raw!AW244 = "NA", "-", SUMPRODUCT(Raw!$AW$2:$BF$2, Raw!AW244:BF244))</f>
        <v>30</v>
      </c>
      <c r="R243" s="7" t="str" cm="1">
        <f t="array" ref="R243">_xlfn.IFS(S243="YES", "Hourly", T243="YES", "Flat Rate")</f>
        <v>Hourly</v>
      </c>
      <c r="S243" s="8" t="str">
        <f>IF(Raw!CO244=1, "YES", "")</f>
        <v>YES</v>
      </c>
      <c r="T243" s="8" t="str">
        <f>IF(Raw!CO244=2, "YES", "")</f>
        <v/>
      </c>
      <c r="U243" s="96" t="str">
        <f>IF(Raw!CP244=1, "YES", "")</f>
        <v/>
      </c>
      <c r="V243" s="96"/>
      <c r="X243" s="23">
        <f>SUMPRODUCT(Raw!$BT$3:$CC$3, Raw!BT244:CC244)</f>
        <v>7</v>
      </c>
      <c r="Y243" s="23">
        <f>SUMPRODUCT(Raw!$BT$3:$CC$3, Raw!BU244:CD244)</f>
        <v>14</v>
      </c>
      <c r="Z243" s="28">
        <f t="shared" si="33"/>
        <v>49</v>
      </c>
      <c r="AA243" s="28">
        <f t="shared" si="34"/>
        <v>2555</v>
      </c>
      <c r="AC243">
        <f t="shared" si="35"/>
        <v>14</v>
      </c>
      <c r="AD243" s="23">
        <f>IF(U243="YES",SUMPRODUCT(Raw!$BT$3:$CC$3,Raw!BT244:CC244)*0.6,SUMPRODUCT(Raw!$BT$3:$CC$3,Raw!BT244:CC244))</f>
        <v>7</v>
      </c>
      <c r="AE243" s="23">
        <f>IF(U243="YES",SUMPRODUCT(Raw!$BT$3:$CC$3,Raw!BU244:CD244)*0.6,SUMPRODUCT(Raw!$BT$3:$CC$3,Raw!BU244:CD244))</f>
        <v>14</v>
      </c>
      <c r="AF243" s="28">
        <f t="shared" si="36"/>
        <v>49</v>
      </c>
      <c r="AG243" s="28">
        <f t="shared" si="37"/>
        <v>2555</v>
      </c>
      <c r="AI243" s="88">
        <f t="shared" si="31"/>
        <v>5</v>
      </c>
      <c r="AJ243" s="88">
        <f t="shared" si="32"/>
        <v>12</v>
      </c>
      <c r="AK243">
        <f t="shared" si="38"/>
        <v>203.5</v>
      </c>
      <c r="AL243">
        <f t="shared" si="39"/>
        <v>10609.5</v>
      </c>
    </row>
    <row r="244" spans="1:38" x14ac:dyDescent="0.25">
      <c r="A244" s="4">
        <f>Raw!J245</f>
        <v>144</v>
      </c>
      <c r="B244" s="4" t="str">
        <f>Raw!K245</f>
        <v>Sierra Ave</v>
      </c>
      <c r="C244" s="4" t="str">
        <f>Raw!L245</f>
        <v>Linden Ave</v>
      </c>
      <c r="D244" s="4" t="str">
        <f>Raw!M245</f>
        <v>El Camino Real</v>
      </c>
      <c r="E244" s="23" t="str">
        <f>Raw!CG245</f>
        <v>W</v>
      </c>
      <c r="F244" s="7">
        <f>Raw!T245</f>
        <v>11</v>
      </c>
      <c r="G244" s="7">
        <f>Raw!AL245</f>
        <v>0</v>
      </c>
      <c r="H244" s="7">
        <f>Raw!AC245</f>
        <v>0</v>
      </c>
      <c r="I244" s="7">
        <f t="shared" si="30"/>
        <v>0</v>
      </c>
      <c r="J244" s="157">
        <f>Raw!BT245</f>
        <v>4</v>
      </c>
      <c r="K244" s="157">
        <f>Raw!AW245</f>
        <v>12</v>
      </c>
      <c r="L244" s="42">
        <f>IF(Raw!CE245 = "NA", "-", Raw!CE245)</f>
        <v>1.2</v>
      </c>
      <c r="M244" s="42">
        <f>IF(Raw!BH245 = "NA", "-", Raw!BH245)</f>
        <v>1.7</v>
      </c>
      <c r="N244" s="46">
        <f>IF(Raw!CD245 = "NA", "-", Raw!CD245)</f>
        <v>13</v>
      </c>
      <c r="O244" s="46">
        <f>IF(Raw!BG245 = "NA", "-", Raw!BG245)</f>
        <v>18</v>
      </c>
      <c r="P244" s="32">
        <f>IF(Raw!AW245 = "NA", "-", SUMPRODUCT(Raw!$BT$2:$CC$2, Raw!BT245:CC245))</f>
        <v>32</v>
      </c>
      <c r="Q244" s="32">
        <f>IF(Raw!AW245 = "NA", "-", SUMPRODUCT(Raw!$AW$2:$BF$2, Raw!AW245:BF245))</f>
        <v>33</v>
      </c>
      <c r="R244" s="7" t="str" cm="1">
        <f t="array" ref="R244">_xlfn.IFS(S244="YES", "Hourly", T244="YES", "Flat Rate")</f>
        <v>Hourly</v>
      </c>
      <c r="S244" s="8" t="str">
        <f>IF(Raw!CO245=1, "YES", "")</f>
        <v>YES</v>
      </c>
      <c r="T244" s="8" t="str">
        <f>IF(Raw!CO245=2, "YES", "")</f>
        <v/>
      </c>
      <c r="U244" s="96" t="str">
        <f>IF(Raw!CP245=1, "YES", "")</f>
        <v/>
      </c>
      <c r="V244" s="96"/>
      <c r="X244" s="23">
        <f>SUMPRODUCT(Raw!$BT$3:$CC$3, Raw!BT245:CC245)</f>
        <v>22</v>
      </c>
      <c r="Y244" s="23">
        <f>SUMPRODUCT(Raw!$BT$3:$CC$3, Raw!BU245:CD245)</f>
        <v>40</v>
      </c>
      <c r="Z244" s="28">
        <f t="shared" si="33"/>
        <v>150</v>
      </c>
      <c r="AA244" s="28">
        <f t="shared" si="34"/>
        <v>7822</v>
      </c>
      <c r="AC244">
        <f t="shared" si="35"/>
        <v>11</v>
      </c>
      <c r="AD244" s="23">
        <f>IF(U244="YES",SUMPRODUCT(Raw!$BT$3:$CC$3,Raw!BT245:CC245)*0.6,SUMPRODUCT(Raw!$BT$3:$CC$3,Raw!BT245:CC245))</f>
        <v>22</v>
      </c>
      <c r="AE244" s="23">
        <f>IF(U244="YES",SUMPRODUCT(Raw!$BT$3:$CC$3,Raw!BU245:CD245)*0.6,SUMPRODUCT(Raw!$BT$3:$CC$3,Raw!BU245:CD245))</f>
        <v>40</v>
      </c>
      <c r="AF244" s="28">
        <f t="shared" si="36"/>
        <v>150</v>
      </c>
      <c r="AG244" s="28">
        <f t="shared" si="37"/>
        <v>7822</v>
      </c>
      <c r="AI244" s="88">
        <f t="shared" si="31"/>
        <v>13</v>
      </c>
      <c r="AJ244" s="88">
        <f t="shared" si="32"/>
        <v>18</v>
      </c>
      <c r="AK244">
        <f t="shared" si="38"/>
        <v>456.5</v>
      </c>
      <c r="AL244">
        <f t="shared" si="39"/>
        <v>23809.5</v>
      </c>
    </row>
    <row r="245" spans="1:38" x14ac:dyDescent="0.25">
      <c r="A245" s="4">
        <f>Raw!J246</f>
        <v>240</v>
      </c>
      <c r="B245" s="4" t="str">
        <f>Raw!K246</f>
        <v>Linden Ave</v>
      </c>
      <c r="C245" s="4" t="str">
        <f>Raw!L246</f>
        <v>Sierra Ave</v>
      </c>
      <c r="D245" s="4" t="str">
        <f>Raw!M246</f>
        <v>El Camino Real</v>
      </c>
      <c r="E245" s="23" t="str">
        <f>Raw!CG246</f>
        <v>N</v>
      </c>
      <c r="F245" s="7">
        <f>Raw!T246</f>
        <v>3</v>
      </c>
      <c r="G245" s="7">
        <f>Raw!AL246</f>
        <v>3</v>
      </c>
      <c r="H245" s="7">
        <f>Raw!AC246</f>
        <v>1</v>
      </c>
      <c r="I245" s="7">
        <f t="shared" si="30"/>
        <v>4</v>
      </c>
      <c r="J245" s="157">
        <f>Raw!BT246</f>
        <v>0</v>
      </c>
      <c r="K245" s="157">
        <f>Raw!AW246</f>
        <v>0</v>
      </c>
      <c r="L245" s="42">
        <f>IF(Raw!CE246 = "NA", "-", Raw!CE246)</f>
        <v>0.9</v>
      </c>
      <c r="M245" s="42">
        <f>IF(Raw!BH246 = "NA", "-", Raw!BH246)</f>
        <v>1.3</v>
      </c>
      <c r="N245" s="46">
        <f>IF(Raw!CD246 = "NA", "-", Raw!CD246)</f>
        <v>3</v>
      </c>
      <c r="O245" s="46">
        <f>IF(Raw!BG246 = "NA", "-", Raw!BG246)</f>
        <v>4</v>
      </c>
      <c r="P245" s="32">
        <f>IF(Raw!AW246 = "NA", "-", SUMPRODUCT(Raw!$BT$2:$CC$2, Raw!BT246:CC246))</f>
        <v>30</v>
      </c>
      <c r="Q245" s="32">
        <f>IF(Raw!AW246 = "NA", "-", SUMPRODUCT(Raw!$AW$2:$BF$2, Raw!AW246:BF246))</f>
        <v>22</v>
      </c>
      <c r="R245" s="7" t="str" cm="1">
        <f t="array" ref="R245">_xlfn.IFS(S245="YES", "Hourly", T245="YES", "Flat Rate")</f>
        <v>Hourly</v>
      </c>
      <c r="S245" s="8" t="str">
        <f>IF(Raw!CO246=1, "YES", "")</f>
        <v>YES</v>
      </c>
      <c r="T245" s="8" t="str">
        <f>IF(Raw!CO246=2, "YES", "")</f>
        <v/>
      </c>
      <c r="U245" s="96" t="str">
        <f>IF(Raw!CP246=1, "YES", "")</f>
        <v/>
      </c>
      <c r="V245" s="96"/>
      <c r="X245" s="23">
        <f>SUMPRODUCT(Raw!$BT$3:$CC$3, Raw!BT246:CC246)</f>
        <v>6</v>
      </c>
      <c r="Y245" s="23">
        <f>SUMPRODUCT(Raw!$BT$3:$CC$3, Raw!BU246:CD246)</f>
        <v>12</v>
      </c>
      <c r="Z245" s="28">
        <f t="shared" si="33"/>
        <v>42</v>
      </c>
      <c r="AA245" s="28">
        <f t="shared" si="34"/>
        <v>2190</v>
      </c>
      <c r="AC245">
        <f t="shared" si="35"/>
        <v>3</v>
      </c>
      <c r="AD245" s="23">
        <f>IF(U245="YES",SUMPRODUCT(Raw!$BT$3:$CC$3,Raw!BT246:CC246)*0.6,SUMPRODUCT(Raw!$BT$3:$CC$3,Raw!BT246:CC246))</f>
        <v>6</v>
      </c>
      <c r="AE245" s="23">
        <f>IF(U245="YES",SUMPRODUCT(Raw!$BT$3:$CC$3,Raw!BU246:CD246)*0.6,SUMPRODUCT(Raw!$BT$3:$CC$3,Raw!BU246:CD246))</f>
        <v>12</v>
      </c>
      <c r="AF245" s="28">
        <f t="shared" si="36"/>
        <v>42</v>
      </c>
      <c r="AG245" s="28">
        <f t="shared" si="37"/>
        <v>2190</v>
      </c>
      <c r="AI245" s="88">
        <f t="shared" si="31"/>
        <v>3</v>
      </c>
      <c r="AJ245" s="88">
        <f t="shared" si="32"/>
        <v>4</v>
      </c>
      <c r="AK245">
        <f t="shared" si="38"/>
        <v>104.5</v>
      </c>
      <c r="AL245">
        <f t="shared" si="39"/>
        <v>5450.5</v>
      </c>
    </row>
    <row r="246" spans="1:38" x14ac:dyDescent="0.25">
      <c r="A246" s="4">
        <f>Raw!J247</f>
        <v>241</v>
      </c>
      <c r="B246" s="4" t="str">
        <f>Raw!K247</f>
        <v>Linden Ave</v>
      </c>
      <c r="C246" s="4" t="str">
        <f>Raw!L247</f>
        <v>El Camino Real</v>
      </c>
      <c r="D246" s="4" t="str">
        <f>Raw!M247</f>
        <v>Sierra Ave</v>
      </c>
      <c r="E246" s="23" t="str">
        <f>Raw!CG247</f>
        <v>S</v>
      </c>
      <c r="F246" s="7">
        <f>Raw!T247</f>
        <v>2</v>
      </c>
      <c r="G246" s="7">
        <f>Raw!AL247</f>
        <v>0</v>
      </c>
      <c r="H246" s="7">
        <f>Raw!AC247</f>
        <v>0</v>
      </c>
      <c r="I246" s="7">
        <f t="shared" si="30"/>
        <v>0</v>
      </c>
      <c r="J246" s="157">
        <f>Raw!BT247</f>
        <v>0</v>
      </c>
      <c r="K246" s="157">
        <f>Raw!AW247</f>
        <v>1</v>
      </c>
      <c r="L246" s="42">
        <f>IF(Raw!CE247 = "NA", "-", Raw!CE247)</f>
        <v>0</v>
      </c>
      <c r="M246" s="42">
        <f>IF(Raw!BH247 = "NA", "-", Raw!BH247)</f>
        <v>1</v>
      </c>
      <c r="N246" s="46">
        <f>IF(Raw!CD247 = "NA", "-", Raw!CD247)</f>
        <v>0</v>
      </c>
      <c r="O246" s="46">
        <f>IF(Raw!BG247 = "NA", "-", Raw!BG247)</f>
        <v>2</v>
      </c>
      <c r="P246" s="32">
        <f>IF(Raw!AW247 = "NA", "-", SUMPRODUCT(Raw!$BT$2:$CC$2, Raw!BT247:CC247))</f>
        <v>0</v>
      </c>
      <c r="Q246" s="32">
        <f>IF(Raw!AW247 = "NA", "-", SUMPRODUCT(Raw!$AW$2:$BF$2, Raw!AW247:BF247))</f>
        <v>3</v>
      </c>
      <c r="R246" s="7" t="str" cm="1">
        <f t="array" ref="R246">_xlfn.IFS(S246="YES", "Hourly", T246="YES", "Flat Rate")</f>
        <v>Hourly</v>
      </c>
      <c r="S246" s="8" t="str">
        <f>IF(Raw!CO247=1, "YES", "")</f>
        <v>YES</v>
      </c>
      <c r="T246" s="8" t="str">
        <f>IF(Raw!CO247=2, "YES", "")</f>
        <v/>
      </c>
      <c r="U246" s="96" t="str">
        <f>IF(Raw!CP247=1, "YES", "")</f>
        <v/>
      </c>
      <c r="V246" s="96"/>
      <c r="X246" s="23">
        <f>SUMPRODUCT(Raw!$BT$3:$CC$3, Raw!BT247:CC247)</f>
        <v>0</v>
      </c>
      <c r="Y246" s="23">
        <f>SUMPRODUCT(Raw!$BT$3:$CC$3, Raw!BU247:CD247)</f>
        <v>0</v>
      </c>
      <c r="Z246" s="28">
        <f t="shared" si="33"/>
        <v>0</v>
      </c>
      <c r="AA246" s="28">
        <f t="shared" si="34"/>
        <v>0</v>
      </c>
      <c r="AC246">
        <f t="shared" si="35"/>
        <v>2</v>
      </c>
      <c r="AD246" s="23">
        <f>IF(U246="YES",SUMPRODUCT(Raw!$BT$3:$CC$3,Raw!BT247:CC247)*0.6,SUMPRODUCT(Raw!$BT$3:$CC$3,Raw!BT247:CC247))</f>
        <v>0</v>
      </c>
      <c r="AE246" s="23">
        <f>IF(U246="YES",SUMPRODUCT(Raw!$BT$3:$CC$3,Raw!BU247:CD247)*0.6,SUMPRODUCT(Raw!$BT$3:$CC$3,Raw!BU247:CD247))</f>
        <v>0</v>
      </c>
      <c r="AF246" s="28">
        <f t="shared" si="36"/>
        <v>0</v>
      </c>
      <c r="AG246" s="28">
        <f t="shared" si="37"/>
        <v>0</v>
      </c>
      <c r="AI246" s="88">
        <f t="shared" si="31"/>
        <v>0</v>
      </c>
      <c r="AJ246" s="88">
        <f t="shared" si="32"/>
        <v>2</v>
      </c>
      <c r="AK246">
        <f t="shared" si="38"/>
        <v>11</v>
      </c>
      <c r="AL246">
        <f t="shared" si="39"/>
        <v>572</v>
      </c>
    </row>
    <row r="247" spans="1:38" x14ac:dyDescent="0.25">
      <c r="A247" s="4">
        <f>Raw!J248</f>
        <v>146</v>
      </c>
      <c r="B247" s="4" t="str">
        <f>Raw!K248</f>
        <v>Sierra Ave</v>
      </c>
      <c r="C247" s="4" t="str">
        <f>Raw!L248</f>
        <v>Linden Ave</v>
      </c>
      <c r="D247" s="4" t="str">
        <f>Raw!M248</f>
        <v>End</v>
      </c>
      <c r="E247" s="23" t="str">
        <f>Raw!CG248</f>
        <v>W</v>
      </c>
      <c r="F247" s="7">
        <f>Raw!T248</f>
        <v>2</v>
      </c>
      <c r="G247" s="7">
        <f>Raw!AL248</f>
        <v>0</v>
      </c>
      <c r="H247" s="7">
        <f>Raw!AC248</f>
        <v>1</v>
      </c>
      <c r="I247" s="7">
        <f t="shared" si="30"/>
        <v>1</v>
      </c>
      <c r="J247" s="157">
        <f>Raw!BT248</f>
        <v>0</v>
      </c>
      <c r="K247" s="157">
        <f>Raw!AW248</f>
        <v>6</v>
      </c>
      <c r="L247" s="42">
        <f>IF(Raw!CE248 = "NA", "-", Raw!CE248)</f>
        <v>0</v>
      </c>
      <c r="M247" s="42">
        <f>IF(Raw!BH248 = "NA", "-", Raw!BH248)</f>
        <v>4.4000000000000004</v>
      </c>
      <c r="N247" s="46">
        <f>IF(Raw!CD248 = "NA", "-", Raw!CD248)</f>
        <v>0</v>
      </c>
      <c r="O247" s="46">
        <f>IF(Raw!BG248 = "NA", "-", Raw!BG248)</f>
        <v>7</v>
      </c>
      <c r="P247" s="32">
        <f>IF(Raw!AW248 = "NA", "-", SUMPRODUCT(Raw!$BT$2:$CC$2, Raw!BT248:CC248))</f>
        <v>0</v>
      </c>
      <c r="Q247" s="32">
        <f>IF(Raw!AW248 = "NA", "-", SUMPRODUCT(Raw!$AW$2:$BF$2, Raw!AW248:BF248))</f>
        <v>8</v>
      </c>
      <c r="R247" s="7" t="str" cm="1">
        <f t="array" ref="R247">_xlfn.IFS(S247="YES", "Hourly", T247="YES", "Flat Rate")</f>
        <v>Flat Rate</v>
      </c>
      <c r="S247" s="8" t="str">
        <f>IF(Raw!CO248=1, "YES", "")</f>
        <v/>
      </c>
      <c r="T247" s="8" t="str">
        <f>IF(Raw!CO248=2, "YES", "")</f>
        <v>YES</v>
      </c>
      <c r="U247" s="96" t="str">
        <f>IF(Raw!CP248=1, "YES", "")</f>
        <v/>
      </c>
      <c r="V247" s="96"/>
      <c r="X247" s="23">
        <f>SUMPRODUCT(Raw!$BT$3:$CC$3, Raw!BT248:CC248)</f>
        <v>0</v>
      </c>
      <c r="Y247" s="23">
        <f>SUMPRODUCT(Raw!$BT$3:$CC$3, Raw!BU248:CD248)</f>
        <v>0</v>
      </c>
      <c r="Z247" s="28">
        <f t="shared" si="33"/>
        <v>0</v>
      </c>
      <c r="AA247" s="28">
        <f t="shared" si="34"/>
        <v>0</v>
      </c>
      <c r="AC247">
        <f t="shared" si="35"/>
        <v>2</v>
      </c>
      <c r="AD247" s="23">
        <f>IF(U247="YES",SUMPRODUCT(Raw!$BT$3:$CC$3,Raw!BT248:CC248)*0.6,SUMPRODUCT(Raw!$BT$3:$CC$3,Raw!BT248:CC248))</f>
        <v>0</v>
      </c>
      <c r="AE247" s="23">
        <f>IF(U247="YES",SUMPRODUCT(Raw!$BT$3:$CC$3,Raw!BU248:CD248)*0.6,SUMPRODUCT(Raw!$BT$3:$CC$3,Raw!BU248:CD248))</f>
        <v>0</v>
      </c>
      <c r="AF247" s="28">
        <f t="shared" si="36"/>
        <v>0</v>
      </c>
      <c r="AG247" s="28">
        <f t="shared" si="37"/>
        <v>0</v>
      </c>
      <c r="AI247" s="88">
        <f t="shared" si="31"/>
        <v>0</v>
      </c>
      <c r="AJ247" s="88">
        <f t="shared" si="32"/>
        <v>7</v>
      </c>
      <c r="AK247">
        <f t="shared" si="38"/>
        <v>38.5</v>
      </c>
      <c r="AL247">
        <f t="shared" si="39"/>
        <v>2002</v>
      </c>
    </row>
    <row r="248" spans="1:38" x14ac:dyDescent="0.25">
      <c r="A248" s="4">
        <f>Raw!J249</f>
        <v>147</v>
      </c>
      <c r="B248" s="4" t="str">
        <f>Raw!K249</f>
        <v>Sierra Ave</v>
      </c>
      <c r="C248" s="4" t="str">
        <f>Raw!L249</f>
        <v>End</v>
      </c>
      <c r="D248" s="4" t="str">
        <f>Raw!M249</f>
        <v>Linden Ave</v>
      </c>
      <c r="E248" s="23" t="str">
        <f>Raw!CG249</f>
        <v>E</v>
      </c>
      <c r="F248" s="7">
        <f>Raw!T249</f>
        <v>3</v>
      </c>
      <c r="G248" s="7">
        <f>Raw!AL249</f>
        <v>0</v>
      </c>
      <c r="H248" s="7">
        <f>Raw!AC249</f>
        <v>0</v>
      </c>
      <c r="I248" s="7">
        <f t="shared" si="30"/>
        <v>0</v>
      </c>
      <c r="J248" s="157">
        <f>Raw!BT249</f>
        <v>0</v>
      </c>
      <c r="K248" s="157">
        <f>Raw!AW249</f>
        <v>2</v>
      </c>
      <c r="L248" s="42">
        <f>IF(Raw!CE249 = "NA", "-", Raw!CE249)</f>
        <v>0</v>
      </c>
      <c r="M248" s="42">
        <f>IF(Raw!BH249 = "NA", "-", Raw!BH249)</f>
        <v>1</v>
      </c>
      <c r="N248" s="46">
        <f>IF(Raw!CD249 = "NA", "-", Raw!CD249)</f>
        <v>0</v>
      </c>
      <c r="O248" s="46">
        <f>IF(Raw!BG249 = "NA", "-", Raw!BG249)</f>
        <v>3</v>
      </c>
      <c r="P248" s="32">
        <f>IF(Raw!AW249 = "NA", "-", SUMPRODUCT(Raw!$BT$2:$CC$2, Raw!BT249:CC249))</f>
        <v>0</v>
      </c>
      <c r="Q248" s="32">
        <f>IF(Raw!AW249 = "NA", "-", SUMPRODUCT(Raw!$AW$2:$BF$2, Raw!AW249:BF249))</f>
        <v>6</v>
      </c>
      <c r="R248" s="7" t="str" cm="1">
        <f t="array" ref="R248">_xlfn.IFS(S248="YES", "Hourly", T248="YES", "Flat Rate")</f>
        <v>Flat Rate</v>
      </c>
      <c r="S248" s="8" t="str">
        <f>IF(Raw!CO249=1, "YES", "")</f>
        <v/>
      </c>
      <c r="T248" s="8" t="str">
        <f>IF(Raw!CO249=2, "YES", "")</f>
        <v>YES</v>
      </c>
      <c r="U248" s="96" t="str">
        <f>IF(Raw!CP249=1, "YES", "")</f>
        <v/>
      </c>
      <c r="V248" s="96"/>
      <c r="X248" s="23">
        <f>SUMPRODUCT(Raw!$BT$3:$CC$3, Raw!BT249:CC249)</f>
        <v>0</v>
      </c>
      <c r="Y248" s="23">
        <f>SUMPRODUCT(Raw!$BT$3:$CC$3, Raw!BU249:CD249)</f>
        <v>0</v>
      </c>
      <c r="Z248" s="28">
        <f t="shared" si="33"/>
        <v>0</v>
      </c>
      <c r="AA248" s="28">
        <f t="shared" si="34"/>
        <v>0</v>
      </c>
      <c r="AC248">
        <f t="shared" si="35"/>
        <v>3</v>
      </c>
      <c r="AD248" s="23">
        <f>IF(U248="YES",SUMPRODUCT(Raw!$BT$3:$CC$3,Raw!BT249:CC249)*0.6,SUMPRODUCT(Raw!$BT$3:$CC$3,Raw!BT249:CC249))</f>
        <v>0</v>
      </c>
      <c r="AE248" s="23">
        <f>IF(U248="YES",SUMPRODUCT(Raw!$BT$3:$CC$3,Raw!BU249:CD249)*0.6,SUMPRODUCT(Raw!$BT$3:$CC$3,Raw!BU249:CD249))</f>
        <v>0</v>
      </c>
      <c r="AF248" s="28">
        <f t="shared" si="36"/>
        <v>0</v>
      </c>
      <c r="AG248" s="28">
        <f t="shared" si="37"/>
        <v>0</v>
      </c>
      <c r="AI248" s="88">
        <f t="shared" si="31"/>
        <v>0</v>
      </c>
      <c r="AJ248" s="88">
        <f t="shared" si="32"/>
        <v>3</v>
      </c>
      <c r="AK248">
        <f t="shared" si="38"/>
        <v>16.5</v>
      </c>
      <c r="AL248">
        <f t="shared" si="39"/>
        <v>858</v>
      </c>
    </row>
    <row r="249" spans="1:38" x14ac:dyDescent="0.25">
      <c r="A249" s="4">
        <f>Raw!J250</f>
        <v>150</v>
      </c>
      <c r="B249" s="4" t="str">
        <f>Raw!K250</f>
        <v>California Dr</v>
      </c>
      <c r="C249" s="4" t="str">
        <f>Raw!L250</f>
        <v>Murchison Dr</v>
      </c>
      <c r="D249" s="4" t="str">
        <f>Raw!M250</f>
        <v>Sierra Ave</v>
      </c>
      <c r="E249" s="23" t="str">
        <f>Raw!CG250</f>
        <v>E</v>
      </c>
      <c r="F249" s="7">
        <f>Raw!T250</f>
        <v>20</v>
      </c>
      <c r="G249" s="7">
        <f>Raw!AL250</f>
        <v>0</v>
      </c>
      <c r="H249" s="7">
        <f>Raw!AC250</f>
        <v>0</v>
      </c>
      <c r="I249" s="7">
        <f t="shared" si="30"/>
        <v>0</v>
      </c>
      <c r="J249" s="157">
        <f>Raw!BT250</f>
        <v>2</v>
      </c>
      <c r="K249" s="157">
        <f>Raw!AW250</f>
        <v>18</v>
      </c>
      <c r="L249" s="42">
        <f>IF(Raw!CE250 = "NA", "-", Raw!CE250)</f>
        <v>1.4</v>
      </c>
      <c r="M249" s="42">
        <f>IF(Raw!BH250 = "NA", "-", Raw!BH250)</f>
        <v>2</v>
      </c>
      <c r="N249" s="46">
        <f>IF(Raw!CD250 = "NA", "-", Raw!CD250)</f>
        <v>28</v>
      </c>
      <c r="O249" s="46">
        <f>IF(Raw!BG250 = "NA", "-", Raw!BG250)</f>
        <v>40</v>
      </c>
      <c r="P249" s="32">
        <f>IF(Raw!AW250 = "NA", "-", SUMPRODUCT(Raw!$BT$2:$CC$2, Raw!BT250:CC250))</f>
        <v>106</v>
      </c>
      <c r="Q249" s="32">
        <f>IF(Raw!AW250 = "NA", "-", SUMPRODUCT(Raw!$AW$2:$BF$2, Raw!AW250:BF250))</f>
        <v>105</v>
      </c>
      <c r="R249" s="7" t="str" cm="1">
        <f t="array" ref="R249">_xlfn.IFS(S249="YES", "Hourly", T249="YES", "Flat Rate")</f>
        <v>Flat Rate</v>
      </c>
      <c r="S249" s="8" t="str">
        <f>IF(Raw!CO250=1, "YES", "")</f>
        <v/>
      </c>
      <c r="T249" s="8" t="str">
        <f>IF(Raw!CO250=2, "YES", "")</f>
        <v>YES</v>
      </c>
      <c r="U249" s="96" t="str">
        <f>IF(Raw!CP250=1, "YES", "")</f>
        <v/>
      </c>
      <c r="V249" s="96"/>
      <c r="X249" s="23">
        <f>SUMPRODUCT(Raw!$BT$3:$CC$3, Raw!BT250:CC250)</f>
        <v>54</v>
      </c>
      <c r="Y249" s="23">
        <f>SUMPRODUCT(Raw!$BT$3:$CC$3, Raw!BU250:CD250)</f>
        <v>98</v>
      </c>
      <c r="Z249" s="28">
        <f t="shared" si="33"/>
        <v>368</v>
      </c>
      <c r="AA249" s="28">
        <f t="shared" si="34"/>
        <v>19190</v>
      </c>
      <c r="AC249">
        <f t="shared" si="35"/>
        <v>20</v>
      </c>
      <c r="AD249" s="23">
        <f>IF(U249="YES",SUMPRODUCT(Raw!$BT$3:$CC$3,Raw!BT250:CC250)*0.6,SUMPRODUCT(Raw!$BT$3:$CC$3,Raw!BT250:CC250))</f>
        <v>54</v>
      </c>
      <c r="AE249" s="23">
        <f>IF(U249="YES",SUMPRODUCT(Raw!$BT$3:$CC$3,Raw!BU250:CD250)*0.6,SUMPRODUCT(Raw!$BT$3:$CC$3,Raw!BU250:CD250))</f>
        <v>98</v>
      </c>
      <c r="AF249" s="28">
        <f t="shared" si="36"/>
        <v>368</v>
      </c>
      <c r="AG249" s="28">
        <f t="shared" si="37"/>
        <v>19190</v>
      </c>
      <c r="AI249" s="88">
        <f t="shared" si="31"/>
        <v>28</v>
      </c>
      <c r="AJ249" s="88">
        <f t="shared" si="32"/>
        <v>40</v>
      </c>
      <c r="AK249">
        <f t="shared" si="38"/>
        <v>990</v>
      </c>
      <c r="AL249">
        <f t="shared" si="39"/>
        <v>51634</v>
      </c>
    </row>
    <row r="250" spans="1:38" x14ac:dyDescent="0.25">
      <c r="A250" s="4">
        <f>Raw!J251</f>
        <v>149</v>
      </c>
      <c r="B250" s="4" t="str">
        <f>Raw!K251</f>
        <v>California Dr</v>
      </c>
      <c r="C250" s="4" t="str">
        <f>Raw!L251</f>
        <v>Sierra Ave</v>
      </c>
      <c r="D250" s="4" t="str">
        <f>Raw!M251</f>
        <v>Irwin Pl</v>
      </c>
      <c r="E250" s="23" t="str">
        <f>Raw!CG251</f>
        <v>W</v>
      </c>
      <c r="F250" s="7">
        <f>Raw!T251</f>
        <v>6</v>
      </c>
      <c r="G250" s="7">
        <f>Raw!AL251</f>
        <v>1</v>
      </c>
      <c r="H250" s="7">
        <f>Raw!AC251</f>
        <v>0</v>
      </c>
      <c r="I250" s="7">
        <f t="shared" si="30"/>
        <v>1</v>
      </c>
      <c r="J250" s="157">
        <f>Raw!BT251</f>
        <v>0</v>
      </c>
      <c r="K250" s="157">
        <f>Raw!AW251</f>
        <v>1</v>
      </c>
      <c r="L250" s="42">
        <f>IF(Raw!CE251 = "NA", "-", Raw!CE251)</f>
        <v>1.7</v>
      </c>
      <c r="M250" s="42">
        <f>IF(Raw!BH251 = "NA", "-", Raw!BH251)</f>
        <v>0.8</v>
      </c>
      <c r="N250" s="46">
        <f>IF(Raw!CD251 = "NA", "-", Raw!CD251)</f>
        <v>10</v>
      </c>
      <c r="O250" s="46">
        <f>IF(Raw!BG251 = "NA", "-", Raw!BG251)</f>
        <v>5</v>
      </c>
      <c r="P250" s="32">
        <f>IF(Raw!AW251 = "NA", "-", SUMPRODUCT(Raw!$BT$2:$CC$2, Raw!BT251:CC251))</f>
        <v>38</v>
      </c>
      <c r="Q250" s="32">
        <f>IF(Raw!AW251 = "NA", "-", SUMPRODUCT(Raw!$AW$2:$BF$2, Raw!AW251:BF251))</f>
        <v>17</v>
      </c>
      <c r="R250" s="7" t="str" cm="1">
        <f t="array" ref="R250">_xlfn.IFS(S250="YES", "Hourly", T250="YES", "Flat Rate")</f>
        <v>Flat Rate</v>
      </c>
      <c r="S250" s="8" t="str">
        <f>IF(Raw!CO251=1, "YES", "")</f>
        <v/>
      </c>
      <c r="T250" s="8" t="str">
        <f>IF(Raw!CO251=2, "YES", "")</f>
        <v>YES</v>
      </c>
      <c r="U250" s="96" t="str">
        <f>IF(Raw!CP251=1, "YES", "")</f>
        <v/>
      </c>
      <c r="V250" s="96"/>
      <c r="X250" s="23">
        <f>SUMPRODUCT(Raw!$BT$3:$CC$3, Raw!BT251:CC251)</f>
        <v>20</v>
      </c>
      <c r="Y250" s="23">
        <f>SUMPRODUCT(Raw!$BT$3:$CC$3, Raw!BU251:CD251)</f>
        <v>36</v>
      </c>
      <c r="Z250" s="28">
        <f t="shared" si="33"/>
        <v>136</v>
      </c>
      <c r="AA250" s="28">
        <f t="shared" si="34"/>
        <v>7092</v>
      </c>
      <c r="AC250">
        <f t="shared" si="35"/>
        <v>6</v>
      </c>
      <c r="AD250" s="23">
        <f>IF(U250="YES",SUMPRODUCT(Raw!$BT$3:$CC$3,Raw!BT251:CC251)*0.6,SUMPRODUCT(Raw!$BT$3:$CC$3,Raw!BT251:CC251))</f>
        <v>20</v>
      </c>
      <c r="AE250" s="23">
        <f>IF(U250="YES",SUMPRODUCT(Raw!$BT$3:$CC$3,Raw!BU251:CD251)*0.6,SUMPRODUCT(Raw!$BT$3:$CC$3,Raw!BU251:CD251))</f>
        <v>36</v>
      </c>
      <c r="AF250" s="28">
        <f t="shared" si="36"/>
        <v>136</v>
      </c>
      <c r="AG250" s="28">
        <f t="shared" si="37"/>
        <v>7092</v>
      </c>
      <c r="AI250" s="88">
        <f t="shared" si="31"/>
        <v>10</v>
      </c>
      <c r="AJ250" s="88">
        <f t="shared" si="32"/>
        <v>5</v>
      </c>
      <c r="AK250">
        <f t="shared" si="38"/>
        <v>302.5</v>
      </c>
      <c r="AL250">
        <f t="shared" si="39"/>
        <v>15785</v>
      </c>
    </row>
    <row r="251" spans="1:38" x14ac:dyDescent="0.25">
      <c r="A251" s="4">
        <f>Raw!J252</f>
        <v>252</v>
      </c>
      <c r="B251" s="4" t="str">
        <f>Raw!K252</f>
        <v>Millbrae Ave</v>
      </c>
      <c r="C251" s="4" t="str">
        <f>Raw!L252</f>
        <v>Rollins Rd</v>
      </c>
      <c r="D251" s="4" t="str">
        <f>Raw!M252</f>
        <v>El Camino Real</v>
      </c>
      <c r="E251" s="23" t="str">
        <f>Raw!CG252</f>
        <v>N</v>
      </c>
      <c r="F251" s="7">
        <f>Raw!T252</f>
        <v>0</v>
      </c>
      <c r="G251" s="7">
        <f>Raw!AL252</f>
        <v>0</v>
      </c>
      <c r="H251" s="7">
        <f>Raw!AC252</f>
        <v>0</v>
      </c>
      <c r="I251" s="7">
        <f t="shared" si="30"/>
        <v>0</v>
      </c>
      <c r="J251" s="157">
        <f>Raw!BT252</f>
        <v>0</v>
      </c>
      <c r="K251" s="157">
        <f>Raw!AW252</f>
        <v>0</v>
      </c>
      <c r="L251" s="42">
        <f>IF(Raw!CE252 = "NA", "-", Raw!CE252)</f>
        <v>0</v>
      </c>
      <c r="M251" s="42">
        <f>IF(Raw!BH252 = "NA", "-", Raw!BH252)</f>
        <v>0</v>
      </c>
      <c r="N251" s="46">
        <f>IF(Raw!CD252 = "NA", "-", Raw!CD252)</f>
        <v>0</v>
      </c>
      <c r="O251" s="46">
        <f>IF(Raw!BG252 = "NA", "-", Raw!BG252)</f>
        <v>0</v>
      </c>
      <c r="P251" s="32">
        <f>IF(Raw!AW252 = "NA", "-", SUMPRODUCT(Raw!$BT$2:$CC$2, Raw!BT252:CC252))</f>
        <v>0</v>
      </c>
      <c r="Q251" s="32">
        <f>IF(Raw!AW252 = "NA", "-", SUMPRODUCT(Raw!$AW$2:$BF$2, Raw!AW252:BF252))</f>
        <v>0</v>
      </c>
      <c r="R251" s="7" t="e" cm="1">
        <f t="array" ref="R251">_xlfn.IFS(S251="YES", "Hourly", T251="YES", "Flat Rate")</f>
        <v>#N/A</v>
      </c>
      <c r="S251" s="8" t="str">
        <f>IF(Raw!CO252=1, "YES", "")</f>
        <v/>
      </c>
      <c r="T251" s="8" t="str">
        <f>IF(Raw!CO252=2, "YES", "")</f>
        <v/>
      </c>
      <c r="U251" s="96" t="str">
        <f>IF(Raw!CP252=1, "YES", "")</f>
        <v/>
      </c>
      <c r="V251" s="96"/>
      <c r="X251" s="23">
        <f>SUMPRODUCT(Raw!$BT$3:$CC$3, Raw!BT252:CC252)</f>
        <v>0</v>
      </c>
      <c r="Y251" s="23">
        <f>SUMPRODUCT(Raw!$BT$3:$CC$3, Raw!BU252:CD252)</f>
        <v>0</v>
      </c>
      <c r="Z251" s="28">
        <f t="shared" si="33"/>
        <v>0</v>
      </c>
      <c r="AA251" s="28">
        <f t="shared" si="34"/>
        <v>0</v>
      </c>
      <c r="AC251">
        <f t="shared" si="35"/>
        <v>0</v>
      </c>
      <c r="AD251" s="23">
        <f>IF(U251="YES",SUMPRODUCT(Raw!$BT$3:$CC$3,Raw!BT252:CC252)*0.6,SUMPRODUCT(Raw!$BT$3:$CC$3,Raw!BT252:CC252))</f>
        <v>0</v>
      </c>
      <c r="AE251" s="23">
        <f>IF(U251="YES",SUMPRODUCT(Raw!$BT$3:$CC$3,Raw!BU252:CD252)*0.6,SUMPRODUCT(Raw!$BT$3:$CC$3,Raw!BU252:CD252))</f>
        <v>0</v>
      </c>
      <c r="AF251" s="28">
        <f t="shared" si="36"/>
        <v>0</v>
      </c>
      <c r="AG251" s="28">
        <f t="shared" si="37"/>
        <v>0</v>
      </c>
      <c r="AI251" s="88">
        <f t="shared" si="31"/>
        <v>0</v>
      </c>
      <c r="AJ251" s="88">
        <f t="shared" si="32"/>
        <v>0</v>
      </c>
      <c r="AK251">
        <f t="shared" si="38"/>
        <v>0</v>
      </c>
      <c r="AL251">
        <f t="shared" si="39"/>
        <v>0</v>
      </c>
    </row>
    <row r="252" spans="1:38" x14ac:dyDescent="0.25">
      <c r="A252" s="4">
        <f>Raw!J253</f>
        <v>253</v>
      </c>
      <c r="B252" s="4" t="str">
        <f>Raw!K253</f>
        <v>Millbrae Ave</v>
      </c>
      <c r="C252" s="4" t="str">
        <f>Raw!L253</f>
        <v>El Camino Real</v>
      </c>
      <c r="D252" s="4" t="str">
        <f>Raw!M253</f>
        <v>Rollins Rd</v>
      </c>
      <c r="E252" s="23" t="str">
        <f>Raw!CG253</f>
        <v>S</v>
      </c>
      <c r="F252" s="7">
        <f>Raw!T253</f>
        <v>0</v>
      </c>
      <c r="G252" s="7">
        <f>Raw!AL253</f>
        <v>0</v>
      </c>
      <c r="H252" s="7">
        <f>Raw!AC253</f>
        <v>0</v>
      </c>
      <c r="I252" s="7">
        <f t="shared" si="30"/>
        <v>0</v>
      </c>
      <c r="J252" s="157">
        <f>Raw!BT253</f>
        <v>0</v>
      </c>
      <c r="K252" s="157">
        <f>Raw!AW253</f>
        <v>0</v>
      </c>
      <c r="L252" s="42">
        <f>IF(Raw!CE253 = "NA", "-", Raw!CE253)</f>
        <v>0</v>
      </c>
      <c r="M252" s="42">
        <f>IF(Raw!BH253 = "NA", "-", Raw!BH253)</f>
        <v>0</v>
      </c>
      <c r="N252" s="46">
        <f>IF(Raw!CD253 = "NA", "-", Raw!CD253)</f>
        <v>0</v>
      </c>
      <c r="O252" s="46">
        <f>IF(Raw!BG253 = "NA", "-", Raw!BG253)</f>
        <v>0</v>
      </c>
      <c r="P252" s="32">
        <f>IF(Raw!AW253 = "NA", "-", SUMPRODUCT(Raw!$BT$2:$CC$2, Raw!BT253:CC253))</f>
        <v>0</v>
      </c>
      <c r="Q252" s="32">
        <f>IF(Raw!AW253 = "NA", "-", SUMPRODUCT(Raw!$AW$2:$BF$2, Raw!AW253:BF253))</f>
        <v>0</v>
      </c>
      <c r="R252" s="7" t="e" cm="1">
        <f t="array" ref="R252">_xlfn.IFS(S252="YES", "Hourly", T252="YES", "Flat Rate")</f>
        <v>#N/A</v>
      </c>
      <c r="S252" s="8" t="str">
        <f>IF(Raw!CO253=1, "YES", "")</f>
        <v/>
      </c>
      <c r="T252" s="8" t="str">
        <f>IF(Raw!CO253=2, "YES", "")</f>
        <v/>
      </c>
      <c r="U252" s="96" t="str">
        <f>IF(Raw!CP253=1, "YES", "")</f>
        <v/>
      </c>
      <c r="V252" s="96"/>
      <c r="X252" s="23">
        <f>SUMPRODUCT(Raw!$BT$3:$CC$3, Raw!BT253:CC253)</f>
        <v>0</v>
      </c>
      <c r="Y252" s="23">
        <f>SUMPRODUCT(Raw!$BT$3:$CC$3, Raw!BU253:CD253)</f>
        <v>0</v>
      </c>
      <c r="Z252" s="28">
        <f t="shared" si="33"/>
        <v>0</v>
      </c>
      <c r="AA252" s="28">
        <f t="shared" si="34"/>
        <v>0</v>
      </c>
      <c r="AC252">
        <f t="shared" si="35"/>
        <v>0</v>
      </c>
      <c r="AD252" s="23">
        <f>IF(U252="YES",SUMPRODUCT(Raw!$BT$3:$CC$3,Raw!BT253:CC253)*0.6,SUMPRODUCT(Raw!$BT$3:$CC$3,Raw!BT253:CC253))</f>
        <v>0</v>
      </c>
      <c r="AE252" s="23">
        <f>IF(U252="YES",SUMPRODUCT(Raw!$BT$3:$CC$3,Raw!BU253:CD253)*0.6,SUMPRODUCT(Raw!$BT$3:$CC$3,Raw!BU253:CD253))</f>
        <v>0</v>
      </c>
      <c r="AF252" s="28">
        <f t="shared" si="36"/>
        <v>0</v>
      </c>
      <c r="AG252" s="28">
        <f t="shared" si="37"/>
        <v>0</v>
      </c>
      <c r="AI252" s="88">
        <f t="shared" si="31"/>
        <v>0</v>
      </c>
      <c r="AJ252" s="88">
        <f t="shared" si="32"/>
        <v>0</v>
      </c>
      <c r="AK252">
        <f t="shared" si="38"/>
        <v>0</v>
      </c>
      <c r="AL252">
        <f t="shared" si="39"/>
        <v>0</v>
      </c>
    </row>
    <row r="253" spans="1:38" x14ac:dyDescent="0.25">
      <c r="A253" s="4">
        <f>Raw!J254</f>
        <v>254</v>
      </c>
      <c r="B253" s="4" t="str">
        <f>Raw!K254</f>
        <v>Millbrae Ave</v>
      </c>
      <c r="C253" s="4" t="str">
        <f>Raw!L254</f>
        <v>Ramp</v>
      </c>
      <c r="D253" s="4" t="str">
        <f>Raw!M254</f>
        <v>Rollins Rd</v>
      </c>
      <c r="E253" s="23" t="str">
        <f>Raw!CG254</f>
        <v>N</v>
      </c>
      <c r="F253" s="7">
        <f>Raw!T254</f>
        <v>0</v>
      </c>
      <c r="G253" s="7">
        <f>Raw!AL254</f>
        <v>0</v>
      </c>
      <c r="H253" s="7">
        <f>Raw!AC254</f>
        <v>0</v>
      </c>
      <c r="I253" s="7">
        <f t="shared" si="30"/>
        <v>0</v>
      </c>
      <c r="J253" s="157">
        <f>Raw!BT254</f>
        <v>0</v>
      </c>
      <c r="K253" s="157">
        <f>Raw!AW254</f>
        <v>0</v>
      </c>
      <c r="L253" s="42">
        <f>IF(Raw!CE254 = "NA", "-", Raw!CE254)</f>
        <v>0</v>
      </c>
      <c r="M253" s="42">
        <f>IF(Raw!BH254 = "NA", "-", Raw!BH254)</f>
        <v>0</v>
      </c>
      <c r="N253" s="46">
        <f>IF(Raw!CD254 = "NA", "-", Raw!CD254)</f>
        <v>0</v>
      </c>
      <c r="O253" s="46">
        <f>IF(Raw!BG254 = "NA", "-", Raw!BG254)</f>
        <v>0</v>
      </c>
      <c r="P253" s="32">
        <f>IF(Raw!AW254 = "NA", "-", SUMPRODUCT(Raw!$BT$2:$CC$2, Raw!BT254:CC254))</f>
        <v>0</v>
      </c>
      <c r="Q253" s="32">
        <f>IF(Raw!AW254 = "NA", "-", SUMPRODUCT(Raw!$AW$2:$BF$2, Raw!AW254:BF254))</f>
        <v>0</v>
      </c>
      <c r="R253" s="7" t="e" cm="1">
        <f t="array" ref="R253">_xlfn.IFS(S253="YES", "Hourly", T253="YES", "Flat Rate")</f>
        <v>#N/A</v>
      </c>
      <c r="S253" s="8" t="str">
        <f>IF(Raw!CO254=1, "YES", "")</f>
        <v/>
      </c>
      <c r="T253" s="8" t="str">
        <f>IF(Raw!CO254=2, "YES", "")</f>
        <v/>
      </c>
      <c r="U253" s="96" t="str">
        <f>IF(Raw!CP254=1, "YES", "")</f>
        <v/>
      </c>
      <c r="V253" s="96"/>
      <c r="X253" s="23">
        <f>SUMPRODUCT(Raw!$BT$3:$CC$3, Raw!BT254:CC254)</f>
        <v>0</v>
      </c>
      <c r="Y253" s="23">
        <f>SUMPRODUCT(Raw!$BT$3:$CC$3, Raw!BU254:CD254)</f>
        <v>0</v>
      </c>
      <c r="Z253" s="28">
        <f t="shared" si="33"/>
        <v>0</v>
      </c>
      <c r="AA253" s="28">
        <f t="shared" si="34"/>
        <v>0</v>
      </c>
      <c r="AC253">
        <f t="shared" si="35"/>
        <v>0</v>
      </c>
      <c r="AD253" s="23">
        <f>IF(U253="YES",SUMPRODUCT(Raw!$BT$3:$CC$3,Raw!BT254:CC254)*0.6,SUMPRODUCT(Raw!$BT$3:$CC$3,Raw!BT254:CC254))</f>
        <v>0</v>
      </c>
      <c r="AE253" s="23">
        <f>IF(U253="YES",SUMPRODUCT(Raw!$BT$3:$CC$3,Raw!BU254:CD254)*0.6,SUMPRODUCT(Raw!$BT$3:$CC$3,Raw!BU254:CD254))</f>
        <v>0</v>
      </c>
      <c r="AF253" s="28">
        <f t="shared" si="36"/>
        <v>0</v>
      </c>
      <c r="AG253" s="28">
        <f t="shared" si="37"/>
        <v>0</v>
      </c>
      <c r="AI253" s="88">
        <f t="shared" si="31"/>
        <v>0</v>
      </c>
      <c r="AJ253" s="88">
        <f t="shared" si="32"/>
        <v>0</v>
      </c>
      <c r="AK253">
        <f t="shared" si="38"/>
        <v>0</v>
      </c>
      <c r="AL253">
        <f t="shared" si="39"/>
        <v>0</v>
      </c>
    </row>
    <row r="254" spans="1:38" x14ac:dyDescent="0.25">
      <c r="A254" s="4">
        <f>Raw!J255</f>
        <v>255</v>
      </c>
      <c r="B254" s="4" t="str">
        <f>Raw!K255</f>
        <v>Millbrae Ave</v>
      </c>
      <c r="C254" s="4" t="str">
        <f>Raw!L255</f>
        <v>Rollins Rd</v>
      </c>
      <c r="D254" s="4" t="str">
        <f>Raw!M255</f>
        <v>Ramp</v>
      </c>
      <c r="E254" s="23" t="str">
        <f>Raw!CG255</f>
        <v>S</v>
      </c>
      <c r="F254" s="7">
        <f>Raw!T255</f>
        <v>0</v>
      </c>
      <c r="G254" s="7">
        <f>Raw!AL255</f>
        <v>0</v>
      </c>
      <c r="H254" s="7">
        <f>Raw!AC255</f>
        <v>0</v>
      </c>
      <c r="I254" s="7">
        <f t="shared" si="30"/>
        <v>0</v>
      </c>
      <c r="J254" s="157">
        <f>Raw!BT255</f>
        <v>0</v>
      </c>
      <c r="K254" s="157">
        <f>Raw!AW255</f>
        <v>0</v>
      </c>
      <c r="L254" s="42">
        <f>IF(Raw!CE255 = "NA", "-", Raw!CE255)</f>
        <v>0</v>
      </c>
      <c r="M254" s="42">
        <f>IF(Raw!BH255 = "NA", "-", Raw!BH255)</f>
        <v>0</v>
      </c>
      <c r="N254" s="46">
        <f>IF(Raw!CD255 = "NA", "-", Raw!CD255)</f>
        <v>0</v>
      </c>
      <c r="O254" s="46">
        <f>IF(Raw!BG255 = "NA", "-", Raw!BG255)</f>
        <v>0</v>
      </c>
      <c r="P254" s="32">
        <f>IF(Raw!AW255 = "NA", "-", SUMPRODUCT(Raw!$BT$2:$CC$2, Raw!BT255:CC255))</f>
        <v>0</v>
      </c>
      <c r="Q254" s="32">
        <f>IF(Raw!AW255 = "NA", "-", SUMPRODUCT(Raw!$AW$2:$BF$2, Raw!AW255:BF255))</f>
        <v>0</v>
      </c>
      <c r="R254" s="7" t="e" cm="1">
        <f t="array" ref="R254">_xlfn.IFS(S254="YES", "Hourly", T254="YES", "Flat Rate")</f>
        <v>#N/A</v>
      </c>
      <c r="S254" s="8" t="str">
        <f>IF(Raw!CO255=1, "YES", "")</f>
        <v/>
      </c>
      <c r="T254" s="8" t="str">
        <f>IF(Raw!CO255=2, "YES", "")</f>
        <v/>
      </c>
      <c r="U254" s="96" t="str">
        <f>IF(Raw!CP255=1, "YES", "")</f>
        <v/>
      </c>
      <c r="V254" s="96"/>
      <c r="X254" s="23">
        <f>SUMPRODUCT(Raw!$BT$3:$CC$3, Raw!BT255:CC255)</f>
        <v>0</v>
      </c>
      <c r="Y254" s="23">
        <f>SUMPRODUCT(Raw!$BT$3:$CC$3, Raw!BU255:CD255)</f>
        <v>0</v>
      </c>
      <c r="Z254" s="28">
        <f t="shared" si="33"/>
        <v>0</v>
      </c>
      <c r="AA254" s="28">
        <f t="shared" si="34"/>
        <v>0</v>
      </c>
      <c r="AC254">
        <f t="shared" si="35"/>
        <v>0</v>
      </c>
      <c r="AD254" s="23">
        <f>IF(U254="YES",SUMPRODUCT(Raw!$BT$3:$CC$3,Raw!BT255:CC255)*0.6,SUMPRODUCT(Raw!$BT$3:$CC$3,Raw!BT255:CC255))</f>
        <v>0</v>
      </c>
      <c r="AE254" s="23">
        <f>IF(U254="YES",SUMPRODUCT(Raw!$BT$3:$CC$3,Raw!BU255:CD255)*0.6,SUMPRODUCT(Raw!$BT$3:$CC$3,Raw!BU255:CD255))</f>
        <v>0</v>
      </c>
      <c r="AF254" s="28">
        <f t="shared" si="36"/>
        <v>0</v>
      </c>
      <c r="AG254" s="28">
        <f t="shared" si="37"/>
        <v>0</v>
      </c>
      <c r="AI254" s="88">
        <f t="shared" si="31"/>
        <v>0</v>
      </c>
      <c r="AJ254" s="88">
        <f t="shared" si="32"/>
        <v>0</v>
      </c>
      <c r="AK254">
        <f t="shared" si="38"/>
        <v>0</v>
      </c>
      <c r="AL254">
        <f t="shared" si="39"/>
        <v>0</v>
      </c>
    </row>
    <row r="255" spans="1:38" x14ac:dyDescent="0.25">
      <c r="A255" s="4">
        <f>Raw!J256</f>
        <v>152</v>
      </c>
      <c r="B255" s="4" t="str">
        <f>Raw!K256</f>
        <v>Rollins Rd</v>
      </c>
      <c r="C255" s="4" t="str">
        <f>Raw!L256</f>
        <v>Millbrae Ave</v>
      </c>
      <c r="D255" s="4" t="str">
        <f>Raw!M256</f>
        <v>Adrian Rd</v>
      </c>
      <c r="E255" s="23" t="str">
        <f>Raw!CG256</f>
        <v>W</v>
      </c>
      <c r="F255" s="7">
        <f>Raw!T256</f>
        <v>0</v>
      </c>
      <c r="G255" s="7">
        <f>Raw!AL256</f>
        <v>0</v>
      </c>
      <c r="H255" s="7">
        <f>Raw!AC256</f>
        <v>0</v>
      </c>
      <c r="I255" s="7">
        <f t="shared" si="30"/>
        <v>0</v>
      </c>
      <c r="J255" s="157">
        <f>Raw!BT256</f>
        <v>0</v>
      </c>
      <c r="K255" s="157">
        <f>Raw!AW256</f>
        <v>0</v>
      </c>
      <c r="L255" s="42">
        <f>IF(Raw!CE256 = "NA", "-", Raw!CE256)</f>
        <v>0</v>
      </c>
      <c r="M255" s="42">
        <f>IF(Raw!BH256 = "NA", "-", Raw!BH256)</f>
        <v>0</v>
      </c>
      <c r="N255" s="46">
        <f>IF(Raw!CD256 = "NA", "-", Raw!CD256)</f>
        <v>0</v>
      </c>
      <c r="O255" s="46">
        <f>IF(Raw!BG256 = "NA", "-", Raw!BG256)</f>
        <v>0</v>
      </c>
      <c r="P255" s="32">
        <f>IF(Raw!AW256 = "NA", "-", SUMPRODUCT(Raw!$BT$2:$CC$2, Raw!BT256:CC256))</f>
        <v>0</v>
      </c>
      <c r="Q255" s="32">
        <f>IF(Raw!AW256 = "NA", "-", SUMPRODUCT(Raw!$AW$2:$BF$2, Raw!AW256:BF256))</f>
        <v>0</v>
      </c>
      <c r="R255" s="7" t="e" cm="1">
        <f t="array" ref="R255">_xlfn.IFS(S255="YES", "Hourly", T255="YES", "Flat Rate")</f>
        <v>#N/A</v>
      </c>
      <c r="S255" s="8" t="str">
        <f>IF(Raw!CO256=1, "YES", "")</f>
        <v/>
      </c>
      <c r="T255" s="8" t="str">
        <f>IF(Raw!CO256=2, "YES", "")</f>
        <v/>
      </c>
      <c r="U255" s="96" t="str">
        <f>IF(Raw!CP256=1, "YES", "")</f>
        <v/>
      </c>
      <c r="V255" s="96"/>
      <c r="X255" s="23">
        <f>SUMPRODUCT(Raw!$BT$3:$CC$3, Raw!BT256:CC256)</f>
        <v>0</v>
      </c>
      <c r="Y255" s="23">
        <f>SUMPRODUCT(Raw!$BT$3:$CC$3, Raw!BU256:CD256)</f>
        <v>0</v>
      </c>
      <c r="Z255" s="28">
        <f t="shared" si="33"/>
        <v>0</v>
      </c>
      <c r="AA255" s="28">
        <f t="shared" si="34"/>
        <v>0</v>
      </c>
      <c r="AC255">
        <f t="shared" si="35"/>
        <v>0</v>
      </c>
      <c r="AD255" s="23">
        <f>IF(U255="YES",SUMPRODUCT(Raw!$BT$3:$CC$3,Raw!BT256:CC256)*0.6,SUMPRODUCT(Raw!$BT$3:$CC$3,Raw!BT256:CC256))</f>
        <v>0</v>
      </c>
      <c r="AE255" s="23">
        <f>IF(U255="YES",SUMPRODUCT(Raw!$BT$3:$CC$3,Raw!BU256:CD256)*0.6,SUMPRODUCT(Raw!$BT$3:$CC$3,Raw!BU256:CD256))</f>
        <v>0</v>
      </c>
      <c r="AF255" s="28">
        <f t="shared" si="36"/>
        <v>0</v>
      </c>
      <c r="AG255" s="28">
        <f t="shared" si="37"/>
        <v>0</v>
      </c>
      <c r="AI255" s="88">
        <f t="shared" si="31"/>
        <v>0</v>
      </c>
      <c r="AJ255" s="88">
        <f t="shared" si="32"/>
        <v>0</v>
      </c>
      <c r="AK255">
        <f t="shared" si="38"/>
        <v>0</v>
      </c>
      <c r="AL255">
        <f t="shared" si="39"/>
        <v>0</v>
      </c>
    </row>
    <row r="256" spans="1:38" x14ac:dyDescent="0.25">
      <c r="A256" s="4">
        <f>Raw!J257</f>
        <v>207</v>
      </c>
      <c r="B256" s="4" t="str">
        <f>Raw!K257</f>
        <v>Hillcrest Blvd</v>
      </c>
      <c r="C256" s="4" t="str">
        <f>Raw!L257</f>
        <v>Magnolia Ave</v>
      </c>
      <c r="D256" s="4" t="str">
        <f>Raw!M257</f>
        <v>Broadway</v>
      </c>
      <c r="E256" s="23" t="str">
        <f>Raw!CG257</f>
        <v>S</v>
      </c>
      <c r="F256" s="7">
        <f>Raw!T257</f>
        <v>6</v>
      </c>
      <c r="G256" s="7">
        <f>Raw!AL257</f>
        <v>1</v>
      </c>
      <c r="H256" s="7">
        <f>Raw!AC257</f>
        <v>1</v>
      </c>
      <c r="I256" s="7">
        <f t="shared" si="30"/>
        <v>2</v>
      </c>
      <c r="J256" s="157">
        <f>Raw!BT257</f>
        <v>18</v>
      </c>
      <c r="K256" s="157">
        <f>Raw!AW257</f>
        <v>11</v>
      </c>
      <c r="L256" s="42">
        <f>IF(Raw!CE257 = "NA", "-", Raw!CE257)</f>
        <v>4.3</v>
      </c>
      <c r="M256" s="42">
        <f>IF(Raw!BH257 = "NA", "-", Raw!BH257)</f>
        <v>3.5</v>
      </c>
      <c r="N256" s="46">
        <f>IF(Raw!CD257 = "NA", "-", Raw!CD257)</f>
        <v>25</v>
      </c>
      <c r="O256" s="46">
        <f>IF(Raw!BG257 = "NA", "-", Raw!BG257)</f>
        <v>20</v>
      </c>
      <c r="P256" s="32">
        <f>IF(Raw!AW257 = "NA", "-", SUMPRODUCT(Raw!$BT$2:$CC$2, Raw!BT257:CC257))</f>
        <v>41</v>
      </c>
      <c r="Q256" s="32">
        <f>IF(Raw!AW257 = "NA", "-", SUMPRODUCT(Raw!$AW$2:$BF$2, Raw!AW257:BF257))</f>
        <v>36</v>
      </c>
      <c r="R256" s="7" t="str" cm="1">
        <f t="array" ref="R256">_xlfn.IFS(S256="YES", "Hourly", T256="YES", "Flat Rate")</f>
        <v>Hourly</v>
      </c>
      <c r="S256" s="8" t="str">
        <f>IF(Raw!CO257=1, "YES", "")</f>
        <v>YES</v>
      </c>
      <c r="T256" s="8" t="str">
        <f>IF(Raw!CO257=2, "YES", "")</f>
        <v/>
      </c>
      <c r="U256" s="96" t="str">
        <f>IF(Raw!CP257=1, "YES", "")</f>
        <v/>
      </c>
      <c r="V256" s="96"/>
      <c r="X256" s="23">
        <f>SUMPRODUCT(Raw!$BT$3:$CC$3, Raw!BT257:CC257)</f>
        <v>32</v>
      </c>
      <c r="Y256" s="23">
        <f>SUMPRODUCT(Raw!$BT$3:$CC$3, Raw!BU257:CD257)</f>
        <v>62</v>
      </c>
      <c r="Z256" s="28">
        <f t="shared" si="33"/>
        <v>222</v>
      </c>
      <c r="AA256" s="28">
        <f t="shared" si="34"/>
        <v>11576</v>
      </c>
      <c r="AC256">
        <f t="shared" si="35"/>
        <v>6</v>
      </c>
      <c r="AD256" s="23">
        <f>IF(U256="YES",SUMPRODUCT(Raw!$BT$3:$CC$3,Raw!BT257:CC257)*0.6,SUMPRODUCT(Raw!$BT$3:$CC$3,Raw!BT257:CC257))</f>
        <v>32</v>
      </c>
      <c r="AE256" s="23">
        <f>IF(U256="YES",SUMPRODUCT(Raw!$BT$3:$CC$3,Raw!BU257:CD257)*0.6,SUMPRODUCT(Raw!$BT$3:$CC$3,Raw!BU257:CD257))</f>
        <v>62</v>
      </c>
      <c r="AF256" s="28">
        <f t="shared" si="36"/>
        <v>222</v>
      </c>
      <c r="AG256" s="28">
        <f t="shared" si="37"/>
        <v>11576</v>
      </c>
      <c r="AI256" s="88">
        <f t="shared" si="31"/>
        <v>25</v>
      </c>
      <c r="AJ256" s="88">
        <f t="shared" si="32"/>
        <v>20</v>
      </c>
      <c r="AK256">
        <f t="shared" si="38"/>
        <v>797.5</v>
      </c>
      <c r="AL256">
        <f t="shared" si="39"/>
        <v>41607.5</v>
      </c>
    </row>
    <row r="257" spans="1:38" x14ac:dyDescent="0.25">
      <c r="A257" s="4">
        <f>Raw!J258</f>
        <v>153</v>
      </c>
      <c r="B257" s="4" t="str">
        <f>Raw!K258</f>
        <v>Rollins Rd</v>
      </c>
      <c r="C257" s="4" t="str">
        <f>Raw!L258</f>
        <v>Adrian Rd</v>
      </c>
      <c r="D257" s="4" t="str">
        <f>Raw!M258</f>
        <v>Millbrae Ave</v>
      </c>
      <c r="E257" s="23" t="str">
        <f>Raw!CG258</f>
        <v>E</v>
      </c>
      <c r="F257" s="7">
        <f>Raw!T258</f>
        <v>0</v>
      </c>
      <c r="G257" s="7">
        <f>Raw!AL258</f>
        <v>0</v>
      </c>
      <c r="H257" s="7">
        <f>Raw!AC258</f>
        <v>0</v>
      </c>
      <c r="I257" s="7">
        <f t="shared" si="30"/>
        <v>0</v>
      </c>
      <c r="J257" s="157">
        <f>Raw!BT258</f>
        <v>0</v>
      </c>
      <c r="K257" s="157">
        <f>Raw!AW258</f>
        <v>0</v>
      </c>
      <c r="L257" s="42">
        <f>IF(Raw!CE258 = "NA", "-", Raw!CE258)</f>
        <v>0</v>
      </c>
      <c r="M257" s="42">
        <f>IF(Raw!BH258 = "NA", "-", Raw!BH258)</f>
        <v>0</v>
      </c>
      <c r="N257" s="46">
        <f>IF(Raw!CD258 = "NA", "-", Raw!CD258)</f>
        <v>0</v>
      </c>
      <c r="O257" s="46">
        <f>IF(Raw!BG258 = "NA", "-", Raw!BG258)</f>
        <v>0</v>
      </c>
      <c r="P257" s="32">
        <f>IF(Raw!AW258 = "NA", "-", SUMPRODUCT(Raw!$BT$2:$CC$2, Raw!BT258:CC258))</f>
        <v>0</v>
      </c>
      <c r="Q257" s="32">
        <f>IF(Raw!AW258 = "NA", "-", SUMPRODUCT(Raw!$AW$2:$BF$2, Raw!AW258:BF258))</f>
        <v>0</v>
      </c>
      <c r="R257" s="7" t="e" cm="1">
        <f t="array" ref="R257">_xlfn.IFS(S257="YES", "Hourly", T257="YES", "Flat Rate")</f>
        <v>#N/A</v>
      </c>
      <c r="S257" s="8" t="str">
        <f>IF(Raw!CO258=1, "YES", "")</f>
        <v/>
      </c>
      <c r="T257" s="8" t="str">
        <f>IF(Raw!CO258=2, "YES", "")</f>
        <v/>
      </c>
      <c r="U257" s="96" t="str">
        <f>IF(Raw!CP258=1, "YES", "")</f>
        <v/>
      </c>
      <c r="V257" s="96"/>
      <c r="X257" s="23">
        <f>SUMPRODUCT(Raw!$BT$3:$CC$3, Raw!BT258:CC258)</f>
        <v>0</v>
      </c>
      <c r="Y257" s="23">
        <f>SUMPRODUCT(Raw!$BT$3:$CC$3, Raw!BU258:CD258)</f>
        <v>0</v>
      </c>
      <c r="Z257" s="28">
        <f t="shared" si="33"/>
        <v>0</v>
      </c>
      <c r="AA257" s="28">
        <f t="shared" si="34"/>
        <v>0</v>
      </c>
      <c r="AC257">
        <f t="shared" si="35"/>
        <v>0</v>
      </c>
      <c r="AD257" s="23">
        <f>IF(U257="YES",SUMPRODUCT(Raw!$BT$3:$CC$3,Raw!BT258:CC258)*0.6,SUMPRODUCT(Raw!$BT$3:$CC$3,Raw!BT258:CC258))</f>
        <v>0</v>
      </c>
      <c r="AE257" s="23">
        <f>IF(U257="YES",SUMPRODUCT(Raw!$BT$3:$CC$3,Raw!BU258:CD258)*0.6,SUMPRODUCT(Raw!$BT$3:$CC$3,Raw!BU258:CD258))</f>
        <v>0</v>
      </c>
      <c r="AF257" s="28">
        <f t="shared" si="36"/>
        <v>0</v>
      </c>
      <c r="AG257" s="28">
        <f t="shared" si="37"/>
        <v>0</v>
      </c>
      <c r="AI257" s="88">
        <f t="shared" si="31"/>
        <v>0</v>
      </c>
      <c r="AJ257" s="88">
        <f t="shared" si="32"/>
        <v>0</v>
      </c>
      <c r="AK257">
        <f t="shared" si="38"/>
        <v>0</v>
      </c>
      <c r="AL257">
        <f t="shared" si="39"/>
        <v>0</v>
      </c>
    </row>
    <row r="258" spans="1:38" x14ac:dyDescent="0.25">
      <c r="A258" s="4">
        <f>Raw!J259</f>
        <v>260</v>
      </c>
      <c r="B258" s="4" t="str">
        <f>Raw!K259</f>
        <v>Adrian Rd</v>
      </c>
      <c r="C258" s="4" t="str">
        <f>Raw!L259</f>
        <v>Rollins Rd</v>
      </c>
      <c r="D258" s="4" t="str">
        <f>Raw!M259</f>
        <v>End</v>
      </c>
      <c r="E258" s="23" t="str">
        <f>Raw!CG259</f>
        <v>N</v>
      </c>
      <c r="F258" s="7">
        <f>Raw!T259</f>
        <v>0</v>
      </c>
      <c r="G258" s="7">
        <f>Raw!AL259</f>
        <v>0</v>
      </c>
      <c r="H258" s="7">
        <f>Raw!AC259</f>
        <v>0</v>
      </c>
      <c r="I258" s="7">
        <f t="shared" ref="I258:I262" si="40">SUM(G258:H258)</f>
        <v>0</v>
      </c>
      <c r="J258" s="157">
        <f>Raw!BT259</f>
        <v>0</v>
      </c>
      <c r="K258" s="157">
        <f>Raw!AW259</f>
        <v>0</v>
      </c>
      <c r="L258" s="42">
        <f>IF(Raw!CE259 = "NA", "-", Raw!CE259)</f>
        <v>0</v>
      </c>
      <c r="M258" s="42">
        <f>IF(Raw!BH259 = "NA", "-", Raw!BH259)</f>
        <v>0</v>
      </c>
      <c r="N258" s="46">
        <f>IF(Raw!CD259 = "NA", "-", Raw!CD259)</f>
        <v>0</v>
      </c>
      <c r="O258" s="46">
        <f>IF(Raw!BG259 = "NA", "-", Raw!BG259)</f>
        <v>0</v>
      </c>
      <c r="P258" s="32">
        <f>IF(Raw!AW259 = "NA", "-", SUMPRODUCT(Raw!$BT$2:$CC$2, Raw!BT259:CC259))</f>
        <v>0</v>
      </c>
      <c r="Q258" s="32">
        <f>IF(Raw!AW259 = "NA", "-", SUMPRODUCT(Raw!$AW$2:$BF$2, Raw!AW259:BF259))</f>
        <v>0</v>
      </c>
      <c r="R258" s="7" t="e" cm="1">
        <f t="array" ref="R258">_xlfn.IFS(S258="YES", "Hourly", T258="YES", "Flat Rate")</f>
        <v>#N/A</v>
      </c>
      <c r="S258" s="8" t="str">
        <f>IF(Raw!CO259=1, "YES", "")</f>
        <v/>
      </c>
      <c r="T258" s="8" t="str">
        <f>IF(Raw!CO259=2, "YES", "")</f>
        <v/>
      </c>
      <c r="U258" s="96" t="str">
        <f>IF(Raw!CP259=1, "YES", "")</f>
        <v/>
      </c>
      <c r="V258" s="96"/>
      <c r="X258" s="23">
        <f>SUMPRODUCT(Raw!$BT$3:$CC$3, Raw!BT259:CC259)</f>
        <v>0</v>
      </c>
      <c r="Y258" s="23">
        <f>SUMPRODUCT(Raw!$BT$3:$CC$3, Raw!BU259:CD259)</f>
        <v>0</v>
      </c>
      <c r="Z258" s="28">
        <f t="shared" si="33"/>
        <v>0</v>
      </c>
      <c r="AA258" s="28">
        <f t="shared" si="34"/>
        <v>0</v>
      </c>
      <c r="AC258">
        <f t="shared" si="35"/>
        <v>0</v>
      </c>
      <c r="AD258" s="23">
        <f>IF(U258="YES",SUMPRODUCT(Raw!$BT$3:$CC$3,Raw!BT259:CC259)*0.6,SUMPRODUCT(Raw!$BT$3:$CC$3,Raw!BT259:CC259))</f>
        <v>0</v>
      </c>
      <c r="AE258" s="23">
        <f>IF(U258="YES",SUMPRODUCT(Raw!$BT$3:$CC$3,Raw!BU259:CD259)*0.6,SUMPRODUCT(Raw!$BT$3:$CC$3,Raw!BU259:CD259))</f>
        <v>0</v>
      </c>
      <c r="AF258" s="28">
        <f t="shared" si="36"/>
        <v>0</v>
      </c>
      <c r="AG258" s="28">
        <f t="shared" si="37"/>
        <v>0</v>
      </c>
      <c r="AI258" s="88">
        <f t="shared" si="31"/>
        <v>0</v>
      </c>
      <c r="AJ258" s="88">
        <f t="shared" si="32"/>
        <v>0</v>
      </c>
      <c r="AK258">
        <f t="shared" si="38"/>
        <v>0</v>
      </c>
      <c r="AL258">
        <f t="shared" si="39"/>
        <v>0</v>
      </c>
    </row>
    <row r="259" spans="1:38" x14ac:dyDescent="0.25">
      <c r="A259" s="4">
        <f>Raw!J260</f>
        <v>261</v>
      </c>
      <c r="B259" s="4" t="str">
        <f>Raw!K260</f>
        <v>Adrian Rd</v>
      </c>
      <c r="C259" s="4" t="str">
        <f>Raw!L260</f>
        <v>End</v>
      </c>
      <c r="D259" s="4" t="str">
        <f>Raw!M260</f>
        <v>Rollins Rd</v>
      </c>
      <c r="E259" s="23" t="str">
        <f>Raw!CG260</f>
        <v>S</v>
      </c>
      <c r="F259" s="7">
        <f>Raw!T260</f>
        <v>0</v>
      </c>
      <c r="G259" s="7">
        <f>Raw!AL260</f>
        <v>0</v>
      </c>
      <c r="H259" s="7">
        <f>Raw!AC260</f>
        <v>0</v>
      </c>
      <c r="I259" s="7">
        <f t="shared" si="40"/>
        <v>0</v>
      </c>
      <c r="J259" s="157">
        <f>Raw!BT260</f>
        <v>0</v>
      </c>
      <c r="K259" s="157">
        <f>Raw!AW260</f>
        <v>0</v>
      </c>
      <c r="L259" s="42">
        <f>IF(Raw!CE260 = "NA", "-", Raw!CE260)</f>
        <v>0</v>
      </c>
      <c r="M259" s="42">
        <f>IF(Raw!BH260 = "NA", "-", Raw!BH260)</f>
        <v>0</v>
      </c>
      <c r="N259" s="46">
        <f>IF(Raw!CD260 = "NA", "-", Raw!CD260)</f>
        <v>0</v>
      </c>
      <c r="O259" s="46">
        <f>IF(Raw!BG260 = "NA", "-", Raw!BG260)</f>
        <v>0</v>
      </c>
      <c r="P259" s="32">
        <f>IF(Raw!AW260 = "NA", "-", SUMPRODUCT(Raw!$BT$2:$CC$2, Raw!BT260:CC260))</f>
        <v>0</v>
      </c>
      <c r="Q259" s="32">
        <f>IF(Raw!AW260 = "NA", "-", SUMPRODUCT(Raw!$AW$2:$BF$2, Raw!AW260:BF260))</f>
        <v>0</v>
      </c>
      <c r="R259" s="7" t="e" cm="1">
        <f t="array" ref="R259">_xlfn.IFS(S259="YES", "Hourly", T259="YES", "Flat Rate")</f>
        <v>#N/A</v>
      </c>
      <c r="S259" s="8" t="str">
        <f>IF(Raw!CO260=1, "YES", "")</f>
        <v/>
      </c>
      <c r="T259" s="8" t="str">
        <f>IF(Raw!CO260=2, "YES", "")</f>
        <v/>
      </c>
      <c r="U259" s="96" t="str">
        <f>IF(Raw!CP260=1, "YES", "")</f>
        <v/>
      </c>
      <c r="V259" s="96"/>
      <c r="X259" s="23">
        <f>SUMPRODUCT(Raw!$BT$3:$CC$3, Raw!BT260:CC260)</f>
        <v>0</v>
      </c>
      <c r="Y259" s="23">
        <f>SUMPRODUCT(Raw!$BT$3:$CC$3, Raw!BU260:CD260)</f>
        <v>0</v>
      </c>
      <c r="Z259" s="28">
        <f t="shared" si="33"/>
        <v>0</v>
      </c>
      <c r="AA259" s="28">
        <f t="shared" si="34"/>
        <v>0</v>
      </c>
      <c r="AC259">
        <f t="shared" si="35"/>
        <v>0</v>
      </c>
      <c r="AD259" s="23">
        <f>IF(U259="YES",SUMPRODUCT(Raw!$BT$3:$CC$3,Raw!BT260:CC260)*0.6,SUMPRODUCT(Raw!$BT$3:$CC$3,Raw!BT260:CC260))</f>
        <v>0</v>
      </c>
      <c r="AE259" s="23">
        <f>IF(U259="YES",SUMPRODUCT(Raw!$BT$3:$CC$3,Raw!BU260:CD260)*0.6,SUMPRODUCT(Raw!$BT$3:$CC$3,Raw!BU260:CD260))</f>
        <v>0</v>
      </c>
      <c r="AF259" s="28">
        <f t="shared" si="36"/>
        <v>0</v>
      </c>
      <c r="AG259" s="28">
        <f t="shared" si="37"/>
        <v>0</v>
      </c>
      <c r="AI259" s="88">
        <f t="shared" ref="AI259:AI271" si="41">N259</f>
        <v>0</v>
      </c>
      <c r="AJ259" s="88">
        <f t="shared" ref="AJ259:AJ271" si="42">O259</f>
        <v>0</v>
      </c>
      <c r="AK259">
        <f t="shared" si="38"/>
        <v>0</v>
      </c>
      <c r="AL259">
        <f t="shared" si="39"/>
        <v>0</v>
      </c>
    </row>
    <row r="260" spans="1:38" x14ac:dyDescent="0.25">
      <c r="A260" s="4">
        <f>Raw!J261</f>
        <v>262</v>
      </c>
      <c r="B260" s="4" t="str">
        <f>Raw!K261</f>
        <v>Adrian Rd</v>
      </c>
      <c r="C260" s="4" t="str">
        <f>Raw!L261</f>
        <v>375 Adrian Rd</v>
      </c>
      <c r="D260" s="4" t="str">
        <f>Raw!M261</f>
        <v>Rollins Rd</v>
      </c>
      <c r="E260" s="23" t="str">
        <f>Raw!CG261</f>
        <v>N</v>
      </c>
      <c r="F260" s="7">
        <f>Raw!T261</f>
        <v>18</v>
      </c>
      <c r="G260" s="7">
        <f>Raw!AL261</f>
        <v>0</v>
      </c>
      <c r="H260" s="7">
        <f>Raw!AC261</f>
        <v>0</v>
      </c>
      <c r="I260" s="7">
        <f t="shared" si="40"/>
        <v>0</v>
      </c>
      <c r="J260" s="157">
        <f>Raw!BT261</f>
        <v>0</v>
      </c>
      <c r="K260" s="157">
        <f>Raw!AW261</f>
        <v>0</v>
      </c>
      <c r="L260" s="42">
        <f>IF(Raw!CE261 = "NA", "-", Raw!CE261)</f>
        <v>0.3</v>
      </c>
      <c r="M260" s="42">
        <f>IF(Raw!BH261 = "NA", "-", Raw!BH261)</f>
        <v>0.2</v>
      </c>
      <c r="N260" s="46">
        <f>IF(Raw!CD261 = "NA", "-", Raw!CD261)</f>
        <v>5</v>
      </c>
      <c r="O260" s="46">
        <f>IF(Raw!BG261 = "NA", "-", Raw!BG261)</f>
        <v>3</v>
      </c>
      <c r="P260" s="32">
        <f>IF(Raw!AW261 = "NA", "-", SUMPRODUCT(Raw!$BT$2:$CC$2, Raw!BT261:CC261))</f>
        <v>35</v>
      </c>
      <c r="Q260" s="32">
        <f>IF(Raw!AW261 = "NA", "-", SUMPRODUCT(Raw!$AW$2:$BF$2, Raw!AW261:BF261))</f>
        <v>18</v>
      </c>
      <c r="R260" s="7" t="e" cm="1">
        <f t="array" ref="R260">_xlfn.IFS(S260="YES", "Hourly", T260="YES", "Flat Rate")</f>
        <v>#N/A</v>
      </c>
      <c r="S260" s="8" t="str">
        <f>IF(Raw!CO261=1, "YES", "")</f>
        <v/>
      </c>
      <c r="T260" s="8" t="str">
        <f>IF(Raw!CO261=2, "YES", "")</f>
        <v/>
      </c>
      <c r="U260" s="96" t="str">
        <f>IF(Raw!CP261=1, "YES", "")</f>
        <v/>
      </c>
      <c r="V260" s="96"/>
      <c r="X260" s="23">
        <f>SUMPRODUCT(Raw!$BT$3:$CC$3, Raw!BT261:CC261)</f>
        <v>10</v>
      </c>
      <c r="Y260" s="23">
        <f>SUMPRODUCT(Raw!$BT$3:$CC$3, Raw!BU261:CD261)</f>
        <v>20</v>
      </c>
      <c r="Z260" s="28">
        <f t="shared" ref="Z260:Z270" si="43">X260*5+Y260</f>
        <v>70</v>
      </c>
      <c r="AA260" s="28">
        <f t="shared" ref="AA260:AA270" si="44">X260*261+Y260*52</f>
        <v>3650</v>
      </c>
      <c r="AC260">
        <f t="shared" ref="AC260:AC270" si="45">IF(U260="YES", F260*0.6, F260)</f>
        <v>18</v>
      </c>
      <c r="AD260" s="23">
        <f>IF(U260="YES",SUMPRODUCT(Raw!$BT$3:$CC$3,Raw!BT261:CC261)*0.6,SUMPRODUCT(Raw!$BT$3:$CC$3,Raw!BT261:CC261))</f>
        <v>10</v>
      </c>
      <c r="AE260" s="23">
        <f>IF(U260="YES",SUMPRODUCT(Raw!$BT$3:$CC$3,Raw!BU261:CD261)*0.6,SUMPRODUCT(Raw!$BT$3:$CC$3,Raw!BU261:CD261))</f>
        <v>20</v>
      </c>
      <c r="AF260" s="28">
        <f t="shared" ref="AF260:AF270" si="46">AD260*5+AE260</f>
        <v>70</v>
      </c>
      <c r="AG260" s="28">
        <f t="shared" ref="AG260:AG270" si="47">AD260*261+AE260*52</f>
        <v>3650</v>
      </c>
      <c r="AI260" s="88">
        <f t="shared" si="41"/>
        <v>5</v>
      </c>
      <c r="AJ260" s="88">
        <f t="shared" si="42"/>
        <v>3</v>
      </c>
      <c r="AK260">
        <f t="shared" ref="AK260:AK271" si="48">(AI260*5+AJ260)*5.5</f>
        <v>154</v>
      </c>
      <c r="AL260">
        <f t="shared" ref="AL260:AL271" si="49">(AI260*261+AJ260*52)*5.5</f>
        <v>8035.5</v>
      </c>
    </row>
    <row r="261" spans="1:38" x14ac:dyDescent="0.25">
      <c r="A261" s="4">
        <f>Raw!J262</f>
        <v>263</v>
      </c>
      <c r="B261" s="4" t="str">
        <f>Raw!K262</f>
        <v>Adrian Rd</v>
      </c>
      <c r="C261" s="4" t="str">
        <f>Raw!L262</f>
        <v>Rollins Rd</v>
      </c>
      <c r="D261" s="4" t="str">
        <f>Raw!M262</f>
        <v>375 Adrian Rd</v>
      </c>
      <c r="E261" s="23" t="str">
        <f>Raw!CG262</f>
        <v>S</v>
      </c>
      <c r="F261" s="7">
        <f>Raw!T262</f>
        <v>0</v>
      </c>
      <c r="G261" s="7">
        <f>Raw!AL262</f>
        <v>0</v>
      </c>
      <c r="H261" s="7">
        <f>Raw!AC262</f>
        <v>0</v>
      </c>
      <c r="I261" s="7">
        <f t="shared" si="40"/>
        <v>0</v>
      </c>
      <c r="J261" s="157">
        <f>Raw!BT262</f>
        <v>0</v>
      </c>
      <c r="K261" s="157">
        <f>Raw!AW262</f>
        <v>0</v>
      </c>
      <c r="L261" s="42">
        <f>IF(Raw!CE262 = "NA", "-", Raw!CE262)</f>
        <v>0</v>
      </c>
      <c r="M261" s="42">
        <f>IF(Raw!BH262 = "NA", "-", Raw!BH262)</f>
        <v>0</v>
      </c>
      <c r="N261" s="46">
        <f>IF(Raw!CD262 = "NA", "-", Raw!CD262)</f>
        <v>0</v>
      </c>
      <c r="O261" s="46">
        <f>IF(Raw!BG262 = "NA", "-", Raw!BG262)</f>
        <v>0</v>
      </c>
      <c r="P261" s="32">
        <f>IF(Raw!AW262 = "NA", "-", SUMPRODUCT(Raw!$BT$2:$CC$2, Raw!BT262:CC262))</f>
        <v>0</v>
      </c>
      <c r="Q261" s="32">
        <f>IF(Raw!AW262 = "NA", "-", SUMPRODUCT(Raw!$AW$2:$BF$2, Raw!AW262:BF262))</f>
        <v>0</v>
      </c>
      <c r="R261" s="7" t="e" cm="1">
        <f t="array" ref="R261">_xlfn.IFS(S261="YES", "Hourly", T261="YES", "Flat Rate")</f>
        <v>#N/A</v>
      </c>
      <c r="S261" s="8" t="str">
        <f>IF(Raw!CO262=1, "YES", "")</f>
        <v/>
      </c>
      <c r="T261" s="8" t="str">
        <f>IF(Raw!CO262=2, "YES", "")</f>
        <v/>
      </c>
      <c r="U261" s="96" t="str">
        <f>IF(Raw!CP262=1, "YES", "")</f>
        <v/>
      </c>
      <c r="V261" s="96"/>
      <c r="X261" s="23">
        <f>SUMPRODUCT(Raw!$BT$3:$CC$3, Raw!BT262:CC262)</f>
        <v>0</v>
      </c>
      <c r="Y261" s="23">
        <f>SUMPRODUCT(Raw!$BT$3:$CC$3, Raw!BU262:CD262)</f>
        <v>0</v>
      </c>
      <c r="Z261" s="28">
        <f t="shared" si="43"/>
        <v>0</v>
      </c>
      <c r="AA261" s="28">
        <f t="shared" si="44"/>
        <v>0</v>
      </c>
      <c r="AC261">
        <f t="shared" si="45"/>
        <v>0</v>
      </c>
      <c r="AD261" s="23">
        <f>IF(U261="YES",SUMPRODUCT(Raw!$BT$3:$CC$3,Raw!BT262:CC262)*0.6,SUMPRODUCT(Raw!$BT$3:$CC$3,Raw!BT262:CC262))</f>
        <v>0</v>
      </c>
      <c r="AE261" s="23">
        <f>IF(U261="YES",SUMPRODUCT(Raw!$BT$3:$CC$3,Raw!BU262:CD262)*0.6,SUMPRODUCT(Raw!$BT$3:$CC$3,Raw!BU262:CD262))</f>
        <v>0</v>
      </c>
      <c r="AF261" s="28">
        <f t="shared" si="46"/>
        <v>0</v>
      </c>
      <c r="AG261" s="28">
        <f t="shared" si="47"/>
        <v>0</v>
      </c>
      <c r="AI261" s="88">
        <f t="shared" si="41"/>
        <v>0</v>
      </c>
      <c r="AJ261" s="88">
        <f t="shared" si="42"/>
        <v>0</v>
      </c>
      <c r="AK261">
        <f t="shared" si="48"/>
        <v>0</v>
      </c>
      <c r="AL261">
        <f t="shared" si="49"/>
        <v>0</v>
      </c>
    </row>
    <row r="262" spans="1:38" x14ac:dyDescent="0.25">
      <c r="A262" s="4">
        <f>Raw!J263</f>
        <v>137</v>
      </c>
      <c r="B262" s="4" t="str">
        <f>Raw!K263</f>
        <v>Hemlock Ave</v>
      </c>
      <c r="C262" s="4" t="str">
        <f>Raw!L263</f>
        <v>Mateo Ave</v>
      </c>
      <c r="D262" s="4" t="str">
        <f>Raw!M263</f>
        <v>Silva Ave</v>
      </c>
      <c r="E262" s="23" t="str">
        <f>Raw!CG263</f>
        <v>W</v>
      </c>
      <c r="F262" s="7">
        <f>Raw!T263</f>
        <v>6</v>
      </c>
      <c r="G262" s="7">
        <f>Raw!AL263</f>
        <v>3</v>
      </c>
      <c r="H262" s="7">
        <f>Raw!AC263</f>
        <v>0</v>
      </c>
      <c r="I262" s="7">
        <f t="shared" si="40"/>
        <v>3</v>
      </c>
      <c r="J262" s="157" t="str">
        <f>Raw!BT263</f>
        <v>NA</v>
      </c>
      <c r="K262" s="157" t="str">
        <f>Raw!AW263</f>
        <v>NA</v>
      </c>
      <c r="L262" s="42" t="str">
        <f>IF(Raw!CE263 = "NA", "-", Raw!CE263)</f>
        <v>-</v>
      </c>
      <c r="M262" s="42" t="str">
        <f>IF(Raw!BH263 = "NA", "-", Raw!BH263)</f>
        <v>-</v>
      </c>
      <c r="N262" s="46" t="str">
        <f>IF(Raw!CD263 = "NA", "-", Raw!CD263)</f>
        <v>-</v>
      </c>
      <c r="O262" s="46" t="str">
        <f>IF(Raw!BG263 = "NA", "-", Raw!BG263)</f>
        <v>-</v>
      </c>
      <c r="P262" s="32" t="str">
        <f>IF(Raw!AW263 = "NA", "-", SUMPRODUCT(Raw!$BT$2:$CC$2, Raw!BT263:CC263))</f>
        <v>-</v>
      </c>
      <c r="Q262" s="32" t="str">
        <f>IF(Raw!AW263 = "NA", "-", SUMPRODUCT(Raw!$AW$2:$BF$2, Raw!AW263:BF263))</f>
        <v>-</v>
      </c>
      <c r="R262" s="7" t="e" cm="1">
        <f t="array" ref="R262">_xlfn.IFS(S262="YES", "Hourly", T262="YES", "Flat Rate")</f>
        <v>#N/A</v>
      </c>
      <c r="S262" s="8" t="str">
        <f>IF(Raw!CO263=1, "YES", "")</f>
        <v/>
      </c>
      <c r="T262" s="8" t="str">
        <f>IF(Raw!CO263=2, "YES", "")</f>
        <v/>
      </c>
      <c r="U262" s="96" t="str">
        <f>IF(Raw!CP263=1, "YES", "")</f>
        <v/>
      </c>
      <c r="V262" s="96"/>
      <c r="X262" s="23">
        <f>SUMPRODUCT(Raw!$BT$3:$CC$3, Raw!BT263:CC263)</f>
        <v>0</v>
      </c>
      <c r="Y262" s="23">
        <f>SUMPRODUCT(Raw!$BT$3:$CC$3, Raw!BU263:CD263)</f>
        <v>0</v>
      </c>
      <c r="Z262" s="28">
        <f t="shared" si="43"/>
        <v>0</v>
      </c>
      <c r="AA262" s="28">
        <f t="shared" si="44"/>
        <v>0</v>
      </c>
      <c r="AC262">
        <f t="shared" si="45"/>
        <v>6</v>
      </c>
      <c r="AD262" s="23">
        <f>IF(U262="YES",SUMPRODUCT(Raw!$BT$3:$CC$3,Raw!BT263:CC263)*0.6,SUMPRODUCT(Raw!$BT$3:$CC$3,Raw!BT263:CC263))</f>
        <v>0</v>
      </c>
      <c r="AE262" s="23">
        <f>IF(U262="YES",SUMPRODUCT(Raw!$BT$3:$CC$3,Raw!BU263:CD263)*0.6,SUMPRODUCT(Raw!$BT$3:$CC$3,Raw!BU263:CD263))</f>
        <v>0</v>
      </c>
      <c r="AF262" s="28">
        <f t="shared" si="46"/>
        <v>0</v>
      </c>
      <c r="AG262" s="28">
        <f t="shared" si="47"/>
        <v>0</v>
      </c>
      <c r="AI262" s="88" t="str">
        <f t="shared" si="41"/>
        <v>-</v>
      </c>
      <c r="AJ262" s="88" t="str">
        <f t="shared" si="42"/>
        <v>-</v>
      </c>
      <c r="AK262" t="e">
        <f t="shared" si="48"/>
        <v>#VALUE!</v>
      </c>
      <c r="AL262" t="e">
        <f t="shared" si="49"/>
        <v>#VALUE!</v>
      </c>
    </row>
    <row r="263" spans="1:38" x14ac:dyDescent="0.25">
      <c r="A263" s="4">
        <f>Raw!J264</f>
        <v>139</v>
      </c>
      <c r="B263" s="4" t="str">
        <f>Raw!K264</f>
        <v>Hemlock Ave</v>
      </c>
      <c r="C263" s="4" t="str">
        <f>Raw!L264</f>
        <v>Silva Ave</v>
      </c>
      <c r="D263" s="4" t="str">
        <f>Raw!M264</f>
        <v>Hermosa Ave</v>
      </c>
      <c r="E263" s="23" t="str">
        <f>Raw!CG264</f>
        <v>W</v>
      </c>
      <c r="F263" s="7">
        <f>Raw!T264</f>
        <v>8</v>
      </c>
      <c r="G263" s="7">
        <f>Raw!AL264</f>
        <v>3</v>
      </c>
      <c r="H263" s="7">
        <f>Raw!AC264</f>
        <v>0</v>
      </c>
      <c r="I263" s="7">
        <f t="shared" ref="I263:I274" si="50">SUM(G263:H263)</f>
        <v>3</v>
      </c>
      <c r="J263" s="157" t="str">
        <f>Raw!BT264</f>
        <v>NA</v>
      </c>
      <c r="K263" s="157" t="str">
        <f>Raw!AW264</f>
        <v>NA</v>
      </c>
      <c r="L263" s="42" t="str">
        <f>IF(Raw!CE264 = "NA", "-", Raw!CE264)</f>
        <v>-</v>
      </c>
      <c r="M263" s="42" t="str">
        <f>IF(Raw!BH264 = "NA", "-", Raw!BH264)</f>
        <v>-</v>
      </c>
      <c r="N263" s="46" t="str">
        <f>IF(Raw!CD264 = "NA", "-", Raw!CD264)</f>
        <v>-</v>
      </c>
      <c r="O263" s="46" t="str">
        <f>IF(Raw!BG264 = "NA", "-", Raw!BG264)</f>
        <v>-</v>
      </c>
      <c r="P263" s="32" t="str">
        <f>IF(Raw!AW264 = "NA", "-", SUMPRODUCT(Raw!$BT$2:$CC$2, Raw!BT264:CC264))</f>
        <v>-</v>
      </c>
      <c r="Q263" s="32" t="str">
        <f>IF(Raw!AW264 = "NA", "-", SUMPRODUCT(Raw!$AW$2:$BF$2, Raw!AW264:BF264))</f>
        <v>-</v>
      </c>
      <c r="R263" s="7" t="e" cm="1">
        <f t="array" ref="R263">_xlfn.IFS(S263="YES", "Hourly", T263="YES", "Flat Rate")</f>
        <v>#N/A</v>
      </c>
      <c r="S263" s="8" t="str">
        <f>IF(Raw!CO264=1, "YES", "")</f>
        <v/>
      </c>
      <c r="T263" s="8" t="str">
        <f>IF(Raw!CO264=2, "YES", "")</f>
        <v/>
      </c>
      <c r="U263" s="96" t="str">
        <f>IF(Raw!CP264=1, "YES", "")</f>
        <v/>
      </c>
      <c r="V263" s="96"/>
      <c r="X263" s="23">
        <f>SUMPRODUCT(Raw!$BT$3:$CC$3, Raw!BT264:CC264)</f>
        <v>0</v>
      </c>
      <c r="Y263" s="23">
        <f>SUMPRODUCT(Raw!$BT$3:$CC$3, Raw!BU264:CD264)</f>
        <v>0</v>
      </c>
      <c r="Z263" s="28">
        <f t="shared" si="43"/>
        <v>0</v>
      </c>
      <c r="AA263" s="28">
        <f t="shared" si="44"/>
        <v>0</v>
      </c>
      <c r="AC263">
        <f t="shared" si="45"/>
        <v>8</v>
      </c>
      <c r="AD263" s="23">
        <f>IF(U263="YES",SUMPRODUCT(Raw!$BT$3:$CC$3,Raw!BT264:CC264)*0.6,SUMPRODUCT(Raw!$BT$3:$CC$3,Raw!BT264:CC264))</f>
        <v>0</v>
      </c>
      <c r="AE263" s="23">
        <f>IF(U263="YES",SUMPRODUCT(Raw!$BT$3:$CC$3,Raw!BU264:CD264)*0.6,SUMPRODUCT(Raw!$BT$3:$CC$3,Raw!BU264:CD264))</f>
        <v>0</v>
      </c>
      <c r="AF263" s="28">
        <f t="shared" si="46"/>
        <v>0</v>
      </c>
      <c r="AG263" s="28">
        <f t="shared" si="47"/>
        <v>0</v>
      </c>
      <c r="AI263" s="88" t="str">
        <f t="shared" si="41"/>
        <v>-</v>
      </c>
      <c r="AJ263" s="88" t="str">
        <f t="shared" si="42"/>
        <v>-</v>
      </c>
      <c r="AK263" t="e">
        <f t="shared" si="48"/>
        <v>#VALUE!</v>
      </c>
      <c r="AL263" t="e">
        <f t="shared" si="49"/>
        <v>#VALUE!</v>
      </c>
    </row>
    <row r="264" spans="1:38" x14ac:dyDescent="0.25">
      <c r="A264" s="4">
        <f>Raw!J265</f>
        <v>27</v>
      </c>
      <c r="B264" s="4" t="str">
        <f>Raw!K265</f>
        <v>Poplar Ave</v>
      </c>
      <c r="C264" s="4" t="str">
        <f>Raw!L265</f>
        <v>Barclay Ave</v>
      </c>
      <c r="D264" s="4" t="str">
        <f>Raw!M265</f>
        <v>Taylor Blvd</v>
      </c>
      <c r="E264" s="23" t="str">
        <f>Raw!CG265</f>
        <v>E</v>
      </c>
      <c r="F264" s="7">
        <f>Raw!T265</f>
        <v>9</v>
      </c>
      <c r="G264" s="7">
        <f>Raw!AL265</f>
        <v>0</v>
      </c>
      <c r="H264" s="7">
        <f>Raw!AC265</f>
        <v>0</v>
      </c>
      <c r="I264" s="7">
        <f t="shared" si="50"/>
        <v>0</v>
      </c>
      <c r="J264" s="157" t="str">
        <f>Raw!BT265</f>
        <v>NA</v>
      </c>
      <c r="K264" s="157" t="str">
        <f>Raw!AW265</f>
        <v>NA</v>
      </c>
      <c r="L264" s="42" t="str">
        <f>IF(Raw!CE265 = "NA", "-", Raw!CE265)</f>
        <v>-</v>
      </c>
      <c r="M264" s="42" t="str">
        <f>IF(Raw!BH265 = "NA", "-", Raw!BH265)</f>
        <v>-</v>
      </c>
      <c r="N264" s="46" t="str">
        <f>IF(Raw!CD265 = "NA", "-", Raw!CD265)</f>
        <v>-</v>
      </c>
      <c r="O264" s="46" t="str">
        <f>IF(Raw!BG265 = "NA", "-", Raw!BG265)</f>
        <v>-</v>
      </c>
      <c r="P264" s="32" t="str">
        <f>IF(Raw!AW265 = "NA", "-", SUMPRODUCT(Raw!$BT$2:$CC$2, Raw!BT265:CC265))</f>
        <v>-</v>
      </c>
      <c r="Q264" s="32" t="str">
        <f>IF(Raw!AW265 = "NA", "-", SUMPRODUCT(Raw!$AW$2:$BF$2, Raw!AW265:BF265))</f>
        <v>-</v>
      </c>
      <c r="R264" s="7" t="e" cm="1">
        <f t="array" ref="R264">_xlfn.IFS(S264="YES", "Hourly", T264="YES", "Flat Rate")</f>
        <v>#N/A</v>
      </c>
      <c r="S264" s="8" t="str">
        <f>IF(Raw!CO265=1, "YES", "")</f>
        <v/>
      </c>
      <c r="T264" s="8" t="str">
        <f>IF(Raw!CO265=2, "YES", "")</f>
        <v/>
      </c>
      <c r="U264" s="96" t="str">
        <f>IF(Raw!CP265=1, "YES", "")</f>
        <v/>
      </c>
      <c r="V264" s="96"/>
      <c r="X264" s="23">
        <f>SUMPRODUCT(Raw!$BT$3:$CC$3, Raw!BT265:CC265)</f>
        <v>0</v>
      </c>
      <c r="Y264" s="23">
        <f>SUMPRODUCT(Raw!$BT$3:$CC$3, Raw!BU265:CD265)</f>
        <v>0</v>
      </c>
      <c r="Z264" s="28">
        <f t="shared" si="43"/>
        <v>0</v>
      </c>
      <c r="AA264" s="28">
        <f t="shared" si="44"/>
        <v>0</v>
      </c>
      <c r="AC264">
        <f t="shared" si="45"/>
        <v>9</v>
      </c>
      <c r="AD264" s="23">
        <f>IF(U264="YES",SUMPRODUCT(Raw!$BT$3:$CC$3,Raw!BT265:CC265)*0.6,SUMPRODUCT(Raw!$BT$3:$CC$3,Raw!BT265:CC265))</f>
        <v>0</v>
      </c>
      <c r="AE264" s="23">
        <f>IF(U264="YES",SUMPRODUCT(Raw!$BT$3:$CC$3,Raw!BU265:CD265)*0.6,SUMPRODUCT(Raw!$BT$3:$CC$3,Raw!BU265:CD265))</f>
        <v>0</v>
      </c>
      <c r="AF264" s="28">
        <f t="shared" si="46"/>
        <v>0</v>
      </c>
      <c r="AG264" s="28">
        <f t="shared" si="47"/>
        <v>0</v>
      </c>
      <c r="AI264" s="88" t="str">
        <f t="shared" si="41"/>
        <v>-</v>
      </c>
      <c r="AJ264" s="88" t="str">
        <f t="shared" si="42"/>
        <v>-</v>
      </c>
      <c r="AK264" t="e">
        <f t="shared" si="48"/>
        <v>#VALUE!</v>
      </c>
      <c r="AL264" t="e">
        <f t="shared" si="49"/>
        <v>#VALUE!</v>
      </c>
    </row>
    <row r="265" spans="1:38" x14ac:dyDescent="0.25">
      <c r="A265" s="4">
        <f>Raw!J266</f>
        <v>148</v>
      </c>
      <c r="B265" s="4" t="str">
        <f>Raw!K266</f>
        <v>Irwin Pl</v>
      </c>
      <c r="C265" s="4" t="str">
        <f>Raw!L266</f>
        <v>Murchison Dr</v>
      </c>
      <c r="D265" s="4" t="str">
        <f>Raw!M266</f>
        <v>California Dr</v>
      </c>
      <c r="E265" s="23" t="str">
        <f>Raw!CG266</f>
        <v>E</v>
      </c>
      <c r="F265" s="7">
        <f>Raw!T266</f>
        <v>21</v>
      </c>
      <c r="G265" s="7">
        <f>Raw!AL266</f>
        <v>0</v>
      </c>
      <c r="H265" s="7">
        <f>Raw!AC266</f>
        <v>0</v>
      </c>
      <c r="I265" s="7">
        <f t="shared" si="50"/>
        <v>0</v>
      </c>
      <c r="J265" s="157">
        <f>Raw!BT266</f>
        <v>11</v>
      </c>
      <c r="K265" s="157">
        <f>Raw!AW266</f>
        <v>10</v>
      </c>
      <c r="L265" s="42">
        <f>IF(Raw!CE266 = "NA", "-", Raw!CE266)</f>
        <v>1.4</v>
      </c>
      <c r="M265" s="42">
        <f>IF(Raw!BH266 = "NA", "-", Raw!BH266)</f>
        <v>1</v>
      </c>
      <c r="N265" s="46">
        <f>IF(Raw!CD266 = "NA", "-", Raw!CD266)</f>
        <v>28</v>
      </c>
      <c r="O265" s="46">
        <f>IF(Raw!BG266 = "NA", "-", Raw!BG266)</f>
        <v>21</v>
      </c>
      <c r="P265" s="32">
        <f>IF(Raw!AW266 = "NA", "-", SUMPRODUCT(Raw!$BT$2:$CC$2, Raw!BT266:CC266))</f>
        <v>95</v>
      </c>
      <c r="Q265" s="32">
        <f>IF(Raw!AW266 = "NA", "-", SUMPRODUCT(Raw!$AW$2:$BF$2, Raw!AW266:BF266))</f>
        <v>46</v>
      </c>
      <c r="R265" s="7" t="e" cm="1">
        <f t="array" ref="R265">_xlfn.IFS(S265="YES", "Hourly", T265="YES", "Flat Rate")</f>
        <v>#N/A</v>
      </c>
      <c r="S265" s="8" t="str">
        <f>IF(Raw!CO266=1, "YES", "")</f>
        <v/>
      </c>
      <c r="T265" s="8" t="str">
        <f>IF(Raw!CO266=2, "YES", "")</f>
        <v/>
      </c>
      <c r="U265" s="96" t="str">
        <f>IF(Raw!CP266=1, "YES", "")</f>
        <v/>
      </c>
      <c r="V265" s="96"/>
      <c r="X265" s="23">
        <f>SUMPRODUCT(Raw!$BT$3:$CC$3, Raw!BT266:CC266)</f>
        <v>45</v>
      </c>
      <c r="Y265" s="23">
        <f>SUMPRODUCT(Raw!$BT$3:$CC$3, Raw!BU266:CD266)</f>
        <v>83</v>
      </c>
      <c r="Z265" s="28">
        <f t="shared" si="43"/>
        <v>308</v>
      </c>
      <c r="AA265" s="28">
        <f t="shared" si="44"/>
        <v>16061</v>
      </c>
      <c r="AC265">
        <f t="shared" si="45"/>
        <v>21</v>
      </c>
      <c r="AD265" s="23">
        <f>IF(U265="YES",SUMPRODUCT(Raw!$BT$3:$CC$3,Raw!BT266:CC266)*0.6,SUMPRODUCT(Raw!$BT$3:$CC$3,Raw!BT266:CC266))</f>
        <v>45</v>
      </c>
      <c r="AE265" s="23">
        <f>IF(U265="YES",SUMPRODUCT(Raw!$BT$3:$CC$3,Raw!BU266:CD266)*0.6,SUMPRODUCT(Raw!$BT$3:$CC$3,Raw!BU266:CD266))</f>
        <v>83</v>
      </c>
      <c r="AF265" s="28">
        <f t="shared" si="46"/>
        <v>308</v>
      </c>
      <c r="AG265" s="28">
        <f t="shared" si="47"/>
        <v>16061</v>
      </c>
      <c r="AI265" s="88">
        <f t="shared" si="41"/>
        <v>28</v>
      </c>
      <c r="AJ265" s="88">
        <f t="shared" si="42"/>
        <v>21</v>
      </c>
      <c r="AK265">
        <f t="shared" si="48"/>
        <v>885.5</v>
      </c>
      <c r="AL265">
        <f t="shared" si="49"/>
        <v>46200</v>
      </c>
    </row>
    <row r="266" spans="1:38" x14ac:dyDescent="0.25">
      <c r="A266" s="4">
        <f>Raw!J268</f>
        <v>902</v>
      </c>
      <c r="B266" s="4">
        <f>Raw!K268</f>
        <v>0</v>
      </c>
      <c r="C266" s="4" t="str">
        <f>Raw!L268</f>
        <v>300 Magnolia Lot</v>
      </c>
      <c r="D266" s="4">
        <f>Raw!M268</f>
        <v>0</v>
      </c>
      <c r="E266" s="23">
        <f>Raw!CG268</f>
        <v>0</v>
      </c>
      <c r="F266" s="7">
        <f>Raw!T268</f>
        <v>104</v>
      </c>
      <c r="G266" s="7">
        <f>Raw!AL268</f>
        <v>1</v>
      </c>
      <c r="H266" s="7">
        <f>Raw!AC268</f>
        <v>2</v>
      </c>
      <c r="I266" s="7">
        <f t="shared" si="50"/>
        <v>3</v>
      </c>
      <c r="J266" s="157">
        <f>Raw!BT267</f>
        <v>0</v>
      </c>
      <c r="K266" s="157">
        <f>Raw!AW267</f>
        <v>0</v>
      </c>
      <c r="L266" s="42">
        <f>IF(Raw!CE268 = "NA", "-", Raw!CE268)</f>
        <v>2</v>
      </c>
      <c r="M266" s="42">
        <f>IF(Raw!BH268 = "NA", "-", Raw!BH268)</f>
        <v>6.8</v>
      </c>
      <c r="N266" s="46">
        <f>IF(Raw!CD268 = "NA", "-", Raw!CD268)</f>
        <v>212</v>
      </c>
      <c r="O266" s="46">
        <f>IF(Raw!BG268 = "NA", "-", Raw!BG268)</f>
        <v>705</v>
      </c>
      <c r="P266" s="32">
        <f>IF(Raw!AW268 = "NA", "-", SUMPRODUCT(Raw!$BT$2:$CC$2, Raw!BT268:CC268))</f>
        <v>774</v>
      </c>
      <c r="Q266" s="32">
        <f>IF(Raw!AW268 = "NA", "-", SUMPRODUCT(Raw!$AW$2:$BF$2, Raw!AW268:BF268))</f>
        <v>1687</v>
      </c>
      <c r="R266" s="7" t="str" cm="1">
        <f t="array" ref="R266">_xlfn.IFS(S266="YES", "Hourly", T266="YES", "Flat Rate")</f>
        <v>Hourly</v>
      </c>
      <c r="S266" s="8" t="str">
        <f>IF(Raw!CO268=1, "YES", "")</f>
        <v>YES</v>
      </c>
      <c r="T266" s="8" t="str">
        <f>IF(Raw!CO268=2, "YES", "")</f>
        <v/>
      </c>
      <c r="U266" s="96" t="str">
        <f>IF(Raw!CP268=1, "YES", "")</f>
        <v/>
      </c>
      <c r="V266" s="96"/>
      <c r="X266" s="23">
        <f>SUMPRODUCT(Raw!$BT$3:$CC$3, Raw!BT268:CC268)</f>
        <v>370</v>
      </c>
      <c r="Y266" s="23">
        <f>SUMPRODUCT(Raw!$BT$3:$CC$3, Raw!BU268:CD268)</f>
        <v>703</v>
      </c>
      <c r="Z266" s="28">
        <f t="shared" si="43"/>
        <v>2553</v>
      </c>
      <c r="AA266" s="28">
        <f t="shared" si="44"/>
        <v>133126</v>
      </c>
      <c r="AC266">
        <f t="shared" si="45"/>
        <v>104</v>
      </c>
      <c r="AD266" s="23">
        <f>IF(U266="YES",SUMPRODUCT(Raw!$BT$3:$CC$3,Raw!BT268:CC268)*0.6,SUMPRODUCT(Raw!$BT$3:$CC$3,Raw!BT268:CC268))</f>
        <v>370</v>
      </c>
      <c r="AE266" s="23">
        <f>IF(U266="YES",SUMPRODUCT(Raw!$BT$3:$CC$3,Raw!BU268:CD268)*0.6,SUMPRODUCT(Raw!$BT$3:$CC$3,Raw!BU268:CD268))</f>
        <v>703</v>
      </c>
      <c r="AF266" s="28">
        <f t="shared" si="46"/>
        <v>2553</v>
      </c>
      <c r="AG266" s="28">
        <f t="shared" si="47"/>
        <v>133126</v>
      </c>
      <c r="AI266" s="88">
        <f t="shared" si="41"/>
        <v>212</v>
      </c>
      <c r="AJ266" s="88">
        <f t="shared" si="42"/>
        <v>705</v>
      </c>
      <c r="AK266">
        <f t="shared" si="48"/>
        <v>9707.5</v>
      </c>
      <c r="AL266">
        <f t="shared" si="49"/>
        <v>505956</v>
      </c>
    </row>
    <row r="267" spans="1:38" x14ac:dyDescent="0.25">
      <c r="A267" s="4">
        <f>Raw!J269</f>
        <v>903</v>
      </c>
      <c r="B267" s="4">
        <f>Raw!K269</f>
        <v>0</v>
      </c>
      <c r="C267" s="4" t="str">
        <f>Raw!L269</f>
        <v>446 Broadway Lot</v>
      </c>
      <c r="D267" s="4">
        <f>Raw!M269</f>
        <v>0</v>
      </c>
      <c r="E267" s="23">
        <f>Raw!CG269</f>
        <v>0</v>
      </c>
      <c r="F267" s="7">
        <f>Raw!T269</f>
        <v>62</v>
      </c>
      <c r="G267" s="7">
        <f>Raw!AL269</f>
        <v>0</v>
      </c>
      <c r="H267" s="7">
        <f>Raw!AC269</f>
        <v>1</v>
      </c>
      <c r="I267" s="7">
        <f t="shared" si="50"/>
        <v>1</v>
      </c>
      <c r="J267" s="157">
        <f>Raw!BT268</f>
        <v>54</v>
      </c>
      <c r="K267" s="157">
        <f>Raw!AW268</f>
        <v>393</v>
      </c>
      <c r="L267" s="42">
        <f>IF(Raw!CE269 = "NA", "-", Raw!CE269)</f>
        <v>2.5</v>
      </c>
      <c r="M267" s="42">
        <f>IF(Raw!BH269 = "NA", "-", Raw!BH269)</f>
        <v>5</v>
      </c>
      <c r="N267" s="46">
        <f>IF(Raw!CD269 = "NA", "-", Raw!CD269)</f>
        <v>158</v>
      </c>
      <c r="O267" s="46">
        <f>IF(Raw!BG269 = "NA", "-", Raw!BG269)</f>
        <v>310</v>
      </c>
      <c r="P267" s="32">
        <f>IF(Raw!AW269 = "NA", "-", SUMPRODUCT(Raw!$BT$2:$CC$2, Raw!BT269:CC269))</f>
        <v>414</v>
      </c>
      <c r="Q267" s="32">
        <f>IF(Raw!AW269 = "NA", "-", SUMPRODUCT(Raw!$AW$2:$BF$2, Raw!AW269:BF269))</f>
        <v>914</v>
      </c>
      <c r="R267" s="7" t="str" cm="1">
        <f t="array" ref="R267">_xlfn.IFS(S267="YES", "Hourly", T267="YES", "Flat Rate")</f>
        <v>Hourly</v>
      </c>
      <c r="S267" s="8" t="str">
        <f>IF(Raw!CO269=1, "YES", "")</f>
        <v>YES</v>
      </c>
      <c r="T267" s="8" t="str">
        <f>IF(Raw!CO269=2, "YES", "")</f>
        <v/>
      </c>
      <c r="U267" s="96" t="str">
        <f>IF(Raw!CP269=1, "YES", "")</f>
        <v/>
      </c>
      <c r="V267" s="96"/>
      <c r="X267" s="23">
        <f>SUMPRODUCT(Raw!$BT$3:$CC$3, Raw!BT269:CC269)</f>
        <v>233</v>
      </c>
      <c r="Y267" s="23">
        <f>SUMPRODUCT(Raw!$BT$3:$CC$3, Raw!BU269:CD269)</f>
        <v>442</v>
      </c>
      <c r="Z267" s="28">
        <f t="shared" si="43"/>
        <v>1607</v>
      </c>
      <c r="AA267" s="28">
        <f t="shared" si="44"/>
        <v>83797</v>
      </c>
      <c r="AC267">
        <f t="shared" si="45"/>
        <v>62</v>
      </c>
      <c r="AD267" s="23">
        <f>IF(U267="YES",SUMPRODUCT(Raw!$BT$3:$CC$3,Raw!BT269:CC269)*0.6,SUMPRODUCT(Raw!$BT$3:$CC$3,Raw!BT269:CC269))</f>
        <v>233</v>
      </c>
      <c r="AE267" s="23">
        <f>IF(U267="YES",SUMPRODUCT(Raw!$BT$3:$CC$3,Raw!BU269:CD269)*0.6,SUMPRODUCT(Raw!$BT$3:$CC$3,Raw!BU269:CD269))</f>
        <v>442</v>
      </c>
      <c r="AF267" s="28">
        <f t="shared" si="46"/>
        <v>1607</v>
      </c>
      <c r="AG267" s="28">
        <f t="shared" si="47"/>
        <v>83797</v>
      </c>
      <c r="AI267" s="88">
        <f t="shared" si="41"/>
        <v>158</v>
      </c>
      <c r="AJ267" s="88">
        <f t="shared" si="42"/>
        <v>310</v>
      </c>
      <c r="AK267">
        <f t="shared" si="48"/>
        <v>6050</v>
      </c>
      <c r="AL267">
        <f t="shared" si="49"/>
        <v>315469</v>
      </c>
    </row>
    <row r="268" spans="1:38" x14ac:dyDescent="0.25">
      <c r="A268" s="4">
        <f>Raw!J270</f>
        <v>904</v>
      </c>
      <c r="B268" s="4">
        <f>Raw!K270</f>
        <v>0</v>
      </c>
      <c r="C268" s="4" t="str">
        <f>Raw!L270</f>
        <v>238 Broadway Lot</v>
      </c>
      <c r="D268" s="4">
        <f>Raw!M270</f>
        <v>0</v>
      </c>
      <c r="E268" s="23">
        <f>Raw!CG270</f>
        <v>0</v>
      </c>
      <c r="F268" s="7">
        <f>Raw!T270</f>
        <v>50</v>
      </c>
      <c r="G268" s="7">
        <f>Raw!AL270</f>
        <v>2</v>
      </c>
      <c r="H268" s="7">
        <f>Raw!AC270</f>
        <v>2</v>
      </c>
      <c r="I268" s="7">
        <f t="shared" si="50"/>
        <v>4</v>
      </c>
      <c r="J268" s="157">
        <f>Raw!BT269</f>
        <v>83</v>
      </c>
      <c r="K268" s="157">
        <f>Raw!AW269</f>
        <v>114</v>
      </c>
      <c r="L268" s="42">
        <f>IF(Raw!CE270 = "NA", "-", Raw!CE270)</f>
        <v>2.5</v>
      </c>
      <c r="M268" s="42">
        <f>IF(Raw!BH270 = "NA", "-", Raw!BH270)</f>
        <v>4.032258064516129</v>
      </c>
      <c r="N268" s="46">
        <f>IF(Raw!CD270 = "NA", "-", Raw!CD270)</f>
        <v>127.41935483870968</v>
      </c>
      <c r="O268" s="46">
        <f>IF(Raw!BG270 = "NA", "-", Raw!BG270)</f>
        <v>250</v>
      </c>
      <c r="P268" s="32">
        <f>IF(Raw!AW270 = "NA", "-", SUMPRODUCT(Raw!$BT$2:$CC$2, Raw!BT270:CC270))</f>
        <v>333.87096774193549</v>
      </c>
      <c r="Q268" s="32">
        <f>IF(Raw!AW270 = "NA", "-", SUMPRODUCT(Raw!$AW$2:$BF$2, Raw!AW270:BF270))</f>
        <v>737.0967741935483</v>
      </c>
      <c r="R268" s="7" t="str" cm="1">
        <f t="array" ref="R268">_xlfn.IFS(S268="YES", "Hourly", T268="YES", "Flat Rate")</f>
        <v>Hourly</v>
      </c>
      <c r="S268" s="8" t="str">
        <f>IF(Raw!CO270=1, "YES", "")</f>
        <v>YES</v>
      </c>
      <c r="T268" s="8" t="str">
        <f>IF(Raw!CO270=2, "YES", "")</f>
        <v/>
      </c>
      <c r="U268" s="96" t="str">
        <f>IF(Raw!CP270=1, "YES", "")</f>
        <v/>
      </c>
      <c r="V268" s="96"/>
      <c r="X268" s="23">
        <f>SUMPRODUCT(Raw!$BT$3:$CC$3, Raw!BT270:CC270)</f>
        <v>187.90322580645159</v>
      </c>
      <c r="Y268" s="23">
        <f>SUMPRODUCT(Raw!$BT$3:$CC$3, Raw!BU270:CD270)</f>
        <v>356.45161290322579</v>
      </c>
      <c r="Z268" s="28">
        <f t="shared" si="43"/>
        <v>1295.9677419354837</v>
      </c>
      <c r="AA268" s="28">
        <f t="shared" si="44"/>
        <v>67578.225806451606</v>
      </c>
      <c r="AC268">
        <f t="shared" si="45"/>
        <v>50</v>
      </c>
      <c r="AD268" s="23">
        <f>IF(U268="YES",SUMPRODUCT(Raw!$BT$3:$CC$3,Raw!BT270:CC270)*0.6,SUMPRODUCT(Raw!$BT$3:$CC$3,Raw!BT270:CC270))</f>
        <v>187.90322580645159</v>
      </c>
      <c r="AE268" s="23">
        <f>IF(U268="YES",SUMPRODUCT(Raw!$BT$3:$CC$3,Raw!BU270:CD270)*0.6,SUMPRODUCT(Raw!$BT$3:$CC$3,Raw!BU270:CD270))</f>
        <v>356.45161290322579</v>
      </c>
      <c r="AF268" s="28">
        <f t="shared" si="46"/>
        <v>1295.9677419354837</v>
      </c>
      <c r="AG268" s="28">
        <f t="shared" si="47"/>
        <v>67578.225806451606</v>
      </c>
      <c r="AI268" s="88">
        <f t="shared" si="41"/>
        <v>127.41935483870968</v>
      </c>
      <c r="AJ268" s="88">
        <f t="shared" si="42"/>
        <v>250</v>
      </c>
      <c r="AK268">
        <f t="shared" si="48"/>
        <v>4879.0322580645161</v>
      </c>
      <c r="AL268">
        <f t="shared" si="49"/>
        <v>254410.48387096776</v>
      </c>
    </row>
    <row r="269" spans="1:38" x14ac:dyDescent="0.25">
      <c r="A269" s="4">
        <f>Raw!J271</f>
        <v>905</v>
      </c>
      <c r="B269" s="4">
        <f>Raw!K271</f>
        <v>0</v>
      </c>
      <c r="C269" s="4" t="str">
        <f>Raw!L271</f>
        <v>Park Pl Lot</v>
      </c>
      <c r="D269" s="4">
        <f>Raw!M271</f>
        <v>0</v>
      </c>
      <c r="E269" s="23">
        <f>Raw!CG271</f>
        <v>0</v>
      </c>
      <c r="F269" s="7">
        <f>Raw!T271</f>
        <v>55</v>
      </c>
      <c r="G269" s="7">
        <f>Raw!AL271</f>
        <v>0</v>
      </c>
      <c r="H269" s="7">
        <f>Raw!AC271</f>
        <v>1</v>
      </c>
      <c r="I269" s="7">
        <f t="shared" si="50"/>
        <v>1</v>
      </c>
      <c r="J269" s="157">
        <f>Raw!BT270</f>
        <v>66.935483870967744</v>
      </c>
      <c r="K269" s="157">
        <f>Raw!AW270</f>
        <v>91.935483870967744</v>
      </c>
      <c r="L269" s="42">
        <f>IF(Raw!CE271 = "NA", "-", Raw!CE271)</f>
        <v>2.5</v>
      </c>
      <c r="M269" s="42">
        <f>IF(Raw!BH271 = "NA", "-", Raw!BH271)</f>
        <v>4.435483870967742</v>
      </c>
      <c r="N269" s="46">
        <f>IF(Raw!CD271 = "NA", "-", Raw!CD271)</f>
        <v>140.16129032258064</v>
      </c>
      <c r="O269" s="46">
        <f>IF(Raw!BG271 = "NA", "-", Raw!BG271)</f>
        <v>275</v>
      </c>
      <c r="P269" s="32">
        <f>IF(Raw!AW271 = "NA", "-", SUMPRODUCT(Raw!$BT$2:$CC$2, Raw!BT271:CC271))</f>
        <v>367.25806451612908</v>
      </c>
      <c r="Q269" s="32">
        <f>IF(Raw!AW271 = "NA", "-", SUMPRODUCT(Raw!$AW$2:$BF$2, Raw!AW271:BF271))</f>
        <v>810.80645161290317</v>
      </c>
      <c r="R269" s="7" t="str" cm="1">
        <f t="array" ref="R269">_xlfn.IFS(S269="YES", "Hourly", T269="YES", "Flat Rate")</f>
        <v>Hourly</v>
      </c>
      <c r="S269" s="8" t="str">
        <f>IF(Raw!CO271=1, "YES", "")</f>
        <v>YES</v>
      </c>
      <c r="T269" s="8" t="str">
        <f>IF(Raw!CO271=2, "YES", "")</f>
        <v/>
      </c>
      <c r="U269" s="96" t="str">
        <f>IF(Raw!CP271=1, "YES", "")</f>
        <v/>
      </c>
      <c r="V269" s="96"/>
      <c r="X269" s="23">
        <f>SUMPRODUCT(Raw!$BT$3:$CC$3, Raw!BT271:CC271)</f>
        <v>206.69354838709677</v>
      </c>
      <c r="Y269" s="23">
        <f>SUMPRODUCT(Raw!$BT$3:$CC$3, Raw!BU271:CD271)</f>
        <v>392.09677419354841</v>
      </c>
      <c r="Z269" s="28">
        <f t="shared" si="43"/>
        <v>1425.5645161290322</v>
      </c>
      <c r="AA269" s="28">
        <f t="shared" si="44"/>
        <v>74336.048387096773</v>
      </c>
      <c r="AC269">
        <f t="shared" si="45"/>
        <v>55</v>
      </c>
      <c r="AD269" s="23">
        <f>IF(U269="YES",SUMPRODUCT(Raw!$BT$3:$CC$3,Raw!BT271:CC271)*0.6,SUMPRODUCT(Raw!$BT$3:$CC$3,Raw!BT271:CC271))</f>
        <v>206.69354838709677</v>
      </c>
      <c r="AE269" s="23">
        <f>IF(U269="YES",SUMPRODUCT(Raw!$BT$3:$CC$3,Raw!BU271:CD271)*0.6,SUMPRODUCT(Raw!$BT$3:$CC$3,Raw!BU271:CD271))</f>
        <v>392.09677419354841</v>
      </c>
      <c r="AF269" s="28">
        <f t="shared" si="46"/>
        <v>1425.5645161290322</v>
      </c>
      <c r="AG269" s="28">
        <f t="shared" si="47"/>
        <v>74336.048387096773</v>
      </c>
      <c r="AI269" s="88">
        <f t="shared" si="41"/>
        <v>140.16129032258064</v>
      </c>
      <c r="AJ269" s="88">
        <f t="shared" si="42"/>
        <v>275</v>
      </c>
      <c r="AK269">
        <f t="shared" si="48"/>
        <v>5366.9354838709678</v>
      </c>
      <c r="AL269">
        <f t="shared" si="49"/>
        <v>279851.53225806449</v>
      </c>
    </row>
    <row r="270" spans="1:38" x14ac:dyDescent="0.25">
      <c r="A270" s="4">
        <f>Raw!J272</f>
        <v>906</v>
      </c>
      <c r="B270" s="4">
        <f>Raw!K272</f>
        <v>0</v>
      </c>
      <c r="C270" s="4" t="str">
        <f>Raw!L272</f>
        <v>Station Lot</v>
      </c>
      <c r="D270" s="4">
        <f>Raw!M272</f>
        <v>0</v>
      </c>
      <c r="E270" s="23">
        <f>Raw!CG272</f>
        <v>0</v>
      </c>
      <c r="F270" s="7">
        <f>Raw!T272</f>
        <v>28</v>
      </c>
      <c r="G270" s="7">
        <f>Raw!AL272</f>
        <v>0</v>
      </c>
      <c r="H270" s="7">
        <f>Raw!AC272</f>
        <v>0</v>
      </c>
      <c r="I270" s="7">
        <f t="shared" si="50"/>
        <v>0</v>
      </c>
      <c r="J270" s="157">
        <f>Raw!BT271</f>
        <v>73.629032258064512</v>
      </c>
      <c r="K270" s="157">
        <f>Raw!AW271</f>
        <v>101.12903225806451</v>
      </c>
      <c r="L270" s="42">
        <f>IF(Raw!CE272 = "NA", "-", Raw!CE272)</f>
        <v>0</v>
      </c>
      <c r="M270" s="42">
        <f>IF(Raw!BH272 = "NA", "-", Raw!BH272)</f>
        <v>0</v>
      </c>
      <c r="N270" s="46">
        <f>IF(Raw!CD272 = "NA", "-", Raw!CD272)</f>
        <v>23</v>
      </c>
      <c r="O270" s="46">
        <f>IF(Raw!BG272 = "NA", "-", Raw!BG272)</f>
        <v>23</v>
      </c>
      <c r="P270" s="32">
        <f>IF(Raw!AW272 = "NA", "-", SUMPRODUCT(Raw!$BT$2:$CC$2, Raw!BT272:CC272))</f>
        <v>0</v>
      </c>
      <c r="Q270" s="32">
        <f>IF(Raw!AW272 = "NA", "-", SUMPRODUCT(Raw!$AW$2:$BF$2, Raw!AW272:BF272))</f>
        <v>0</v>
      </c>
      <c r="R270" s="7" t="str" cm="1">
        <f t="array" ref="R270">_xlfn.IFS(S270="YES", "Hourly", T270="YES", "Flat Rate")</f>
        <v>Flat Rate</v>
      </c>
      <c r="S270" s="8" t="str">
        <f>IF(Raw!CO272=1, "YES", "")</f>
        <v/>
      </c>
      <c r="T270" s="8" t="str">
        <f>IF(Raw!CO272=2, "YES", "")</f>
        <v>YES</v>
      </c>
      <c r="U270" s="96" t="str">
        <f>IF(Raw!CP272=1, "YES", "")</f>
        <v/>
      </c>
      <c r="V270" s="96"/>
      <c r="X270" s="23">
        <f>SUMPRODUCT(Raw!$BT$3:$CC$3, Raw!BT272:CC272)</f>
        <v>0</v>
      </c>
      <c r="Y270" s="23">
        <f>SUMPRODUCT(Raw!$BT$3:$CC$3, Raw!BU272:CD272)</f>
        <v>46</v>
      </c>
      <c r="Z270" s="28">
        <f t="shared" si="43"/>
        <v>46</v>
      </c>
      <c r="AA270" s="28">
        <f t="shared" si="44"/>
        <v>2392</v>
      </c>
      <c r="AC270">
        <f t="shared" si="45"/>
        <v>28</v>
      </c>
      <c r="AD270" s="23">
        <f>IF(U270="YES",SUMPRODUCT(Raw!$BT$3:$CC$3,Raw!BT272:CC272)*0.6,SUMPRODUCT(Raw!$BT$3:$CC$3,Raw!BT272:CC272))</f>
        <v>0</v>
      </c>
      <c r="AE270" s="23">
        <f>IF(U270="YES",SUMPRODUCT(Raw!$BT$3:$CC$3,Raw!BU272:CD272)*0.6,SUMPRODUCT(Raw!$BT$3:$CC$3,Raw!BU272:CD272))</f>
        <v>46</v>
      </c>
      <c r="AF270" s="28">
        <f t="shared" si="46"/>
        <v>46</v>
      </c>
      <c r="AG270" s="28">
        <f t="shared" si="47"/>
        <v>2392</v>
      </c>
      <c r="AI270" s="88">
        <f t="shared" si="41"/>
        <v>23</v>
      </c>
      <c r="AJ270" s="88">
        <f t="shared" si="42"/>
        <v>23</v>
      </c>
      <c r="AK270">
        <f t="shared" si="48"/>
        <v>759</v>
      </c>
      <c r="AL270">
        <f t="shared" si="49"/>
        <v>39594.5</v>
      </c>
    </row>
    <row r="271" spans="1:38" x14ac:dyDescent="0.25">
      <c r="A271" s="4">
        <f>Raw!J273</f>
        <v>0</v>
      </c>
      <c r="B271" s="4">
        <f>Raw!K273</f>
        <v>0</v>
      </c>
      <c r="C271" s="4">
        <f>Raw!L273</f>
        <v>0</v>
      </c>
      <c r="D271" s="4">
        <f>Raw!M273</f>
        <v>0</v>
      </c>
      <c r="E271" s="23">
        <f>Raw!CG273</f>
        <v>0</v>
      </c>
      <c r="F271" s="7">
        <f>Raw!T273</f>
        <v>0</v>
      </c>
      <c r="G271" s="7">
        <f>Raw!AL273</f>
        <v>0</v>
      </c>
      <c r="H271" s="7">
        <f>Raw!AC273</f>
        <v>0</v>
      </c>
      <c r="I271" s="7">
        <f t="shared" si="50"/>
        <v>0</v>
      </c>
      <c r="J271" s="157">
        <f>Raw!BT272</f>
        <v>0</v>
      </c>
      <c r="K271" s="157">
        <f>Raw!AW272</f>
        <v>0</v>
      </c>
      <c r="L271" s="42">
        <f>IF(Raw!CE273 = "NA", "-", Raw!CE273)</f>
        <v>0</v>
      </c>
      <c r="M271" s="42">
        <f>IF(Raw!BH273 = "NA", "-", Raw!BH273)</f>
        <v>0</v>
      </c>
      <c r="N271" s="46">
        <f>IF(Raw!CD273 = "NA", "-", Raw!CD273)</f>
        <v>0</v>
      </c>
      <c r="O271" s="46">
        <f>IF(Raw!BG273 = "NA", "-", Raw!BG273)</f>
        <v>0</v>
      </c>
      <c r="P271" s="32">
        <f>IF(Raw!AW273 = "NA", "-", SUMPRODUCT(Raw!$BT$2:$CC$2, Raw!BT273:CC273))</f>
        <v>0</v>
      </c>
      <c r="Q271" s="32">
        <f>IF(Raw!AW273 = "NA", "-", SUMPRODUCT(Raw!$AW$2:$BF$2, Raw!AW273:BF273))</f>
        <v>0</v>
      </c>
      <c r="R271" s="7" t="e" cm="1">
        <f t="array" ref="R271">_xlfn.IFS(S271="YES", "Hourly", T271="YES", "Flat Rate")</f>
        <v>#N/A</v>
      </c>
      <c r="S271" s="8" t="str">
        <f>IF(Raw!CO273=1, "YES", "")</f>
        <v/>
      </c>
      <c r="T271" s="8" t="str">
        <f>IF(Raw!CO273=2, "YES", "")</f>
        <v/>
      </c>
      <c r="U271" s="96" t="str">
        <f>IF(Raw!CP273=1, "YES", "")</f>
        <v/>
      </c>
      <c r="V271" s="96"/>
      <c r="AI271" s="88">
        <f t="shared" si="41"/>
        <v>0</v>
      </c>
      <c r="AJ271" s="88">
        <f t="shared" si="42"/>
        <v>0</v>
      </c>
      <c r="AK271">
        <f t="shared" si="48"/>
        <v>0</v>
      </c>
      <c r="AL271">
        <f t="shared" si="49"/>
        <v>0</v>
      </c>
    </row>
    <row r="272" spans="1:38" x14ac:dyDescent="0.25">
      <c r="A272" s="4">
        <f>Raw!J274</f>
        <v>0</v>
      </c>
      <c r="B272" s="4">
        <f>Raw!K274</f>
        <v>0</v>
      </c>
      <c r="C272" s="4">
        <f>Raw!L274</f>
        <v>0</v>
      </c>
      <c r="D272" s="4">
        <f>Raw!M274</f>
        <v>0</v>
      </c>
      <c r="E272" s="23">
        <f>Raw!CG274</f>
        <v>0</v>
      </c>
      <c r="F272" s="7">
        <f>Raw!T274</f>
        <v>0</v>
      </c>
      <c r="G272" s="7">
        <f>Raw!AL274</f>
        <v>0</v>
      </c>
      <c r="H272" s="7">
        <f>Raw!AC274</f>
        <v>0</v>
      </c>
      <c r="I272" s="7">
        <f t="shared" si="50"/>
        <v>0</v>
      </c>
      <c r="J272" s="157">
        <f>Raw!BT273</f>
        <v>0</v>
      </c>
      <c r="K272" s="157">
        <f>Raw!AW273</f>
        <v>0</v>
      </c>
      <c r="L272" s="42">
        <f>IF(Raw!CE274 = "NA", "-", Raw!CE274)</f>
        <v>0</v>
      </c>
      <c r="M272" s="42">
        <f>IF(Raw!BH274 = "NA", "-", Raw!BH274)</f>
        <v>0</v>
      </c>
      <c r="N272" s="46">
        <f>IF(Raw!CD274 = "NA", "-", Raw!CD274)</f>
        <v>0</v>
      </c>
      <c r="O272" s="46">
        <f>IF(Raw!BG274 = "NA", "-", Raw!BG274)</f>
        <v>0</v>
      </c>
      <c r="P272" s="32">
        <f>IF(Raw!AW274 = "NA", "-", SUMPRODUCT(Raw!$BT$2:$CC$2, Raw!BT274:CC274))</f>
        <v>0</v>
      </c>
      <c r="Q272" s="32">
        <f>IF(Raw!AW274 = "NA", "-", SUMPRODUCT(Raw!$AW$2:$BF$2, Raw!AW274:BF274))</f>
        <v>0</v>
      </c>
      <c r="R272" s="7" t="e" cm="1">
        <f t="array" ref="R272">_xlfn.IFS(S272="YES", "Hourly", T272="YES", "Flat Rate")</f>
        <v>#N/A</v>
      </c>
      <c r="S272" s="8" t="str">
        <f>IF(Raw!CO274=1, "YES", "")</f>
        <v/>
      </c>
      <c r="T272" s="8" t="str">
        <f>IF(Raw!CO274=2, "YES", "")</f>
        <v/>
      </c>
      <c r="U272" s="96" t="str">
        <f>IF(Raw!CP274=1, "YES", "")</f>
        <v/>
      </c>
      <c r="V272" s="96"/>
      <c r="AI272" s="88"/>
      <c r="AJ272" s="88"/>
    </row>
    <row r="273" spans="1:36" x14ac:dyDescent="0.25">
      <c r="A273" s="4">
        <f>Raw!J275</f>
        <v>0</v>
      </c>
      <c r="B273" s="4">
        <f>Raw!K275</f>
        <v>0</v>
      </c>
      <c r="C273" s="4">
        <f>Raw!L275</f>
        <v>0</v>
      </c>
      <c r="D273" s="4">
        <f>Raw!M275</f>
        <v>0</v>
      </c>
      <c r="E273" s="23">
        <f>Raw!CG275</f>
        <v>0</v>
      </c>
      <c r="F273" s="7">
        <f>Raw!T275</f>
        <v>0</v>
      </c>
      <c r="G273" s="7">
        <f>Raw!AL275</f>
        <v>0</v>
      </c>
      <c r="H273" s="7">
        <f>Raw!AC275</f>
        <v>0</v>
      </c>
      <c r="I273" s="7">
        <f t="shared" si="50"/>
        <v>0</v>
      </c>
      <c r="J273" s="157">
        <f>Raw!BT274</f>
        <v>0</v>
      </c>
      <c r="K273" s="157">
        <f>Raw!AW274</f>
        <v>0</v>
      </c>
      <c r="L273" s="42">
        <f>IF(Raw!CE275 = "NA", "-", Raw!CE275)</f>
        <v>0</v>
      </c>
      <c r="M273" s="42">
        <f>IF(Raw!BH275 = "NA", "-", Raw!BH275)</f>
        <v>0</v>
      </c>
      <c r="N273" s="46">
        <f>IF(Raw!CD275 = "NA", "-", Raw!CD275)</f>
        <v>0</v>
      </c>
      <c r="O273" s="46">
        <f>IF(Raw!BG275 = "NA", "-", Raw!BG275)</f>
        <v>0</v>
      </c>
      <c r="P273" s="32">
        <f>IF(Raw!AW275 = "NA", "-", SUMPRODUCT(Raw!$BT$2:$CC$2, Raw!BT275:CC275))</f>
        <v>0</v>
      </c>
      <c r="Q273" s="32">
        <f>IF(Raw!AW275 = "NA", "-", SUMPRODUCT(Raw!$AW$2:$BF$2, Raw!AW275:BF275))</f>
        <v>0</v>
      </c>
      <c r="R273" s="7" t="e" cm="1">
        <f t="array" ref="R273">_xlfn.IFS(S273="YES", "Hourly", T273="YES", "Flat Rate")</f>
        <v>#N/A</v>
      </c>
      <c r="S273" s="8" t="str">
        <f>IF(Raw!CO275=1, "YES", "")</f>
        <v/>
      </c>
      <c r="T273" s="8" t="str">
        <f>IF(Raw!CO275=2, "YES", "")</f>
        <v/>
      </c>
      <c r="U273" s="96" t="str">
        <f>IF(Raw!CP275=1, "YES", "")</f>
        <v/>
      </c>
      <c r="V273" s="96"/>
      <c r="AI273" s="88"/>
      <c r="AJ273" s="88"/>
    </row>
    <row r="274" spans="1:36" x14ac:dyDescent="0.25">
      <c r="A274" s="4">
        <f>Raw!J276</f>
        <v>0</v>
      </c>
      <c r="B274" s="4">
        <f>Raw!K276</f>
        <v>0</v>
      </c>
      <c r="C274" s="4">
        <f>Raw!L276</f>
        <v>0</v>
      </c>
      <c r="D274" s="4">
        <f>Raw!M276</f>
        <v>0</v>
      </c>
      <c r="E274" s="23">
        <f>Raw!CG276</f>
        <v>0</v>
      </c>
      <c r="F274" s="7">
        <f>Raw!T276</f>
        <v>0</v>
      </c>
      <c r="G274" s="7">
        <f>Raw!AL276</f>
        <v>0</v>
      </c>
      <c r="H274" s="7">
        <f>Raw!AC276</f>
        <v>0</v>
      </c>
      <c r="I274" s="7">
        <f t="shared" si="50"/>
        <v>0</v>
      </c>
      <c r="J274" s="157">
        <f>Raw!BT275</f>
        <v>0</v>
      </c>
      <c r="K274" s="157">
        <f>Raw!AW275</f>
        <v>0</v>
      </c>
      <c r="L274" s="42">
        <f>IF(Raw!CE276 = "NA", "-", Raw!CE276)</f>
        <v>0</v>
      </c>
      <c r="M274" s="42">
        <f>IF(Raw!BH276 = "NA", "-", Raw!BH276)</f>
        <v>0</v>
      </c>
      <c r="N274" s="46">
        <f>IF(Raw!CD276 = "NA", "-", Raw!CD276)</f>
        <v>0</v>
      </c>
      <c r="O274" s="46">
        <f>IF(Raw!BG276 = "NA", "-", Raw!BG276)</f>
        <v>0</v>
      </c>
      <c r="P274" s="32">
        <f>IF(Raw!AW276 = "NA", "-", SUMPRODUCT(Raw!$BT$2:$CC$2, Raw!BT276:CC276))</f>
        <v>0</v>
      </c>
      <c r="Q274" s="32">
        <f>IF(Raw!AW276 = "NA", "-", SUMPRODUCT(Raw!$AW$2:$BF$2, Raw!AW276:BF276))</f>
        <v>0</v>
      </c>
      <c r="R274" s="7" t="e" cm="1">
        <f t="array" ref="R274">_xlfn.IFS(S274="YES", "Hourly", T274="YES", "Flat Rate")</f>
        <v>#N/A</v>
      </c>
      <c r="S274" s="8" t="str">
        <f>IF(Raw!CO276=1, "YES", "")</f>
        <v/>
      </c>
      <c r="T274" s="8" t="str">
        <f>IF(Raw!CO276=2, "YES", "")</f>
        <v/>
      </c>
      <c r="U274" s="96" t="str">
        <f>IF(Raw!CP276=1, "YES", "")</f>
        <v/>
      </c>
      <c r="V274" s="96"/>
      <c r="AI274" s="88"/>
      <c r="AJ274" s="88"/>
    </row>
  </sheetData>
  <sortState xmlns:xlrd2="http://schemas.microsoft.com/office/spreadsheetml/2017/richdata2" ref="A3:M263">
    <sortCondition ref="A3:A263"/>
  </sortState>
  <mergeCells count="8">
    <mergeCell ref="G1:I1"/>
    <mergeCell ref="L1:M1"/>
    <mergeCell ref="Z1:AA1"/>
    <mergeCell ref="AK1:AL1"/>
    <mergeCell ref="AF1:AG1"/>
    <mergeCell ref="N1:O1"/>
    <mergeCell ref="P1:Q1"/>
    <mergeCell ref="J1:K1"/>
  </mergeCells>
  <phoneticPr fontId="10" type="noConversion"/>
  <conditionalFormatting sqref="I2 I6:I274">
    <cfRule type="cellIs" dxfId="43" priority="27" stopIfTrue="1" operator="equal">
      <formula>8</formula>
    </cfRule>
  </conditionalFormatting>
  <conditionalFormatting sqref="I6:I274">
    <cfRule type="colorScale" priority="29">
      <colorScale>
        <cfvo type="num" val="0"/>
        <cfvo type="percentile" val="50"/>
        <cfvo type="num" val="8"/>
        <color theme="9" tint="0.79998168889431442"/>
        <color theme="7" tint="0.59999389629810485"/>
        <color theme="5"/>
      </colorScale>
    </cfRule>
  </conditionalFormatting>
  <conditionalFormatting sqref="J2:K2">
    <cfRule type="expression" dxfId="42" priority="1" stopIfTrue="1">
      <formula xml:space="preserve"> $S2= "YES"</formula>
    </cfRule>
    <cfRule type="expression" dxfId="41" priority="2" stopIfTrue="1">
      <formula xml:space="preserve"> $T2 = "YES"</formula>
    </cfRule>
  </conditionalFormatting>
  <conditionalFormatting sqref="L1:V2 Z3:AA270 A6:H274 L6:V274">
    <cfRule type="expression" dxfId="40" priority="38" stopIfTrue="1">
      <formula xml:space="preserve"> $T1 = "YES"</formula>
    </cfRule>
  </conditionalFormatting>
  <conditionalFormatting sqref="L1:V2">
    <cfRule type="expression" dxfId="39" priority="11" stopIfTrue="1">
      <formula xml:space="preserve"> $S1= "YES"</formula>
    </cfRule>
  </conditionalFormatting>
  <conditionalFormatting sqref="X2:Y2">
    <cfRule type="expression" dxfId="38" priority="19" stopIfTrue="1">
      <formula xml:space="preserve"> $S2= "YES"</formula>
    </cfRule>
  </conditionalFormatting>
  <conditionalFormatting sqref="Z1:AA270 A2:H2 R2 A6:H274 L6:V274">
    <cfRule type="expression" dxfId="37" priority="20" stopIfTrue="1">
      <formula xml:space="preserve"> $S1= "YES"</formula>
    </cfRule>
  </conditionalFormatting>
  <conditionalFormatting sqref="AD2:AE2">
    <cfRule type="expression" dxfId="36" priority="6" stopIfTrue="1">
      <formula xml:space="preserve"> $S2= "YES"</formula>
    </cfRule>
  </conditionalFormatting>
  <conditionalFormatting sqref="AF1:AG270">
    <cfRule type="expression" dxfId="35" priority="3" stopIfTrue="1">
      <formula xml:space="preserve"> $S1= "YES"</formula>
    </cfRule>
  </conditionalFormatting>
  <conditionalFormatting sqref="AF3:AG270">
    <cfRule type="expression" dxfId="34" priority="7" stopIfTrue="1">
      <formula xml:space="preserve"> $T3 = "YES"</formula>
    </cfRule>
  </conditionalFormatting>
  <conditionalFormatting sqref="AI2:AJ2">
    <cfRule type="expression" dxfId="33" priority="10" stopIfTrue="1">
      <formula xml:space="preserve"> $S2= "YES"</formula>
    </cfRule>
  </conditionalFormatting>
  <conditionalFormatting sqref="AK1:AL2">
    <cfRule type="expression" dxfId="32" priority="8" stopIfTrue="1">
      <formula xml:space="preserve"> $S1= "YES"</formula>
    </cfRule>
  </conditionalFormatting>
  <pageMargins left="0.7" right="0.7" top="0.75" bottom="0.75" header="0.3" footer="0.3"/>
  <pageSetup orientation="portrait" horizontalDpi="300" verticalDpi="0" copies="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AD76"/>
  <sheetViews>
    <sheetView workbookViewId="0">
      <selection activeCell="O29" sqref="O29"/>
    </sheetView>
  </sheetViews>
  <sheetFormatPr defaultRowHeight="12.5" x14ac:dyDescent="0.25"/>
  <cols>
    <col min="1" max="1" width="9.1796875" bestFit="1" customWidth="1"/>
    <col min="2" max="4" width="20.7265625" customWidth="1"/>
    <col min="6" max="7" width="12.7265625" style="25" customWidth="1"/>
    <col min="8" max="11" width="12.7265625" style="26" customWidth="1"/>
    <col min="12" max="19" width="12.7265625" style="25" customWidth="1"/>
    <col min="20" max="21" width="12.7265625" style="38" customWidth="1"/>
    <col min="22" max="22" width="4.81640625" customWidth="1"/>
    <col min="23" max="23" width="20.54296875" customWidth="1"/>
    <col min="25" max="29" width="13.7265625" customWidth="1"/>
  </cols>
  <sheetData>
    <row r="1" spans="1:30" ht="26.25" customHeight="1" x14ac:dyDescent="0.3">
      <c r="A1" s="6"/>
      <c r="B1" s="6"/>
      <c r="C1" s="6"/>
      <c r="D1" s="6"/>
      <c r="E1" s="27"/>
      <c r="F1" s="24"/>
      <c r="G1" s="201" t="s">
        <v>132</v>
      </c>
      <c r="H1" s="202"/>
      <c r="I1" s="203"/>
      <c r="J1" s="193"/>
      <c r="K1" s="193"/>
      <c r="L1" s="217" t="s">
        <v>133</v>
      </c>
      <c r="M1" s="218"/>
      <c r="N1" s="201" t="s">
        <v>135</v>
      </c>
      <c r="O1" s="203"/>
      <c r="P1" s="201" t="s">
        <v>134</v>
      </c>
      <c r="Q1" s="203"/>
      <c r="R1" s="221" t="s">
        <v>148</v>
      </c>
      <c r="S1" s="222"/>
      <c r="T1" s="220" t="s">
        <v>238</v>
      </c>
      <c r="U1" s="220"/>
      <c r="V1" s="3"/>
    </row>
    <row r="2" spans="1:30" s="2" customFormat="1" ht="26" x14ac:dyDescent="0.3">
      <c r="A2" s="5" t="s">
        <v>8</v>
      </c>
      <c r="B2" s="5" t="s">
        <v>9</v>
      </c>
      <c r="C2" s="5" t="s">
        <v>128</v>
      </c>
      <c r="D2" s="5" t="s">
        <v>10</v>
      </c>
      <c r="E2" s="30" t="s">
        <v>139</v>
      </c>
      <c r="F2" s="5" t="s">
        <v>140</v>
      </c>
      <c r="G2" s="5" t="s">
        <v>129</v>
      </c>
      <c r="H2" s="5" t="s">
        <v>130</v>
      </c>
      <c r="I2" s="5" t="s">
        <v>131</v>
      </c>
      <c r="J2" s="5"/>
      <c r="K2" s="5"/>
      <c r="L2" s="5" t="s">
        <v>129</v>
      </c>
      <c r="M2" s="5" t="s">
        <v>130</v>
      </c>
      <c r="N2" s="5" t="s">
        <v>129</v>
      </c>
      <c r="O2" s="5" t="s">
        <v>130</v>
      </c>
      <c r="P2" s="5" t="s">
        <v>129</v>
      </c>
      <c r="Q2" s="45" t="s">
        <v>130</v>
      </c>
      <c r="R2" s="5" t="s">
        <v>129</v>
      </c>
      <c r="S2" s="5" t="s">
        <v>130</v>
      </c>
      <c r="T2" s="36" t="s">
        <v>136</v>
      </c>
      <c r="U2" s="36" t="s">
        <v>137</v>
      </c>
      <c r="V2" s="29"/>
      <c r="W2" s="29"/>
    </row>
    <row r="3" spans="1:30" x14ac:dyDescent="0.25">
      <c r="A3" s="23" cm="1">
        <f t="array" ref="A3:Q76">_xlfn._xlws.FILTER(All!A3:Q269, All!S3:S269 = "Yes", "")</f>
        <v>154</v>
      </c>
      <c r="B3" s="23" t="str">
        <v>Park Pl</v>
      </c>
      <c r="C3" s="23" t="str">
        <v>El Camino Real</v>
      </c>
      <c r="D3" s="23" t="str">
        <v>Park Blvd</v>
      </c>
      <c r="E3" s="23" t="str">
        <v>N</v>
      </c>
      <c r="F3" s="24">
        <v>8</v>
      </c>
      <c r="G3" s="24">
        <v>1</v>
      </c>
      <c r="H3" s="32">
        <v>1</v>
      </c>
      <c r="I3" s="31">
        <v>2</v>
      </c>
      <c r="J3" s="31">
        <v>13</v>
      </c>
      <c r="K3" s="31">
        <v>25</v>
      </c>
      <c r="L3" s="24">
        <v>2</v>
      </c>
      <c r="M3" s="24">
        <v>2.9</v>
      </c>
      <c r="N3" s="24">
        <v>16</v>
      </c>
      <c r="O3" s="24">
        <v>23</v>
      </c>
      <c r="P3" s="24">
        <v>52</v>
      </c>
      <c r="Q3" s="24">
        <v>63</v>
      </c>
      <c r="R3" s="24" cm="1">
        <f t="array" ref="R3:U76">_xlfn._xlws.FILTER(All!X3:AA269, All!S3:S269 = "Yes", "")</f>
        <v>25</v>
      </c>
      <c r="S3" s="24">
        <v>47</v>
      </c>
      <c r="T3" s="37">
        <v>172</v>
      </c>
      <c r="U3" s="37">
        <v>8969</v>
      </c>
      <c r="W3" s="213" t="s">
        <v>151</v>
      </c>
      <c r="X3" s="214"/>
      <c r="Y3" s="34">
        <f>SUM(F:F)</f>
        <v>1094</v>
      </c>
    </row>
    <row r="4" spans="1:30" x14ac:dyDescent="0.25">
      <c r="A4" s="23">
        <v>155</v>
      </c>
      <c r="B4" s="23" t="str">
        <v>Park Pl</v>
      </c>
      <c r="C4" s="23" t="str">
        <v>Park Blvd</v>
      </c>
      <c r="D4" s="23" t="str">
        <v>El Camino Real</v>
      </c>
      <c r="E4" s="23" t="str">
        <v>S</v>
      </c>
      <c r="F4" s="24">
        <v>9</v>
      </c>
      <c r="G4" s="24">
        <v>2</v>
      </c>
      <c r="H4" s="32">
        <v>2</v>
      </c>
      <c r="I4" s="31">
        <v>4</v>
      </c>
      <c r="J4" s="31">
        <v>17</v>
      </c>
      <c r="K4" s="31">
        <v>43</v>
      </c>
      <c r="L4" s="24">
        <v>2.2999999999999998</v>
      </c>
      <c r="M4" s="24">
        <v>3.8</v>
      </c>
      <c r="N4" s="24">
        <v>20</v>
      </c>
      <c r="O4" s="24">
        <v>34</v>
      </c>
      <c r="P4" s="24">
        <v>67</v>
      </c>
      <c r="Q4" s="24">
        <v>77</v>
      </c>
      <c r="R4" s="24">
        <v>32</v>
      </c>
      <c r="S4" s="24">
        <v>61</v>
      </c>
      <c r="T4" s="37">
        <v>221</v>
      </c>
      <c r="U4" s="37">
        <v>11524</v>
      </c>
      <c r="W4" s="50" t="s">
        <v>141</v>
      </c>
      <c r="X4" s="50" t="s">
        <v>129</v>
      </c>
      <c r="Y4" s="34">
        <f>SUM(M:M)</f>
        <v>244.16774193548386</v>
      </c>
    </row>
    <row r="5" spans="1:30" x14ac:dyDescent="0.25">
      <c r="A5" s="23">
        <v>156</v>
      </c>
      <c r="B5" s="23" t="str">
        <v>Park Blvd</v>
      </c>
      <c r="C5" s="23" t="str">
        <v>Park Pl</v>
      </c>
      <c r="D5" s="23" t="str">
        <v>El Camino Real</v>
      </c>
      <c r="E5" s="23" t="str">
        <v>N</v>
      </c>
      <c r="F5" s="24">
        <v>12</v>
      </c>
      <c r="G5" s="24">
        <v>0</v>
      </c>
      <c r="H5" s="32">
        <v>2</v>
      </c>
      <c r="I5" s="31">
        <v>2</v>
      </c>
      <c r="J5" s="31">
        <v>19</v>
      </c>
      <c r="K5" s="31">
        <v>82</v>
      </c>
      <c r="L5" s="24">
        <v>1.7</v>
      </c>
      <c r="M5" s="24">
        <v>4.4000000000000004</v>
      </c>
      <c r="N5" s="24">
        <v>21</v>
      </c>
      <c r="O5" s="24">
        <v>55</v>
      </c>
      <c r="P5" s="24">
        <v>61</v>
      </c>
      <c r="Q5" s="24">
        <v>92</v>
      </c>
      <c r="R5" s="24">
        <v>33</v>
      </c>
      <c r="S5" s="24">
        <v>61</v>
      </c>
      <c r="T5" s="37">
        <v>226</v>
      </c>
      <c r="U5" s="37">
        <v>11785</v>
      </c>
      <c r="W5" s="50"/>
      <c r="X5" s="50" t="s">
        <v>130</v>
      </c>
      <c r="Y5" s="34">
        <f>SUM(N:N)</f>
        <v>2992.5806451612902</v>
      </c>
    </row>
    <row r="6" spans="1:30" x14ac:dyDescent="0.25">
      <c r="A6" s="23">
        <v>158</v>
      </c>
      <c r="B6" s="23" t="str">
        <v>Park Blvd</v>
      </c>
      <c r="C6" s="23" t="str">
        <v>Palmito Dr</v>
      </c>
      <c r="D6" s="23" t="str">
        <v>El Camino Real</v>
      </c>
      <c r="E6" s="23" t="str">
        <v>S</v>
      </c>
      <c r="F6" s="24">
        <v>11</v>
      </c>
      <c r="G6" s="24">
        <v>0</v>
      </c>
      <c r="H6" s="32">
        <v>1</v>
      </c>
      <c r="I6" s="31">
        <v>1</v>
      </c>
      <c r="J6" s="31">
        <v>11</v>
      </c>
      <c r="K6" s="31">
        <v>39</v>
      </c>
      <c r="L6" s="24">
        <v>1.6</v>
      </c>
      <c r="M6" s="24">
        <v>4.5</v>
      </c>
      <c r="N6" s="24">
        <v>18</v>
      </c>
      <c r="O6" s="24">
        <v>50</v>
      </c>
      <c r="P6" s="24">
        <v>41</v>
      </c>
      <c r="Q6" s="24">
        <v>71</v>
      </c>
      <c r="R6" s="24">
        <v>25</v>
      </c>
      <c r="S6" s="24">
        <v>49</v>
      </c>
      <c r="T6" s="37">
        <v>174</v>
      </c>
      <c r="U6" s="37">
        <v>9073</v>
      </c>
      <c r="W6" s="50" t="s">
        <v>134</v>
      </c>
      <c r="X6" s="50" t="s">
        <v>129</v>
      </c>
      <c r="Y6" s="34">
        <f>SUM(O:O)</f>
        <v>4592</v>
      </c>
    </row>
    <row r="7" spans="1:30" x14ac:dyDescent="0.25">
      <c r="A7" s="23">
        <v>100</v>
      </c>
      <c r="B7" s="23" t="str">
        <v>El Camino Real</v>
      </c>
      <c r="C7" s="23" t="str">
        <v>Park Pl</v>
      </c>
      <c r="D7" s="23" t="str">
        <v>Park Blvd</v>
      </c>
      <c r="E7" s="23" t="str">
        <v>W</v>
      </c>
      <c r="F7" s="24">
        <v>19</v>
      </c>
      <c r="G7" s="24">
        <v>1</v>
      </c>
      <c r="H7" s="32">
        <v>2</v>
      </c>
      <c r="I7" s="31">
        <v>3</v>
      </c>
      <c r="J7" s="31">
        <v>32</v>
      </c>
      <c r="K7" s="31">
        <v>32</v>
      </c>
      <c r="L7" s="24">
        <v>3.4</v>
      </c>
      <c r="M7" s="24">
        <v>3.2</v>
      </c>
      <c r="N7" s="24">
        <v>64</v>
      </c>
      <c r="O7" s="24">
        <v>59</v>
      </c>
      <c r="P7" s="24">
        <v>141</v>
      </c>
      <c r="Q7" s="24">
        <v>127</v>
      </c>
      <c r="R7" s="24">
        <v>96</v>
      </c>
      <c r="S7" s="24">
        <v>177</v>
      </c>
      <c r="T7" s="37">
        <v>657</v>
      </c>
      <c r="U7" s="37">
        <v>34260</v>
      </c>
      <c r="W7" s="50"/>
      <c r="X7" s="50" t="s">
        <v>130</v>
      </c>
      <c r="Y7" s="34">
        <f>SUM(P:P)</f>
        <v>6502.1290322580644</v>
      </c>
    </row>
    <row r="8" spans="1:30" x14ac:dyDescent="0.25">
      <c r="A8" s="23">
        <v>101</v>
      </c>
      <c r="B8" s="23" t="str">
        <v>El Camino Real</v>
      </c>
      <c r="C8" s="23" t="str">
        <v>Santa Clara Ave</v>
      </c>
      <c r="D8" s="23" t="str">
        <v>Santa Inez Ave</v>
      </c>
      <c r="E8" s="23" t="str">
        <v>E</v>
      </c>
      <c r="F8" s="24">
        <v>5</v>
      </c>
      <c r="G8" s="24">
        <v>2</v>
      </c>
      <c r="H8" s="32">
        <v>1</v>
      </c>
      <c r="I8" s="31">
        <v>3</v>
      </c>
      <c r="J8" s="31">
        <v>3</v>
      </c>
      <c r="K8" s="31">
        <v>8</v>
      </c>
      <c r="L8" s="24">
        <v>2.9</v>
      </c>
      <c r="M8" s="24">
        <v>2.4</v>
      </c>
      <c r="N8" s="24">
        <v>14</v>
      </c>
      <c r="O8" s="24">
        <v>12</v>
      </c>
      <c r="P8" s="24">
        <v>38</v>
      </c>
      <c r="Q8" s="24">
        <v>24</v>
      </c>
      <c r="R8" s="24">
        <v>25</v>
      </c>
      <c r="S8" s="24">
        <v>43</v>
      </c>
      <c r="T8" s="37">
        <v>168</v>
      </c>
      <c r="U8" s="37">
        <v>8761</v>
      </c>
    </row>
    <row r="9" spans="1:30" ht="13" x14ac:dyDescent="0.3">
      <c r="A9" s="23">
        <v>102</v>
      </c>
      <c r="B9" s="23" t="str">
        <v>El Camino Real</v>
      </c>
      <c r="C9" s="23" t="str">
        <v>San Diego Ave</v>
      </c>
      <c r="D9" s="23" t="str">
        <v>Santa Clara Ave</v>
      </c>
      <c r="E9" s="23" t="str">
        <v>E</v>
      </c>
      <c r="F9" s="24">
        <v>8</v>
      </c>
      <c r="G9" s="24">
        <v>1</v>
      </c>
      <c r="H9" s="32">
        <v>1</v>
      </c>
      <c r="I9" s="31">
        <v>2</v>
      </c>
      <c r="J9" s="31">
        <v>7</v>
      </c>
      <c r="K9" s="31">
        <v>6</v>
      </c>
      <c r="L9" s="24">
        <v>1.5</v>
      </c>
      <c r="M9" s="24">
        <v>2.4</v>
      </c>
      <c r="N9" s="24">
        <v>13</v>
      </c>
      <c r="O9" s="24">
        <v>20</v>
      </c>
      <c r="P9" s="24">
        <v>21</v>
      </c>
      <c r="Q9" s="24">
        <v>50</v>
      </c>
      <c r="R9" s="24">
        <v>19</v>
      </c>
      <c r="S9" s="24">
        <v>34</v>
      </c>
      <c r="T9" s="37">
        <v>129</v>
      </c>
      <c r="U9" s="37">
        <v>6727</v>
      </c>
      <c r="W9" s="48"/>
    </row>
    <row r="10" spans="1:30" x14ac:dyDescent="0.25">
      <c r="A10" s="23">
        <v>104</v>
      </c>
      <c r="B10" s="23" t="str">
        <v>El Camino Real</v>
      </c>
      <c r="C10" s="23" t="str">
        <v>Santa Maria Ave</v>
      </c>
      <c r="D10" s="23" t="str">
        <v>San Diego Ave</v>
      </c>
      <c r="E10" s="23" t="str">
        <v>E</v>
      </c>
      <c r="F10" s="24">
        <v>5</v>
      </c>
      <c r="G10" s="24">
        <v>0</v>
      </c>
      <c r="H10" s="32">
        <v>0</v>
      </c>
      <c r="I10" s="31">
        <v>0</v>
      </c>
      <c r="J10" s="31">
        <v>0</v>
      </c>
      <c r="K10" s="31">
        <v>6</v>
      </c>
      <c r="L10" s="24">
        <v>0.8</v>
      </c>
      <c r="M10" s="24">
        <v>1.6</v>
      </c>
      <c r="N10" s="24">
        <v>4</v>
      </c>
      <c r="O10" s="24">
        <v>8</v>
      </c>
      <c r="P10" s="24">
        <v>25</v>
      </c>
      <c r="Q10" s="24">
        <v>21</v>
      </c>
      <c r="R10" s="24">
        <v>8</v>
      </c>
      <c r="S10" s="24">
        <v>15</v>
      </c>
      <c r="T10" s="37">
        <v>55</v>
      </c>
      <c r="U10" s="37">
        <v>2868</v>
      </c>
      <c r="Y10" s="40" t="s">
        <v>144</v>
      </c>
      <c r="Z10" s="23" t="s">
        <v>145</v>
      </c>
      <c r="AA10" s="23" t="s">
        <v>291</v>
      </c>
      <c r="AB10" s="23" t="s">
        <v>146</v>
      </c>
      <c r="AC10" s="23" t="s">
        <v>147</v>
      </c>
    </row>
    <row r="11" spans="1:30" ht="12.75" customHeight="1" x14ac:dyDescent="0.25">
      <c r="A11" s="23">
        <v>103</v>
      </c>
      <c r="B11" s="23" t="str">
        <v>El Camino Real</v>
      </c>
      <c r="C11" s="23" t="str">
        <v>Park Blvd</v>
      </c>
      <c r="D11" s="23" t="str">
        <v>Capuchino Dr</v>
      </c>
      <c r="E11" s="23" t="str">
        <v>W</v>
      </c>
      <c r="F11" s="24">
        <v>15</v>
      </c>
      <c r="G11" s="24">
        <v>1</v>
      </c>
      <c r="H11" s="32">
        <v>0</v>
      </c>
      <c r="I11" s="31">
        <v>1</v>
      </c>
      <c r="J11" s="31">
        <v>48</v>
      </c>
      <c r="K11" s="31">
        <v>33</v>
      </c>
      <c r="L11" s="24">
        <v>4.4000000000000004</v>
      </c>
      <c r="M11" s="24">
        <v>2.7</v>
      </c>
      <c r="N11" s="24">
        <v>65</v>
      </c>
      <c r="O11" s="24">
        <v>40</v>
      </c>
      <c r="P11" s="24">
        <v>95</v>
      </c>
      <c r="Q11" s="24">
        <v>72</v>
      </c>
      <c r="R11" s="24">
        <v>82</v>
      </c>
      <c r="S11" s="24">
        <v>155</v>
      </c>
      <c r="T11" s="37">
        <v>565</v>
      </c>
      <c r="U11" s="37">
        <v>29462</v>
      </c>
      <c r="W11" s="215" t="s">
        <v>175</v>
      </c>
      <c r="X11" s="49" t="s">
        <v>129</v>
      </c>
      <c r="Y11" s="34">
        <f>SUM(R:R)</f>
        <v>4235.5967741935483</v>
      </c>
      <c r="Z11" s="34">
        <f>SUM(R:R)*0.92</f>
        <v>3896.7490322580647</v>
      </c>
      <c r="AA11" s="34">
        <f>Z11*0.98</f>
        <v>3818.8140516129033</v>
      </c>
      <c r="AB11" s="130">
        <f>$Z11*0.96</f>
        <v>3740.8790709677419</v>
      </c>
      <c r="AC11" s="130">
        <f>$Z11*0.92</f>
        <v>3585.0091096774199</v>
      </c>
    </row>
    <row r="12" spans="1:30" x14ac:dyDescent="0.25">
      <c r="A12" s="23">
        <v>105</v>
      </c>
      <c r="B12" s="23" t="str">
        <v>El Camino Real</v>
      </c>
      <c r="C12" s="23" t="str">
        <v>Santa Helena Ave</v>
      </c>
      <c r="D12" s="23" t="str">
        <v>Santa Maria Ave</v>
      </c>
      <c r="E12" s="23" t="str">
        <v>E</v>
      </c>
      <c r="F12" s="24">
        <v>9</v>
      </c>
      <c r="G12" s="24">
        <v>0</v>
      </c>
      <c r="H12" s="32">
        <v>0</v>
      </c>
      <c r="I12" s="31">
        <v>0</v>
      </c>
      <c r="J12" s="31">
        <v>8</v>
      </c>
      <c r="K12" s="31">
        <v>10</v>
      </c>
      <c r="L12" s="24">
        <v>1.2</v>
      </c>
      <c r="M12" s="24">
        <v>1.3</v>
      </c>
      <c r="N12" s="24">
        <v>11</v>
      </c>
      <c r="O12" s="24">
        <v>12</v>
      </c>
      <c r="P12" s="24">
        <v>17</v>
      </c>
      <c r="Q12" s="24">
        <v>19</v>
      </c>
      <c r="R12" s="24">
        <v>14</v>
      </c>
      <c r="S12" s="24">
        <v>27</v>
      </c>
      <c r="T12" s="37">
        <v>97</v>
      </c>
      <c r="U12" s="37">
        <v>5058</v>
      </c>
      <c r="W12" s="216"/>
      <c r="X12" s="49" t="s">
        <v>130</v>
      </c>
      <c r="Y12" s="34">
        <f>SUM(S:S)</f>
        <v>7967.5483870967737</v>
      </c>
      <c r="Z12" s="34">
        <f>SUM(S:S)*0.92</f>
        <v>7330.1445161290321</v>
      </c>
      <c r="AA12" s="34">
        <f t="shared" ref="AA12" si="0">Z12*0.98</f>
        <v>7183.5416258064515</v>
      </c>
      <c r="AB12" s="130">
        <f>$Z12*0.96</f>
        <v>7036.9387354838709</v>
      </c>
      <c r="AC12" s="130">
        <f>$Z12*0.92</f>
        <v>6743.7329548387097</v>
      </c>
    </row>
    <row r="13" spans="1:30" x14ac:dyDescent="0.25">
      <c r="A13" s="23">
        <v>106</v>
      </c>
      <c r="B13" s="23" t="str">
        <v>El Camino Real</v>
      </c>
      <c r="C13" s="23" t="str">
        <v>San Juan Ave</v>
      </c>
      <c r="D13" s="23" t="str">
        <v>Santa Helena Ave</v>
      </c>
      <c r="E13" s="23" t="str">
        <v>E</v>
      </c>
      <c r="F13" s="24">
        <v>9</v>
      </c>
      <c r="G13" s="24">
        <v>0</v>
      </c>
      <c r="H13" s="32">
        <v>0</v>
      </c>
      <c r="I13" s="31">
        <v>0</v>
      </c>
      <c r="J13" s="31">
        <v>16</v>
      </c>
      <c r="K13" s="31">
        <v>20</v>
      </c>
      <c r="L13" s="24">
        <v>2.7</v>
      </c>
      <c r="M13" s="24">
        <v>2.9</v>
      </c>
      <c r="N13" s="24">
        <v>25</v>
      </c>
      <c r="O13" s="24">
        <v>27</v>
      </c>
      <c r="P13" s="24">
        <v>42</v>
      </c>
      <c r="Q13" s="24">
        <v>38</v>
      </c>
      <c r="R13" s="24">
        <v>34</v>
      </c>
      <c r="S13" s="24">
        <v>63</v>
      </c>
      <c r="T13" s="37">
        <v>233</v>
      </c>
      <c r="U13" s="37">
        <v>12150</v>
      </c>
      <c r="W13" s="213" t="s">
        <v>142</v>
      </c>
      <c r="X13" s="214"/>
      <c r="Y13" s="129" t="s">
        <v>262</v>
      </c>
      <c r="Z13" s="131">
        <f>SUM(T:T)*0.92</f>
        <v>26813.889677419356</v>
      </c>
      <c r="AA13" s="63">
        <f>Z13*0.98*1.5</f>
        <v>39416.417825806457</v>
      </c>
      <c r="AB13" s="131">
        <f>$Z13*0.96*2</f>
        <v>51482.66818064516</v>
      </c>
      <c r="AC13" s="131">
        <f>$Z13*0.92*3</f>
        <v>74006.335509677418</v>
      </c>
    </row>
    <row r="14" spans="1:30" x14ac:dyDescent="0.25">
      <c r="A14" s="23">
        <v>107</v>
      </c>
      <c r="B14" s="23" t="str">
        <v>El Camino Real</v>
      </c>
      <c r="C14" s="23" t="str">
        <v>Capuchino Dr</v>
      </c>
      <c r="D14" s="23" t="str">
        <v>Millwood Dr</v>
      </c>
      <c r="E14" s="23" t="str">
        <v>W</v>
      </c>
      <c r="F14" s="24">
        <v>7</v>
      </c>
      <c r="G14" s="24">
        <v>0</v>
      </c>
      <c r="H14" s="32">
        <v>0</v>
      </c>
      <c r="I14" s="31">
        <v>0</v>
      </c>
      <c r="J14" s="31">
        <v>4</v>
      </c>
      <c r="K14" s="31">
        <v>1</v>
      </c>
      <c r="L14" s="24">
        <v>0.6</v>
      </c>
      <c r="M14" s="24">
        <v>0.1</v>
      </c>
      <c r="N14" s="24">
        <v>4</v>
      </c>
      <c r="O14" s="24">
        <v>1</v>
      </c>
      <c r="P14" s="24">
        <v>4</v>
      </c>
      <c r="Q14" s="24">
        <v>1</v>
      </c>
      <c r="R14" s="24">
        <v>4</v>
      </c>
      <c r="S14" s="24">
        <v>8</v>
      </c>
      <c r="T14" s="37">
        <v>28</v>
      </c>
      <c r="U14" s="37">
        <v>1460</v>
      </c>
      <c r="W14" s="213" t="s">
        <v>143</v>
      </c>
      <c r="X14" s="214"/>
      <c r="Y14" s="129" t="s">
        <v>262</v>
      </c>
      <c r="Z14" s="131">
        <f>SUM(U:U)*0.92</f>
        <v>1398219.0122580645</v>
      </c>
      <c r="AA14" s="63">
        <f>Z14*0.98*1.5</f>
        <v>2055381.9480193548</v>
      </c>
      <c r="AB14" s="131">
        <f>$Z14*0.96*2</f>
        <v>2684580.5035354835</v>
      </c>
      <c r="AC14" s="131">
        <f>$Z14*0.92*3</f>
        <v>3859084.473832258</v>
      </c>
    </row>
    <row r="15" spans="1:30" x14ac:dyDescent="0.25">
      <c r="A15" s="23">
        <v>108</v>
      </c>
      <c r="B15" s="23" t="str">
        <v>El Camino Real</v>
      </c>
      <c r="C15" s="23" t="str">
        <v>Center St</v>
      </c>
      <c r="D15" s="23" t="str">
        <v>San Juan Ave</v>
      </c>
      <c r="E15" s="23" t="str">
        <v>E</v>
      </c>
      <c r="F15" s="24">
        <v>35</v>
      </c>
      <c r="G15" s="24">
        <v>2</v>
      </c>
      <c r="H15" s="32">
        <v>1</v>
      </c>
      <c r="I15" s="31">
        <v>3</v>
      </c>
      <c r="J15" s="31">
        <v>63</v>
      </c>
      <c r="K15" s="31">
        <v>58</v>
      </c>
      <c r="L15" s="24">
        <v>3.2</v>
      </c>
      <c r="M15" s="24">
        <v>2.8</v>
      </c>
      <c r="N15" s="24">
        <v>114</v>
      </c>
      <c r="O15" s="24">
        <v>100</v>
      </c>
      <c r="P15" s="24">
        <v>272</v>
      </c>
      <c r="Q15" s="24">
        <v>202</v>
      </c>
      <c r="R15" s="24">
        <v>165</v>
      </c>
      <c r="S15" s="24">
        <v>302</v>
      </c>
      <c r="T15" s="37">
        <v>1127</v>
      </c>
      <c r="U15" s="37">
        <v>58769</v>
      </c>
    </row>
    <row r="16" spans="1:30" ht="13" x14ac:dyDescent="0.3">
      <c r="A16" s="23">
        <v>109</v>
      </c>
      <c r="B16" s="23" t="str">
        <v>El Camino Real</v>
      </c>
      <c r="C16" s="23" t="str">
        <v>Millwood Dr</v>
      </c>
      <c r="D16" s="23" t="str">
        <v>Ludeman Ln</v>
      </c>
      <c r="E16" s="23" t="str">
        <v>W</v>
      </c>
      <c r="F16" s="24">
        <v>26</v>
      </c>
      <c r="G16" s="24">
        <v>1</v>
      </c>
      <c r="H16" s="32">
        <v>0</v>
      </c>
      <c r="I16" s="31">
        <v>1</v>
      </c>
      <c r="J16" s="31">
        <v>54</v>
      </c>
      <c r="K16" s="31">
        <v>26</v>
      </c>
      <c r="L16" s="24">
        <v>3.1</v>
      </c>
      <c r="M16" s="24">
        <v>2</v>
      </c>
      <c r="N16" s="24">
        <v>79</v>
      </c>
      <c r="O16" s="24">
        <v>52</v>
      </c>
      <c r="P16" s="24">
        <v>170</v>
      </c>
      <c r="Q16" s="24">
        <v>129</v>
      </c>
      <c r="R16" s="24">
        <v>104</v>
      </c>
      <c r="S16" s="24">
        <v>199</v>
      </c>
      <c r="T16" s="37">
        <v>719</v>
      </c>
      <c r="U16" s="37">
        <v>37492</v>
      </c>
      <c r="W16" s="55"/>
      <c r="X16" s="54"/>
      <c r="Y16" s="56"/>
      <c r="Z16" s="54"/>
      <c r="AA16" s="54"/>
      <c r="AB16" s="54"/>
      <c r="AC16" s="54"/>
      <c r="AD16" s="54"/>
    </row>
    <row r="17" spans="1:30" x14ac:dyDescent="0.25">
      <c r="A17" s="23">
        <v>110</v>
      </c>
      <c r="B17" s="23" t="str">
        <v>El Camino Real</v>
      </c>
      <c r="C17" s="23" t="str">
        <v>Ludeman Ln</v>
      </c>
      <c r="D17" s="23" t="str">
        <v>Center St</v>
      </c>
      <c r="E17" s="23" t="str">
        <v>W</v>
      </c>
      <c r="F17" s="24">
        <v>11</v>
      </c>
      <c r="G17" s="24">
        <v>0</v>
      </c>
      <c r="H17" s="32">
        <v>0</v>
      </c>
      <c r="I17" s="31">
        <v>0</v>
      </c>
      <c r="J17" s="31">
        <v>11</v>
      </c>
      <c r="K17" s="31">
        <v>8</v>
      </c>
      <c r="L17" s="24">
        <v>2</v>
      </c>
      <c r="M17" s="24">
        <v>1.1000000000000001</v>
      </c>
      <c r="N17" s="24">
        <v>22</v>
      </c>
      <c r="O17" s="24">
        <v>12</v>
      </c>
      <c r="P17" s="24">
        <v>54</v>
      </c>
      <c r="Q17" s="24">
        <v>19</v>
      </c>
      <c r="R17" s="24">
        <v>33</v>
      </c>
      <c r="S17" s="24">
        <v>60</v>
      </c>
      <c r="T17" s="37">
        <v>225</v>
      </c>
      <c r="U17" s="37">
        <v>11733</v>
      </c>
      <c r="W17" s="219"/>
      <c r="X17" s="57"/>
      <c r="Y17" s="58"/>
      <c r="Z17" s="58"/>
      <c r="AA17" s="58"/>
      <c r="AB17" s="59"/>
      <c r="AC17" s="59"/>
      <c r="AD17" s="54"/>
    </row>
    <row r="18" spans="1:30" x14ac:dyDescent="0.25">
      <c r="A18" s="23">
        <v>111</v>
      </c>
      <c r="B18" s="23" t="str">
        <v>El Camino Real</v>
      </c>
      <c r="C18" s="23" t="str">
        <v>Center St</v>
      </c>
      <c r="D18" s="23" t="str">
        <v>Meadow Glen Ave</v>
      </c>
      <c r="E18" s="23" t="str">
        <v>W</v>
      </c>
      <c r="F18" s="24">
        <v>23</v>
      </c>
      <c r="G18" s="24">
        <v>0</v>
      </c>
      <c r="H18" s="32">
        <v>0</v>
      </c>
      <c r="I18" s="31">
        <v>0</v>
      </c>
      <c r="J18" s="31">
        <v>6</v>
      </c>
      <c r="K18" s="31">
        <v>7</v>
      </c>
      <c r="L18" s="24">
        <v>0.4</v>
      </c>
      <c r="M18" s="24">
        <v>0.4</v>
      </c>
      <c r="N18" s="24">
        <v>8</v>
      </c>
      <c r="O18" s="24">
        <v>9</v>
      </c>
      <c r="P18" s="24">
        <v>21</v>
      </c>
      <c r="Q18" s="24">
        <v>11</v>
      </c>
      <c r="R18" s="24">
        <v>10</v>
      </c>
      <c r="S18" s="24">
        <v>20</v>
      </c>
      <c r="T18" s="37">
        <v>70</v>
      </c>
      <c r="U18" s="37">
        <v>3650</v>
      </c>
      <c r="W18" s="219"/>
      <c r="X18" s="57"/>
      <c r="Y18" s="58"/>
      <c r="Z18" s="58"/>
      <c r="AA18" s="58"/>
      <c r="AB18" s="59"/>
      <c r="AC18" s="59"/>
      <c r="AD18" s="54"/>
    </row>
    <row r="19" spans="1:30" x14ac:dyDescent="0.25">
      <c r="A19" s="23">
        <v>112</v>
      </c>
      <c r="B19" s="23" t="str">
        <v>El Camino Real</v>
      </c>
      <c r="C19" s="23" t="str">
        <v>Meadow Glen Ave</v>
      </c>
      <c r="D19" s="23" t="str">
        <v>Center St</v>
      </c>
      <c r="E19" s="23" t="str">
        <v>E</v>
      </c>
      <c r="F19" s="24">
        <v>26</v>
      </c>
      <c r="G19" s="24">
        <v>0</v>
      </c>
      <c r="H19" s="32">
        <v>0</v>
      </c>
      <c r="I19" s="31">
        <v>0</v>
      </c>
      <c r="J19" s="31">
        <v>5</v>
      </c>
      <c r="K19" s="31">
        <v>13</v>
      </c>
      <c r="L19" s="24">
        <v>0.3</v>
      </c>
      <c r="M19" s="24">
        <v>1.2</v>
      </c>
      <c r="N19" s="24">
        <v>9</v>
      </c>
      <c r="O19" s="24">
        <v>31</v>
      </c>
      <c r="P19" s="24">
        <v>21</v>
      </c>
      <c r="Q19" s="24">
        <v>50</v>
      </c>
      <c r="R19" s="24">
        <v>13</v>
      </c>
      <c r="S19" s="24">
        <v>24</v>
      </c>
      <c r="T19" s="37">
        <v>89</v>
      </c>
      <c r="U19" s="37">
        <v>4641</v>
      </c>
      <c r="W19" s="212"/>
      <c r="X19" s="212"/>
      <c r="Y19" s="60"/>
      <c r="Z19" s="60"/>
      <c r="AA19" s="60"/>
      <c r="AB19" s="60"/>
      <c r="AC19" s="60"/>
      <c r="AD19" s="54"/>
    </row>
    <row r="20" spans="1:30" x14ac:dyDescent="0.25">
      <c r="A20" s="23">
        <v>172</v>
      </c>
      <c r="B20" s="23" t="str">
        <v>Meadow Glen Ave</v>
      </c>
      <c r="C20" s="23" t="str">
        <v>El Camino Real</v>
      </c>
      <c r="D20" s="23" t="str">
        <v>Broadway</v>
      </c>
      <c r="E20" s="23" t="str">
        <v>N</v>
      </c>
      <c r="F20" s="24">
        <v>3</v>
      </c>
      <c r="G20" s="24">
        <v>1</v>
      </c>
      <c r="H20" s="32">
        <v>1</v>
      </c>
      <c r="I20" s="31">
        <v>2</v>
      </c>
      <c r="J20" s="31">
        <v>5</v>
      </c>
      <c r="K20" s="31">
        <v>7</v>
      </c>
      <c r="L20" s="24">
        <v>2.4</v>
      </c>
      <c r="M20" s="24">
        <v>2.6</v>
      </c>
      <c r="N20" s="24">
        <v>8</v>
      </c>
      <c r="O20" s="24">
        <v>9</v>
      </c>
      <c r="P20" s="24">
        <v>17</v>
      </c>
      <c r="Q20" s="24">
        <v>13</v>
      </c>
      <c r="R20" s="24">
        <v>11</v>
      </c>
      <c r="S20" s="24">
        <v>21</v>
      </c>
      <c r="T20" s="37">
        <v>76</v>
      </c>
      <c r="U20" s="37">
        <v>3963</v>
      </c>
      <c r="W20" s="212"/>
      <c r="X20" s="212"/>
      <c r="Y20" s="60"/>
      <c r="Z20" s="60"/>
      <c r="AA20" s="60"/>
      <c r="AB20" s="60"/>
      <c r="AC20" s="60"/>
      <c r="AD20" s="54"/>
    </row>
    <row r="21" spans="1:30" x14ac:dyDescent="0.25">
      <c r="A21" s="23">
        <v>173</v>
      </c>
      <c r="B21" s="23" t="str">
        <v>Meadow Glen Ave</v>
      </c>
      <c r="C21" s="23" t="str">
        <v>Broadway</v>
      </c>
      <c r="D21" s="23" t="str">
        <v>El Camino Real</v>
      </c>
      <c r="E21" s="23" t="str">
        <v>S</v>
      </c>
      <c r="F21" s="24">
        <v>0</v>
      </c>
      <c r="G21" s="24">
        <v>0</v>
      </c>
      <c r="H21" s="32">
        <v>0</v>
      </c>
      <c r="I21" s="31">
        <v>0</v>
      </c>
      <c r="J21" s="31">
        <v>0</v>
      </c>
      <c r="K21" s="31">
        <v>0</v>
      </c>
      <c r="L21" s="24">
        <v>0</v>
      </c>
      <c r="M21" s="24">
        <v>0</v>
      </c>
      <c r="N21" s="24">
        <v>0</v>
      </c>
      <c r="O21" s="24">
        <v>0</v>
      </c>
      <c r="P21" s="24">
        <v>0</v>
      </c>
      <c r="Q21" s="24">
        <v>0</v>
      </c>
      <c r="R21" s="24">
        <v>0</v>
      </c>
      <c r="S21" s="24">
        <v>0</v>
      </c>
      <c r="T21" s="37">
        <v>0</v>
      </c>
      <c r="U21" s="37">
        <v>0</v>
      </c>
    </row>
    <row r="22" spans="1:30" x14ac:dyDescent="0.25">
      <c r="A22" s="23">
        <v>80</v>
      </c>
      <c r="B22" s="23" t="str">
        <v>Broadway</v>
      </c>
      <c r="C22" s="23" t="str">
        <v>Meadow Glen Ave</v>
      </c>
      <c r="D22" s="23" t="str">
        <v>Parking Lot</v>
      </c>
      <c r="E22" s="23" t="str">
        <v>W</v>
      </c>
      <c r="F22" s="24">
        <v>21</v>
      </c>
      <c r="G22" s="24">
        <v>3</v>
      </c>
      <c r="H22" s="32">
        <v>3</v>
      </c>
      <c r="I22" s="31">
        <v>6</v>
      </c>
      <c r="J22" s="31">
        <v>86</v>
      </c>
      <c r="K22" s="31">
        <v>102</v>
      </c>
      <c r="L22" s="24">
        <v>6.3</v>
      </c>
      <c r="M22" s="24">
        <v>6.4</v>
      </c>
      <c r="N22" s="24">
        <v>132</v>
      </c>
      <c r="O22" s="24">
        <v>135</v>
      </c>
      <c r="P22" s="24">
        <v>190</v>
      </c>
      <c r="Q22" s="24">
        <v>185</v>
      </c>
      <c r="R22" s="24">
        <v>178</v>
      </c>
      <c r="S22" s="24">
        <v>322</v>
      </c>
      <c r="T22" s="37">
        <v>1212</v>
      </c>
      <c r="U22" s="37">
        <v>63202</v>
      </c>
    </row>
    <row r="23" spans="1:30" x14ac:dyDescent="0.25">
      <c r="A23" s="23">
        <v>81</v>
      </c>
      <c r="B23" s="23" t="str">
        <v>Broadway</v>
      </c>
      <c r="C23" s="23" t="str">
        <v>Crosswalk</v>
      </c>
      <c r="D23" s="23" t="str">
        <v>Meadow Glen Ave</v>
      </c>
      <c r="E23" s="23" t="str">
        <v>E</v>
      </c>
      <c r="F23" s="24">
        <v>18</v>
      </c>
      <c r="G23" s="24">
        <v>1</v>
      </c>
      <c r="H23" s="32">
        <v>0</v>
      </c>
      <c r="I23" s="31">
        <v>1</v>
      </c>
      <c r="J23" s="31">
        <v>47</v>
      </c>
      <c r="K23" s="31">
        <v>62</v>
      </c>
      <c r="L23" s="24">
        <v>4.4000000000000004</v>
      </c>
      <c r="M23" s="24">
        <v>4.2</v>
      </c>
      <c r="N23" s="24">
        <v>80</v>
      </c>
      <c r="O23" s="24">
        <v>75</v>
      </c>
      <c r="P23" s="24">
        <v>127</v>
      </c>
      <c r="Q23" s="24">
        <v>96</v>
      </c>
      <c r="R23" s="24">
        <v>113</v>
      </c>
      <c r="S23" s="24">
        <v>204</v>
      </c>
      <c r="T23" s="37">
        <v>769</v>
      </c>
      <c r="U23" s="37">
        <v>40101</v>
      </c>
    </row>
    <row r="24" spans="1:30" x14ac:dyDescent="0.25">
      <c r="A24" s="23">
        <v>82</v>
      </c>
      <c r="B24" s="23" t="str">
        <v>Broadway</v>
      </c>
      <c r="C24" s="23" t="str">
        <v>Parking Lot</v>
      </c>
      <c r="D24" s="23" t="str">
        <v>Silva Ave</v>
      </c>
      <c r="E24" s="23" t="str">
        <v>W</v>
      </c>
      <c r="F24" s="24">
        <v>9</v>
      </c>
      <c r="G24" s="24">
        <v>2</v>
      </c>
      <c r="H24" s="32">
        <v>3</v>
      </c>
      <c r="I24" s="31">
        <v>5</v>
      </c>
      <c r="J24" s="31">
        <v>36</v>
      </c>
      <c r="K24" s="31">
        <v>74</v>
      </c>
      <c r="L24" s="24">
        <v>5</v>
      </c>
      <c r="M24" s="24">
        <v>8.8000000000000007</v>
      </c>
      <c r="N24" s="24">
        <v>45</v>
      </c>
      <c r="O24" s="24">
        <v>79</v>
      </c>
      <c r="P24" s="24">
        <v>70</v>
      </c>
      <c r="Q24" s="24">
        <v>85</v>
      </c>
      <c r="R24" s="24">
        <v>54</v>
      </c>
      <c r="S24" s="24">
        <v>107</v>
      </c>
      <c r="T24" s="37">
        <v>377</v>
      </c>
      <c r="U24" s="37">
        <v>19658</v>
      </c>
    </row>
    <row r="25" spans="1:30" x14ac:dyDescent="0.25">
      <c r="A25" s="23">
        <v>83</v>
      </c>
      <c r="B25" s="23" t="str">
        <v>Broadway</v>
      </c>
      <c r="C25" s="23" t="str">
        <v>Silva Ave</v>
      </c>
      <c r="D25" s="23" t="str">
        <v>Crosswalk</v>
      </c>
      <c r="E25" s="23" t="str">
        <v>E</v>
      </c>
      <c r="F25" s="24">
        <v>24</v>
      </c>
      <c r="G25" s="24">
        <v>0</v>
      </c>
      <c r="H25" s="32">
        <v>0</v>
      </c>
      <c r="I25" s="31">
        <v>0</v>
      </c>
      <c r="J25" s="31">
        <v>75</v>
      </c>
      <c r="K25" s="31">
        <v>117</v>
      </c>
      <c r="L25" s="24">
        <v>3.8</v>
      </c>
      <c r="M25" s="24">
        <v>5.3</v>
      </c>
      <c r="N25" s="24">
        <v>92</v>
      </c>
      <c r="O25" s="24">
        <v>127</v>
      </c>
      <c r="P25" s="24">
        <v>110</v>
      </c>
      <c r="Q25" s="24">
        <v>144</v>
      </c>
      <c r="R25" s="24">
        <v>109</v>
      </c>
      <c r="S25" s="24">
        <v>202</v>
      </c>
      <c r="T25" s="37">
        <v>747</v>
      </c>
      <c r="U25" s="37">
        <v>38953</v>
      </c>
    </row>
    <row r="26" spans="1:30" x14ac:dyDescent="0.25">
      <c r="A26" s="23">
        <v>84</v>
      </c>
      <c r="B26" s="23" t="str">
        <v>Broadway</v>
      </c>
      <c r="C26" s="23" t="str">
        <v>Crosswalk</v>
      </c>
      <c r="D26" s="23" t="str">
        <v>Taylor Blvd</v>
      </c>
      <c r="E26" s="23" t="str">
        <v>W</v>
      </c>
      <c r="F26" s="24">
        <v>19</v>
      </c>
      <c r="G26" s="24">
        <v>1</v>
      </c>
      <c r="H26" s="32">
        <v>2</v>
      </c>
      <c r="I26" s="31">
        <v>3</v>
      </c>
      <c r="J26" s="31">
        <v>52</v>
      </c>
      <c r="K26" s="31">
        <v>148</v>
      </c>
      <c r="L26" s="24">
        <v>4.0999999999999996</v>
      </c>
      <c r="M26" s="24">
        <v>8.1999999999999993</v>
      </c>
      <c r="N26" s="24">
        <v>77</v>
      </c>
      <c r="O26" s="24">
        <v>156</v>
      </c>
      <c r="P26" s="24">
        <v>144</v>
      </c>
      <c r="Q26" s="24">
        <v>166</v>
      </c>
      <c r="R26" s="24">
        <v>102</v>
      </c>
      <c r="S26" s="24">
        <v>196</v>
      </c>
      <c r="T26" s="37">
        <v>706</v>
      </c>
      <c r="U26" s="37">
        <v>36814</v>
      </c>
    </row>
    <row r="27" spans="1:30" x14ac:dyDescent="0.25">
      <c r="A27" s="23">
        <v>85</v>
      </c>
      <c r="B27" s="23" t="str">
        <v>Broadway</v>
      </c>
      <c r="C27" s="23" t="str">
        <v>Taylor Blvd</v>
      </c>
      <c r="D27" s="23" t="str">
        <v>Silva Ave</v>
      </c>
      <c r="E27" s="23" t="str">
        <v>E</v>
      </c>
      <c r="F27" s="24">
        <v>26</v>
      </c>
      <c r="G27" s="24">
        <v>0</v>
      </c>
      <c r="H27" s="32">
        <v>2</v>
      </c>
      <c r="I27" s="31">
        <v>2</v>
      </c>
      <c r="J27" s="31">
        <v>110</v>
      </c>
      <c r="K27" s="31">
        <v>168</v>
      </c>
      <c r="L27" s="24">
        <v>5.2</v>
      </c>
      <c r="M27" s="24">
        <v>7.1</v>
      </c>
      <c r="N27" s="24">
        <v>136</v>
      </c>
      <c r="O27" s="24">
        <v>185</v>
      </c>
      <c r="P27" s="24">
        <v>173</v>
      </c>
      <c r="Q27" s="24">
        <v>209</v>
      </c>
      <c r="R27" s="24">
        <v>162</v>
      </c>
      <c r="S27" s="24">
        <v>304</v>
      </c>
      <c r="T27" s="37">
        <v>1114</v>
      </c>
      <c r="U27" s="37">
        <v>58090</v>
      </c>
    </row>
    <row r="28" spans="1:30" x14ac:dyDescent="0.25">
      <c r="A28" s="23">
        <v>194</v>
      </c>
      <c r="B28" s="23" t="str">
        <v>Taylor Blvd</v>
      </c>
      <c r="C28" s="23" t="str">
        <v>Broadway</v>
      </c>
      <c r="D28" s="23" t="str">
        <v>Magnolia Ave</v>
      </c>
      <c r="E28" s="23" t="str">
        <v>N</v>
      </c>
      <c r="F28" s="24">
        <v>5</v>
      </c>
      <c r="G28" s="24">
        <v>0</v>
      </c>
      <c r="H28" s="32">
        <v>0</v>
      </c>
      <c r="I28" s="31">
        <v>0</v>
      </c>
      <c r="J28" s="31">
        <v>0</v>
      </c>
      <c r="K28" s="31">
        <v>12</v>
      </c>
      <c r="L28" s="24">
        <v>0.2</v>
      </c>
      <c r="M28" s="24">
        <v>2.7</v>
      </c>
      <c r="N28" s="24">
        <v>1</v>
      </c>
      <c r="O28" s="24">
        <v>12</v>
      </c>
      <c r="P28" s="24">
        <v>9</v>
      </c>
      <c r="Q28" s="24">
        <v>12</v>
      </c>
      <c r="R28" s="24">
        <v>2</v>
      </c>
      <c r="S28" s="24">
        <v>4</v>
      </c>
      <c r="T28" s="37">
        <v>14</v>
      </c>
      <c r="U28" s="37">
        <v>730</v>
      </c>
    </row>
    <row r="29" spans="1:30" x14ac:dyDescent="0.25">
      <c r="A29" s="23">
        <v>114</v>
      </c>
      <c r="B29" s="23" t="str">
        <v>El Camino Real</v>
      </c>
      <c r="C29" s="23" t="str">
        <v>970 El Camino Driveway</v>
      </c>
      <c r="D29" s="23" t="str">
        <v>Meadow Glen Ave</v>
      </c>
      <c r="E29" s="23" t="str">
        <v>E</v>
      </c>
      <c r="F29" s="24">
        <v>0</v>
      </c>
      <c r="G29" s="24">
        <v>0</v>
      </c>
      <c r="H29" s="32">
        <v>0</v>
      </c>
      <c r="I29" s="31">
        <v>0</v>
      </c>
      <c r="J29" s="31">
        <v>0</v>
      </c>
      <c r="K29" s="31">
        <v>0</v>
      </c>
      <c r="L29" s="24">
        <v>0</v>
      </c>
      <c r="M29" s="24">
        <v>0</v>
      </c>
      <c r="N29" s="24">
        <v>0</v>
      </c>
      <c r="O29" s="24">
        <v>0</v>
      </c>
      <c r="P29" s="24">
        <v>0</v>
      </c>
      <c r="Q29" s="24">
        <v>0</v>
      </c>
      <c r="R29" s="24">
        <v>0</v>
      </c>
      <c r="S29" s="24">
        <v>0</v>
      </c>
      <c r="T29" s="37">
        <v>0</v>
      </c>
      <c r="U29" s="37">
        <v>0</v>
      </c>
    </row>
    <row r="30" spans="1:30" x14ac:dyDescent="0.25">
      <c r="A30" s="23">
        <v>115</v>
      </c>
      <c r="B30" s="23" t="str">
        <v>El Camino Real</v>
      </c>
      <c r="C30" s="23" t="str">
        <v>Mateo Ave</v>
      </c>
      <c r="D30" s="23" t="str">
        <v>970 El Camino Driveway</v>
      </c>
      <c r="E30" s="23" t="str">
        <v>E</v>
      </c>
      <c r="F30" s="24">
        <v>8</v>
      </c>
      <c r="G30" s="24">
        <v>0</v>
      </c>
      <c r="H30" s="32">
        <v>0</v>
      </c>
      <c r="I30" s="31">
        <v>0</v>
      </c>
      <c r="J30" s="31">
        <v>0</v>
      </c>
      <c r="K30" s="31">
        <v>0</v>
      </c>
      <c r="L30" s="24">
        <v>0</v>
      </c>
      <c r="M30" s="24">
        <v>0.2</v>
      </c>
      <c r="N30" s="24">
        <v>0</v>
      </c>
      <c r="O30" s="24">
        <v>2</v>
      </c>
      <c r="P30" s="24">
        <v>0</v>
      </c>
      <c r="Q30" s="24">
        <v>18</v>
      </c>
      <c r="R30" s="24">
        <v>0</v>
      </c>
      <c r="S30" s="24">
        <v>0</v>
      </c>
      <c r="T30" s="37">
        <v>0</v>
      </c>
      <c r="U30" s="37">
        <v>0</v>
      </c>
    </row>
    <row r="31" spans="1:30" x14ac:dyDescent="0.25">
      <c r="A31" s="23">
        <v>113</v>
      </c>
      <c r="B31" s="23" t="str">
        <v>El Camino Real</v>
      </c>
      <c r="C31" s="23" t="str">
        <v>Meadow Glen Ave</v>
      </c>
      <c r="D31" s="23" t="str">
        <v>Silva Ave</v>
      </c>
      <c r="E31" s="23" t="str">
        <v>W</v>
      </c>
      <c r="F31" s="24">
        <v>28</v>
      </c>
      <c r="G31" s="24">
        <v>0</v>
      </c>
      <c r="H31" s="32">
        <v>0</v>
      </c>
      <c r="I31" s="31">
        <v>0</v>
      </c>
      <c r="J31" s="31">
        <v>4</v>
      </c>
      <c r="K31" s="31">
        <v>9</v>
      </c>
      <c r="L31" s="24">
        <v>0.4</v>
      </c>
      <c r="M31" s="24">
        <v>0.5</v>
      </c>
      <c r="N31" s="24">
        <v>10</v>
      </c>
      <c r="O31" s="24">
        <v>15</v>
      </c>
      <c r="P31" s="24">
        <v>40</v>
      </c>
      <c r="Q31" s="24">
        <v>48</v>
      </c>
      <c r="R31" s="24">
        <v>16</v>
      </c>
      <c r="S31" s="24">
        <v>32</v>
      </c>
      <c r="T31" s="37">
        <v>112</v>
      </c>
      <c r="U31" s="37">
        <v>5840</v>
      </c>
    </row>
    <row r="32" spans="1:30" x14ac:dyDescent="0.25">
      <c r="A32" s="23">
        <v>116</v>
      </c>
      <c r="B32" s="23" t="str">
        <v>El Camino Real</v>
      </c>
      <c r="C32" s="23" t="str">
        <v>Silva Ave</v>
      </c>
      <c r="D32" s="23" t="str">
        <v>Mateo Ave</v>
      </c>
      <c r="E32" s="23" t="str">
        <v>E</v>
      </c>
      <c r="F32" s="24">
        <v>8</v>
      </c>
      <c r="G32" s="24">
        <v>1</v>
      </c>
      <c r="H32" s="32">
        <v>0</v>
      </c>
      <c r="I32" s="31">
        <v>1</v>
      </c>
      <c r="J32" s="31">
        <v>3</v>
      </c>
      <c r="K32" s="31">
        <v>5</v>
      </c>
      <c r="L32" s="24">
        <v>1.9</v>
      </c>
      <c r="M32" s="24">
        <v>0.8</v>
      </c>
      <c r="N32" s="24">
        <v>14</v>
      </c>
      <c r="O32" s="24">
        <v>6</v>
      </c>
      <c r="P32" s="24">
        <v>42</v>
      </c>
      <c r="Q32" s="24">
        <v>7</v>
      </c>
      <c r="R32" s="24">
        <v>25</v>
      </c>
      <c r="S32" s="24">
        <v>47</v>
      </c>
      <c r="T32" s="37">
        <v>172</v>
      </c>
      <c r="U32" s="37">
        <v>8969</v>
      </c>
    </row>
    <row r="33" spans="1:21" x14ac:dyDescent="0.25">
      <c r="A33" s="23">
        <v>118</v>
      </c>
      <c r="B33" s="23" t="str">
        <v>El Camino Real</v>
      </c>
      <c r="C33" s="23" t="str">
        <v>Hermosa Ave</v>
      </c>
      <c r="D33" s="23" t="str">
        <v>Silva Ave</v>
      </c>
      <c r="E33" s="23" t="str">
        <v>E</v>
      </c>
      <c r="F33" s="24">
        <v>6</v>
      </c>
      <c r="G33" s="24">
        <v>1</v>
      </c>
      <c r="H33" s="32">
        <v>1</v>
      </c>
      <c r="I33" s="31">
        <v>2</v>
      </c>
      <c r="J33" s="31">
        <v>2</v>
      </c>
      <c r="K33" s="31">
        <v>6</v>
      </c>
      <c r="L33" s="24">
        <v>1.5</v>
      </c>
      <c r="M33" s="24">
        <v>2.2999999999999998</v>
      </c>
      <c r="N33" s="24">
        <v>9</v>
      </c>
      <c r="O33" s="24">
        <v>14</v>
      </c>
      <c r="P33" s="24">
        <v>23</v>
      </c>
      <c r="Q33" s="24">
        <v>31</v>
      </c>
      <c r="R33" s="24">
        <v>16</v>
      </c>
      <c r="S33" s="24">
        <v>28</v>
      </c>
      <c r="T33" s="37">
        <v>108</v>
      </c>
      <c r="U33" s="37">
        <v>5632</v>
      </c>
    </row>
    <row r="34" spans="1:21" x14ac:dyDescent="0.25">
      <c r="A34" s="23">
        <v>117</v>
      </c>
      <c r="B34" s="23" t="str">
        <v>El Camino Real</v>
      </c>
      <c r="C34" s="23" t="str">
        <v>Silva Ave</v>
      </c>
      <c r="D34" s="23" t="str">
        <v>Taylor Blvd</v>
      </c>
      <c r="E34" s="23" t="str">
        <v>W</v>
      </c>
      <c r="F34" s="24">
        <v>6</v>
      </c>
      <c r="G34" s="24">
        <v>0</v>
      </c>
      <c r="H34" s="32">
        <v>0</v>
      </c>
      <c r="I34" s="31">
        <v>0</v>
      </c>
      <c r="J34" s="31">
        <v>0</v>
      </c>
      <c r="K34" s="31">
        <v>0</v>
      </c>
      <c r="L34" s="24">
        <v>0.7</v>
      </c>
      <c r="M34" s="24">
        <v>0.7</v>
      </c>
      <c r="N34" s="24">
        <v>4</v>
      </c>
      <c r="O34" s="24">
        <v>4</v>
      </c>
      <c r="P34" s="24">
        <v>30</v>
      </c>
      <c r="Q34" s="24">
        <v>35</v>
      </c>
      <c r="R34" s="24">
        <v>8</v>
      </c>
      <c r="S34" s="24">
        <v>15</v>
      </c>
      <c r="T34" s="37">
        <v>55</v>
      </c>
      <c r="U34" s="37">
        <v>2868</v>
      </c>
    </row>
    <row r="35" spans="1:21" x14ac:dyDescent="0.25">
      <c r="A35" s="23">
        <v>119</v>
      </c>
      <c r="B35" s="23" t="str">
        <v>El Camino Real</v>
      </c>
      <c r="C35" s="23" t="str">
        <v>Taylor Blvd</v>
      </c>
      <c r="D35" s="23" t="str">
        <v>Hermosa Ave</v>
      </c>
      <c r="E35" s="23" t="str">
        <v>E</v>
      </c>
      <c r="F35" s="24">
        <v>8</v>
      </c>
      <c r="G35" s="24">
        <v>0</v>
      </c>
      <c r="H35" s="32">
        <v>0</v>
      </c>
      <c r="I35" s="31">
        <v>0</v>
      </c>
      <c r="J35" s="31">
        <v>2</v>
      </c>
      <c r="K35" s="31">
        <v>7</v>
      </c>
      <c r="L35" s="24">
        <v>1</v>
      </c>
      <c r="M35" s="24">
        <v>1.8</v>
      </c>
      <c r="N35" s="24">
        <v>8</v>
      </c>
      <c r="O35" s="24">
        <v>15</v>
      </c>
      <c r="P35" s="24">
        <v>20</v>
      </c>
      <c r="Q35" s="24">
        <v>26</v>
      </c>
      <c r="R35" s="24">
        <v>14</v>
      </c>
      <c r="S35" s="24">
        <v>26</v>
      </c>
      <c r="T35" s="37">
        <v>96</v>
      </c>
      <c r="U35" s="37">
        <v>5006</v>
      </c>
    </row>
    <row r="36" spans="1:21" x14ac:dyDescent="0.25">
      <c r="A36" s="23">
        <v>122</v>
      </c>
      <c r="B36" s="23" t="str">
        <v>El Camino Real</v>
      </c>
      <c r="C36" s="23" t="str">
        <v>Hillcrest Blvd</v>
      </c>
      <c r="D36" s="23" t="str">
        <v>Taylor Blvd</v>
      </c>
      <c r="E36" s="23" t="str">
        <v>E</v>
      </c>
      <c r="F36" s="24">
        <v>10</v>
      </c>
      <c r="G36" s="24">
        <v>0</v>
      </c>
      <c r="H36" s="53">
        <v>0</v>
      </c>
      <c r="I36" s="53">
        <v>0</v>
      </c>
      <c r="J36" s="53">
        <v>0</v>
      </c>
      <c r="K36" s="53">
        <v>12</v>
      </c>
      <c r="L36" s="24">
        <v>0</v>
      </c>
      <c r="M36" s="24">
        <v>2.6</v>
      </c>
      <c r="N36" s="24">
        <v>0</v>
      </c>
      <c r="O36" s="24">
        <v>26</v>
      </c>
      <c r="P36" s="24">
        <v>0</v>
      </c>
      <c r="Q36" s="24">
        <v>62</v>
      </c>
      <c r="R36" s="24">
        <v>0</v>
      </c>
      <c r="S36" s="24">
        <v>0</v>
      </c>
      <c r="T36" s="37">
        <v>0</v>
      </c>
      <c r="U36" s="37">
        <v>0</v>
      </c>
    </row>
    <row r="37" spans="1:21" x14ac:dyDescent="0.25">
      <c r="A37" s="23">
        <v>196</v>
      </c>
      <c r="B37" s="23" t="str">
        <v>Taylor Blvd</v>
      </c>
      <c r="C37" s="23" t="str">
        <v>El Camino Real</v>
      </c>
      <c r="D37" s="23" t="str">
        <v>Broadway</v>
      </c>
      <c r="E37" s="23" t="str">
        <v>N</v>
      </c>
      <c r="F37" s="24">
        <v>5</v>
      </c>
      <c r="G37" s="24">
        <v>0</v>
      </c>
      <c r="H37" s="53">
        <v>1</v>
      </c>
      <c r="I37" s="53">
        <v>1</v>
      </c>
      <c r="J37" s="53">
        <v>8</v>
      </c>
      <c r="K37" s="53">
        <v>13</v>
      </c>
      <c r="L37" s="24">
        <v>2.6</v>
      </c>
      <c r="M37" s="24">
        <v>3.7</v>
      </c>
      <c r="N37" s="24">
        <v>14</v>
      </c>
      <c r="O37" s="24">
        <v>20</v>
      </c>
      <c r="P37" s="24">
        <v>28</v>
      </c>
      <c r="Q37" s="24">
        <v>38</v>
      </c>
      <c r="R37" s="24">
        <v>20</v>
      </c>
      <c r="S37" s="24">
        <v>37</v>
      </c>
      <c r="T37" s="37">
        <v>137</v>
      </c>
      <c r="U37" s="37">
        <v>7144</v>
      </c>
    </row>
    <row r="38" spans="1:21" x14ac:dyDescent="0.25">
      <c r="A38" s="23">
        <v>195</v>
      </c>
      <c r="B38" s="23" t="str">
        <v>Taylor Blvd</v>
      </c>
      <c r="C38" s="23" t="str">
        <v>Magnolia Ave</v>
      </c>
      <c r="D38" s="23" t="str">
        <v>Broadway</v>
      </c>
      <c r="E38" s="23" t="str">
        <v>S</v>
      </c>
      <c r="F38" s="24">
        <v>4</v>
      </c>
      <c r="G38" s="24">
        <v>3</v>
      </c>
      <c r="H38" s="53">
        <v>2</v>
      </c>
      <c r="I38" s="53">
        <v>5</v>
      </c>
      <c r="J38" s="53">
        <v>10</v>
      </c>
      <c r="K38" s="53">
        <v>9</v>
      </c>
      <c r="L38" s="24">
        <v>4.2</v>
      </c>
      <c r="M38" s="24">
        <v>2.9</v>
      </c>
      <c r="N38" s="24">
        <v>16</v>
      </c>
      <c r="O38" s="24">
        <v>11</v>
      </c>
      <c r="P38" s="24">
        <v>33</v>
      </c>
      <c r="Q38" s="24">
        <v>22</v>
      </c>
      <c r="R38" s="24">
        <v>22</v>
      </c>
      <c r="S38" s="24">
        <v>42</v>
      </c>
      <c r="T38" s="37">
        <v>152</v>
      </c>
      <c r="U38" s="37">
        <v>7926</v>
      </c>
    </row>
    <row r="39" spans="1:21" x14ac:dyDescent="0.25">
      <c r="A39" s="23">
        <v>197</v>
      </c>
      <c r="B39" s="23" t="str">
        <v>Taylor Blvd</v>
      </c>
      <c r="C39" s="23" t="str">
        <v>Broadway</v>
      </c>
      <c r="D39" s="23" t="str">
        <v>El Camino Real</v>
      </c>
      <c r="E39" s="23" t="str">
        <v>S</v>
      </c>
      <c r="F39" s="24">
        <v>3</v>
      </c>
      <c r="G39" s="24">
        <v>0</v>
      </c>
      <c r="H39" s="53">
        <v>1</v>
      </c>
      <c r="I39" s="53">
        <v>1</v>
      </c>
      <c r="J39" s="53">
        <v>5</v>
      </c>
      <c r="K39" s="53">
        <v>6</v>
      </c>
      <c r="L39" s="24">
        <v>2.4</v>
      </c>
      <c r="M39" s="24">
        <v>2.6</v>
      </c>
      <c r="N39" s="24">
        <v>8</v>
      </c>
      <c r="O39" s="24">
        <v>9</v>
      </c>
      <c r="P39" s="24">
        <v>15</v>
      </c>
      <c r="Q39" s="24">
        <v>19</v>
      </c>
      <c r="R39" s="24">
        <v>11</v>
      </c>
      <c r="S39" s="24">
        <v>21</v>
      </c>
      <c r="T39" s="37">
        <v>76</v>
      </c>
      <c r="U39" s="37">
        <v>3963</v>
      </c>
    </row>
    <row r="40" spans="1:21" x14ac:dyDescent="0.25">
      <c r="A40" s="23">
        <v>120</v>
      </c>
      <c r="B40" s="23" t="str">
        <v>El Camino Real</v>
      </c>
      <c r="C40" s="23" t="str">
        <v>Taylor Blvd</v>
      </c>
      <c r="D40" s="23" t="str">
        <v>Hillcrest Blvd</v>
      </c>
      <c r="E40" s="23" t="str">
        <v>W</v>
      </c>
      <c r="F40" s="24">
        <v>7</v>
      </c>
      <c r="G40" s="24">
        <v>2</v>
      </c>
      <c r="H40" s="53">
        <v>1</v>
      </c>
      <c r="I40" s="53">
        <v>3</v>
      </c>
      <c r="J40" s="53">
        <v>7</v>
      </c>
      <c r="K40" s="53">
        <v>7</v>
      </c>
      <c r="L40" s="24">
        <v>2.2999999999999998</v>
      </c>
      <c r="M40" s="24">
        <v>3</v>
      </c>
      <c r="N40" s="24">
        <v>16</v>
      </c>
      <c r="O40" s="24">
        <v>21</v>
      </c>
      <c r="P40" s="24">
        <v>55</v>
      </c>
      <c r="Q40" s="24">
        <v>51</v>
      </c>
      <c r="R40" s="24">
        <v>25</v>
      </c>
      <c r="S40" s="24">
        <v>48</v>
      </c>
      <c r="T40" s="37">
        <v>173</v>
      </c>
      <c r="U40" s="37">
        <v>9021</v>
      </c>
    </row>
    <row r="41" spans="1:21" x14ac:dyDescent="0.25">
      <c r="A41" s="23">
        <v>87</v>
      </c>
      <c r="B41" s="23" t="str">
        <v>Broadway</v>
      </c>
      <c r="C41" s="23" t="str">
        <v>Hillcrest Blvd</v>
      </c>
      <c r="D41" s="23" t="str">
        <v>Taylor Blvd</v>
      </c>
      <c r="E41" s="23" t="str">
        <v>E</v>
      </c>
      <c r="F41" s="24">
        <v>20</v>
      </c>
      <c r="G41" s="24">
        <v>2</v>
      </c>
      <c r="H41" s="53">
        <v>3</v>
      </c>
      <c r="I41" s="53">
        <v>5</v>
      </c>
      <c r="J41" s="53">
        <v>54</v>
      </c>
      <c r="K41" s="53">
        <v>126</v>
      </c>
      <c r="L41" s="24">
        <v>4.0999999999999996</v>
      </c>
      <c r="M41" s="24">
        <v>7.3</v>
      </c>
      <c r="N41" s="24">
        <v>82</v>
      </c>
      <c r="O41" s="24">
        <v>145</v>
      </c>
      <c r="P41" s="24">
        <v>144</v>
      </c>
      <c r="Q41" s="24">
        <v>187</v>
      </c>
      <c r="R41" s="24">
        <v>110</v>
      </c>
      <c r="S41" s="24">
        <v>209</v>
      </c>
      <c r="T41" s="37">
        <v>759</v>
      </c>
      <c r="U41" s="37">
        <v>39578</v>
      </c>
    </row>
    <row r="42" spans="1:21" x14ac:dyDescent="0.25">
      <c r="A42" s="23">
        <v>121</v>
      </c>
      <c r="B42" s="23" t="str">
        <v>El Camino Real E</v>
      </c>
      <c r="C42" s="23" t="str">
        <v>Taylor Blvd</v>
      </c>
      <c r="D42" s="23" t="str">
        <v>Hillcrest Blvd</v>
      </c>
      <c r="E42" s="23" t="str">
        <v>W</v>
      </c>
      <c r="F42" s="24">
        <v>13</v>
      </c>
      <c r="G42" s="24">
        <v>1</v>
      </c>
      <c r="H42" s="53">
        <v>1</v>
      </c>
      <c r="I42" s="53">
        <v>2</v>
      </c>
      <c r="J42" s="53">
        <v>10</v>
      </c>
      <c r="K42" s="53">
        <v>14</v>
      </c>
      <c r="L42" s="24">
        <v>2.1</v>
      </c>
      <c r="M42" s="24">
        <v>2.6</v>
      </c>
      <c r="N42" s="24">
        <v>27</v>
      </c>
      <c r="O42" s="24">
        <v>34</v>
      </c>
      <c r="P42" s="24">
        <v>94</v>
      </c>
      <c r="Q42" s="24">
        <v>84</v>
      </c>
      <c r="R42" s="24">
        <v>44</v>
      </c>
      <c r="S42" s="24">
        <v>84</v>
      </c>
      <c r="T42" s="37">
        <v>304</v>
      </c>
      <c r="U42" s="37">
        <v>15852</v>
      </c>
    </row>
    <row r="43" spans="1:21" x14ac:dyDescent="0.25">
      <c r="A43" s="67">
        <v>86</v>
      </c>
      <c r="B43" s="67" t="str">
        <v>Broadway</v>
      </c>
      <c r="C43" s="67" t="str">
        <v>Taylor Blvd</v>
      </c>
      <c r="D43" s="67" t="str">
        <v>Hillcrest Blvd</v>
      </c>
      <c r="E43" s="67" t="str">
        <v>W</v>
      </c>
      <c r="F43" s="68">
        <v>35</v>
      </c>
      <c r="G43" s="68">
        <v>1</v>
      </c>
      <c r="H43" s="69">
        <v>3</v>
      </c>
      <c r="I43" s="69">
        <v>4</v>
      </c>
      <c r="J43" s="69">
        <v>116</v>
      </c>
      <c r="K43" s="69">
        <v>184</v>
      </c>
      <c r="L43" s="68">
        <v>4.4000000000000004</v>
      </c>
      <c r="M43" s="68">
        <v>6.2</v>
      </c>
      <c r="N43" s="68">
        <v>153</v>
      </c>
      <c r="O43" s="68">
        <v>218</v>
      </c>
      <c r="P43" s="68">
        <v>224</v>
      </c>
      <c r="Q43" s="68">
        <v>298</v>
      </c>
      <c r="R43" s="68">
        <v>190</v>
      </c>
      <c r="S43" s="68">
        <v>363</v>
      </c>
      <c r="T43" s="70">
        <v>1313</v>
      </c>
      <c r="U43" s="70">
        <v>68466</v>
      </c>
    </row>
    <row r="44" spans="1:21" x14ac:dyDescent="0.25">
      <c r="A44" s="61">
        <v>206</v>
      </c>
      <c r="B44" s="61" t="str">
        <v>Hillcrest Blvd</v>
      </c>
      <c r="C44" s="61" t="str">
        <v>Broadway</v>
      </c>
      <c r="D44" s="61" t="str">
        <v>Magnolia Ave</v>
      </c>
      <c r="E44" s="61" t="str">
        <v>N</v>
      </c>
      <c r="F44" s="75">
        <v>7</v>
      </c>
      <c r="G44" s="75">
        <v>3</v>
      </c>
      <c r="H44" s="76">
        <v>1</v>
      </c>
      <c r="I44" s="76">
        <v>4</v>
      </c>
      <c r="J44" s="76">
        <v>18</v>
      </c>
      <c r="K44" s="76">
        <v>14</v>
      </c>
      <c r="L44" s="75">
        <v>4.5</v>
      </c>
      <c r="M44" s="75">
        <v>4.5</v>
      </c>
      <c r="N44" s="75">
        <v>31</v>
      </c>
      <c r="O44" s="75">
        <v>31</v>
      </c>
      <c r="P44" s="75">
        <v>61</v>
      </c>
      <c r="Q44" s="75">
        <v>58</v>
      </c>
      <c r="R44" s="75">
        <v>44</v>
      </c>
      <c r="S44" s="75">
        <v>83</v>
      </c>
      <c r="T44" s="77">
        <v>303</v>
      </c>
      <c r="U44" s="77">
        <v>15800</v>
      </c>
    </row>
    <row r="45" spans="1:21" x14ac:dyDescent="0.25">
      <c r="A45" s="54">
        <v>208</v>
      </c>
      <c r="B45" s="54" t="str">
        <v>Hillcrest Blvd</v>
      </c>
      <c r="C45" s="54" t="str">
        <v>Broadway</v>
      </c>
      <c r="D45" s="54" t="str">
        <v>El Camino Real</v>
      </c>
      <c r="E45" s="54" t="str">
        <v>N</v>
      </c>
      <c r="F45" s="71">
        <v>4</v>
      </c>
      <c r="G45" s="71">
        <v>3</v>
      </c>
      <c r="H45" s="72">
        <v>3</v>
      </c>
      <c r="I45" s="72">
        <v>6</v>
      </c>
      <c r="J45" s="72">
        <v>3</v>
      </c>
      <c r="K45" s="72">
        <v>1</v>
      </c>
      <c r="L45" s="71">
        <v>2.8</v>
      </c>
      <c r="M45" s="71">
        <v>2.5</v>
      </c>
      <c r="N45" s="71">
        <v>10</v>
      </c>
      <c r="O45" s="71">
        <v>9</v>
      </c>
      <c r="P45" s="71">
        <v>40</v>
      </c>
      <c r="Q45" s="71">
        <v>40</v>
      </c>
      <c r="R45" s="71">
        <v>17</v>
      </c>
      <c r="S45" s="71">
        <v>32</v>
      </c>
      <c r="T45" s="73">
        <v>117</v>
      </c>
      <c r="U45" s="73">
        <v>6101</v>
      </c>
    </row>
    <row r="46" spans="1:21" x14ac:dyDescent="0.25">
      <c r="A46" s="54">
        <v>57</v>
      </c>
      <c r="B46" s="54" t="str">
        <v>Magnolia Ave</v>
      </c>
      <c r="C46" s="54" t="str">
        <v>La Cruz Ave</v>
      </c>
      <c r="D46" s="54" t="str">
        <v>Hillcrest Blvd</v>
      </c>
      <c r="E46" s="54" t="str">
        <v>E</v>
      </c>
      <c r="F46" s="71">
        <v>11</v>
      </c>
      <c r="G46" s="71">
        <v>2</v>
      </c>
      <c r="H46" s="72">
        <v>4</v>
      </c>
      <c r="I46" s="72">
        <v>6</v>
      </c>
      <c r="J46" s="72" t="str">
        <v>NA</v>
      </c>
      <c r="K46" s="72" t="str">
        <v>NA</v>
      </c>
      <c r="L46" s="71" t="str">
        <v>-</v>
      </c>
      <c r="M46" s="71" t="str">
        <v>-</v>
      </c>
      <c r="N46" s="71" t="str">
        <v>-</v>
      </c>
      <c r="O46" s="71" t="str">
        <v>-</v>
      </c>
      <c r="P46" s="71" t="str">
        <v>-</v>
      </c>
      <c r="Q46" s="71" t="str">
        <v>-</v>
      </c>
      <c r="R46" s="71">
        <v>0</v>
      </c>
      <c r="S46" s="71">
        <v>0</v>
      </c>
      <c r="T46" s="73">
        <v>0</v>
      </c>
      <c r="U46" s="73">
        <v>0</v>
      </c>
    </row>
    <row r="47" spans="1:21" x14ac:dyDescent="0.25">
      <c r="A47" s="54">
        <v>216</v>
      </c>
      <c r="B47" s="54" t="str">
        <v>La Cruz Ave</v>
      </c>
      <c r="C47" s="54" t="str">
        <v>Magnolia Ave</v>
      </c>
      <c r="D47" s="54" t="str">
        <v>Broadway</v>
      </c>
      <c r="E47" s="54" t="str">
        <v>N</v>
      </c>
      <c r="F47" s="71">
        <v>6</v>
      </c>
      <c r="G47" s="71">
        <v>0</v>
      </c>
      <c r="H47" s="72">
        <v>2</v>
      </c>
      <c r="I47" s="72">
        <v>2</v>
      </c>
      <c r="J47" s="72">
        <v>0</v>
      </c>
      <c r="K47" s="72">
        <v>21</v>
      </c>
      <c r="L47" s="71">
        <v>0</v>
      </c>
      <c r="M47" s="71">
        <v>4.7</v>
      </c>
      <c r="N47" s="71">
        <v>0</v>
      </c>
      <c r="O47" s="71">
        <v>28</v>
      </c>
      <c r="P47" s="71">
        <v>0</v>
      </c>
      <c r="Q47" s="71">
        <v>48</v>
      </c>
      <c r="R47" s="71">
        <v>0</v>
      </c>
      <c r="S47" s="71">
        <v>0</v>
      </c>
      <c r="T47" s="73">
        <v>0</v>
      </c>
      <c r="U47" s="73">
        <v>0</v>
      </c>
    </row>
    <row r="48" spans="1:21" x14ac:dyDescent="0.25">
      <c r="A48" s="54">
        <v>88</v>
      </c>
      <c r="B48" s="54" t="str">
        <v>Broadway</v>
      </c>
      <c r="C48" s="54" t="str">
        <v>Hillcrest Blvd</v>
      </c>
      <c r="D48" s="54" t="str">
        <v>La Cruz Ave</v>
      </c>
      <c r="E48" s="54" t="str">
        <v>W</v>
      </c>
      <c r="F48" s="71">
        <v>15</v>
      </c>
      <c r="G48" s="71">
        <v>2</v>
      </c>
      <c r="H48" s="72">
        <v>3</v>
      </c>
      <c r="I48" s="72">
        <v>5</v>
      </c>
      <c r="J48" s="72">
        <v>57</v>
      </c>
      <c r="K48" s="72">
        <v>96</v>
      </c>
      <c r="L48" s="74">
        <v>5.0999999999999996</v>
      </c>
      <c r="M48" s="74">
        <v>7.6</v>
      </c>
      <c r="N48" s="74">
        <v>77</v>
      </c>
      <c r="O48" s="74">
        <v>114</v>
      </c>
      <c r="P48" s="74">
        <v>118</v>
      </c>
      <c r="Q48" s="74">
        <v>135</v>
      </c>
      <c r="R48" s="74">
        <v>97</v>
      </c>
      <c r="S48" s="74">
        <v>185</v>
      </c>
      <c r="T48" s="73">
        <v>670</v>
      </c>
      <c r="U48" s="73">
        <v>34937</v>
      </c>
    </row>
    <row r="49" spans="1:21" x14ac:dyDescent="0.25">
      <c r="A49" s="54">
        <v>89</v>
      </c>
      <c r="B49" s="54" t="str">
        <v>Broadway</v>
      </c>
      <c r="C49" s="54" t="str">
        <v>La Cruz Ave</v>
      </c>
      <c r="D49" s="54" t="str">
        <v>Hillcrest Blvd</v>
      </c>
      <c r="E49" s="54" t="str">
        <v>E</v>
      </c>
      <c r="F49" s="71">
        <v>18</v>
      </c>
      <c r="G49" s="71">
        <v>1</v>
      </c>
      <c r="H49" s="72">
        <v>3</v>
      </c>
      <c r="I49" s="72">
        <v>4</v>
      </c>
      <c r="J49" s="72">
        <v>103</v>
      </c>
      <c r="K49" s="72">
        <v>102</v>
      </c>
      <c r="L49" s="74">
        <v>6.6</v>
      </c>
      <c r="M49" s="74">
        <v>7.2</v>
      </c>
      <c r="N49" s="74">
        <v>118</v>
      </c>
      <c r="O49" s="74">
        <v>129</v>
      </c>
      <c r="P49" s="74">
        <v>143</v>
      </c>
      <c r="Q49" s="74">
        <v>165</v>
      </c>
      <c r="R49" s="74">
        <v>133</v>
      </c>
      <c r="S49" s="74">
        <v>257</v>
      </c>
      <c r="T49" s="73">
        <v>922</v>
      </c>
      <c r="U49" s="73">
        <v>48077</v>
      </c>
    </row>
    <row r="50" spans="1:21" x14ac:dyDescent="0.25">
      <c r="A50">
        <v>209</v>
      </c>
      <c r="B50" t="str">
        <v>Hillcrest Blvd</v>
      </c>
      <c r="C50" t="str">
        <v>Broadway</v>
      </c>
      <c r="D50" t="str">
        <v>El Camino Real</v>
      </c>
      <c r="E50" t="str">
        <v>S</v>
      </c>
      <c r="F50" s="25">
        <v>5</v>
      </c>
      <c r="G50" s="25">
        <v>3</v>
      </c>
      <c r="H50" s="26">
        <v>3</v>
      </c>
      <c r="I50" s="26">
        <v>6</v>
      </c>
      <c r="J50" s="26">
        <v>5</v>
      </c>
      <c r="K50" s="26">
        <v>1</v>
      </c>
      <c r="L50" s="25">
        <v>2.4</v>
      </c>
      <c r="M50" s="25">
        <v>2.6</v>
      </c>
      <c r="N50" s="25">
        <v>12</v>
      </c>
      <c r="O50" s="25">
        <v>13</v>
      </c>
      <c r="P50" s="25">
        <v>44</v>
      </c>
      <c r="Q50" s="25">
        <v>50</v>
      </c>
      <c r="R50" s="25">
        <v>19</v>
      </c>
      <c r="S50" s="25">
        <v>35</v>
      </c>
      <c r="T50" s="38">
        <v>130</v>
      </c>
      <c r="U50" s="38">
        <v>6779</v>
      </c>
    </row>
    <row r="51" spans="1:21" x14ac:dyDescent="0.25">
      <c r="A51">
        <v>218</v>
      </c>
      <c r="B51" t="str">
        <v>La Cruz Ave</v>
      </c>
      <c r="C51" t="str">
        <v>El Camino Real</v>
      </c>
      <c r="D51" t="str">
        <v>Broadway</v>
      </c>
      <c r="E51" t="str">
        <v>N</v>
      </c>
      <c r="F51" s="25">
        <v>8</v>
      </c>
      <c r="G51" s="25">
        <v>2</v>
      </c>
      <c r="H51" s="26">
        <v>3</v>
      </c>
      <c r="I51" s="26">
        <v>5</v>
      </c>
      <c r="J51" s="26">
        <v>21</v>
      </c>
      <c r="K51" s="26">
        <v>6</v>
      </c>
      <c r="L51" s="25">
        <v>4.0999999999999996</v>
      </c>
      <c r="M51" s="25">
        <v>3.4</v>
      </c>
      <c r="N51" s="25">
        <v>33</v>
      </c>
      <c r="O51" s="25">
        <v>27</v>
      </c>
      <c r="P51" s="25">
        <v>70</v>
      </c>
      <c r="Q51" s="25">
        <v>79</v>
      </c>
      <c r="R51" s="25">
        <v>45</v>
      </c>
      <c r="S51" s="25">
        <v>87</v>
      </c>
      <c r="T51" s="38">
        <v>312</v>
      </c>
      <c r="U51" s="38">
        <v>16269</v>
      </c>
    </row>
    <row r="52" spans="1:21" x14ac:dyDescent="0.25">
      <c r="A52">
        <v>123</v>
      </c>
      <c r="B52" t="str">
        <v>El Camino Real</v>
      </c>
      <c r="C52" t="str">
        <v>Hillcrest Blvd</v>
      </c>
      <c r="D52" t="str">
        <v>La Cruz Ave</v>
      </c>
      <c r="E52" t="str">
        <v>W</v>
      </c>
      <c r="F52" s="25">
        <v>13</v>
      </c>
      <c r="G52" s="25">
        <v>2</v>
      </c>
      <c r="H52" s="26">
        <v>2</v>
      </c>
      <c r="I52" s="26">
        <v>4</v>
      </c>
      <c r="J52" s="26">
        <v>17</v>
      </c>
      <c r="K52" s="26">
        <v>17</v>
      </c>
      <c r="L52" s="25">
        <v>2.6</v>
      </c>
      <c r="M52" s="25">
        <v>3.5</v>
      </c>
      <c r="N52" s="25">
        <v>34</v>
      </c>
      <c r="O52" s="25">
        <v>46</v>
      </c>
      <c r="P52" s="25">
        <v>79</v>
      </c>
      <c r="Q52" s="25">
        <v>109</v>
      </c>
      <c r="R52" s="25">
        <v>51</v>
      </c>
      <c r="S52" s="25">
        <v>96</v>
      </c>
      <c r="T52" s="38">
        <v>351</v>
      </c>
      <c r="U52" s="38">
        <v>18303</v>
      </c>
    </row>
    <row r="53" spans="1:21" x14ac:dyDescent="0.25">
      <c r="A53">
        <v>124</v>
      </c>
      <c r="B53" t="str">
        <v>El Camino Real E</v>
      </c>
      <c r="C53" t="str">
        <v>Hillcrest Blvd</v>
      </c>
      <c r="D53" t="str">
        <v>La Cruz Ave</v>
      </c>
      <c r="E53" t="str">
        <v>W</v>
      </c>
      <c r="F53" s="25">
        <v>10</v>
      </c>
      <c r="G53" s="25">
        <v>3</v>
      </c>
      <c r="H53" s="26">
        <v>3</v>
      </c>
      <c r="I53" s="26">
        <v>6</v>
      </c>
      <c r="J53" s="26">
        <v>10</v>
      </c>
      <c r="K53" s="26">
        <v>6</v>
      </c>
      <c r="L53" s="25">
        <v>2.8</v>
      </c>
      <c r="M53" s="25">
        <v>2.9</v>
      </c>
      <c r="N53" s="25">
        <v>28</v>
      </c>
      <c r="O53" s="25">
        <v>29</v>
      </c>
      <c r="P53" s="25">
        <v>94</v>
      </c>
      <c r="Q53" s="25">
        <v>100</v>
      </c>
      <c r="R53" s="25">
        <v>46</v>
      </c>
      <c r="S53" s="25">
        <v>89</v>
      </c>
      <c r="T53" s="38">
        <v>319</v>
      </c>
      <c r="U53" s="38">
        <v>16634</v>
      </c>
    </row>
    <row r="54" spans="1:21" x14ac:dyDescent="0.25">
      <c r="A54">
        <v>125</v>
      </c>
      <c r="B54" t="str">
        <v>El Camino Real</v>
      </c>
      <c r="C54" t="str">
        <v>La Cruz Ave</v>
      </c>
      <c r="D54" t="str">
        <v>Hillcrest Blvd</v>
      </c>
      <c r="E54" t="str">
        <v>E</v>
      </c>
      <c r="F54" s="25">
        <v>6</v>
      </c>
      <c r="G54" s="25">
        <v>0</v>
      </c>
      <c r="H54" s="26">
        <v>3</v>
      </c>
      <c r="I54" s="26">
        <v>3</v>
      </c>
      <c r="J54" s="26">
        <v>0</v>
      </c>
      <c r="K54" s="26">
        <v>1</v>
      </c>
      <c r="L54" s="25">
        <v>1.1000000000000001</v>
      </c>
      <c r="M54" s="25">
        <v>1.7</v>
      </c>
      <c r="N54" s="25">
        <v>7</v>
      </c>
      <c r="O54" s="25">
        <v>11</v>
      </c>
      <c r="P54" s="25">
        <v>37</v>
      </c>
      <c r="Q54" s="25">
        <v>70</v>
      </c>
      <c r="R54" s="25">
        <v>14</v>
      </c>
      <c r="S54" s="25">
        <v>28</v>
      </c>
      <c r="T54" s="38">
        <v>98</v>
      </c>
      <c r="U54" s="38">
        <v>5110</v>
      </c>
    </row>
    <row r="55" spans="1:21" x14ac:dyDescent="0.25">
      <c r="A55">
        <v>128</v>
      </c>
      <c r="B55" t="str">
        <v>El Camino Real</v>
      </c>
      <c r="C55" t="str">
        <v>Sierra Ave</v>
      </c>
      <c r="D55" t="str">
        <v>La Cruz Ave</v>
      </c>
      <c r="E55" t="str">
        <v>E</v>
      </c>
      <c r="F55" s="25">
        <v>9</v>
      </c>
      <c r="G55" s="25">
        <v>0</v>
      </c>
      <c r="H55" s="26">
        <v>0</v>
      </c>
      <c r="I55" s="26">
        <v>0</v>
      </c>
      <c r="J55" s="26">
        <v>0</v>
      </c>
      <c r="K55" s="26">
        <v>3</v>
      </c>
      <c r="L55" s="25">
        <v>0.6</v>
      </c>
      <c r="M55" s="25">
        <v>1.7</v>
      </c>
      <c r="N55" s="25">
        <v>5</v>
      </c>
      <c r="O55" s="25">
        <v>15</v>
      </c>
      <c r="P55" s="25">
        <v>30</v>
      </c>
      <c r="Q55" s="25">
        <v>59</v>
      </c>
      <c r="R55" s="25">
        <v>10</v>
      </c>
      <c r="S55" s="25">
        <v>20</v>
      </c>
      <c r="T55" s="38">
        <v>70</v>
      </c>
      <c r="U55" s="38">
        <v>3650</v>
      </c>
    </row>
    <row r="56" spans="1:21" x14ac:dyDescent="0.25">
      <c r="A56">
        <v>217</v>
      </c>
      <c r="B56" t="str">
        <v>La Cruz Ave</v>
      </c>
      <c r="C56" t="str">
        <v>Broadway</v>
      </c>
      <c r="D56" t="str">
        <v>Magnolia Ave</v>
      </c>
      <c r="E56" t="str">
        <v>S</v>
      </c>
      <c r="F56" s="25">
        <v>6</v>
      </c>
      <c r="G56" s="25">
        <v>0</v>
      </c>
      <c r="H56" s="26">
        <v>1</v>
      </c>
      <c r="I56" s="26">
        <v>1</v>
      </c>
      <c r="J56" s="26">
        <v>0</v>
      </c>
      <c r="K56" s="26">
        <v>27</v>
      </c>
      <c r="L56" s="25">
        <v>0</v>
      </c>
      <c r="M56" s="25">
        <v>5.5</v>
      </c>
      <c r="N56" s="25">
        <v>0</v>
      </c>
      <c r="O56" s="25">
        <v>33</v>
      </c>
      <c r="P56" s="25">
        <v>0</v>
      </c>
      <c r="Q56" s="25">
        <v>47</v>
      </c>
      <c r="R56" s="25">
        <v>0</v>
      </c>
      <c r="S56" s="25">
        <v>0</v>
      </c>
      <c r="T56" s="38">
        <v>0</v>
      </c>
      <c r="U56" s="38">
        <v>0</v>
      </c>
    </row>
    <row r="57" spans="1:21" x14ac:dyDescent="0.25">
      <c r="A57">
        <v>219</v>
      </c>
      <c r="B57" t="str">
        <v>La Cruz Ave</v>
      </c>
      <c r="C57" t="str">
        <v>Broadway</v>
      </c>
      <c r="D57" t="str">
        <v>El Camino Real</v>
      </c>
      <c r="E57" t="str">
        <v>S</v>
      </c>
      <c r="F57" s="25">
        <v>7</v>
      </c>
      <c r="G57" s="25">
        <v>2</v>
      </c>
      <c r="H57" s="26">
        <v>3</v>
      </c>
      <c r="I57" s="26">
        <v>5</v>
      </c>
      <c r="J57" s="26">
        <v>10</v>
      </c>
      <c r="K57" s="26">
        <v>4</v>
      </c>
      <c r="L57" s="25">
        <v>3.4</v>
      </c>
      <c r="M57" s="25">
        <v>3.1</v>
      </c>
      <c r="N57" s="25">
        <v>24</v>
      </c>
      <c r="O57" s="25">
        <v>22</v>
      </c>
      <c r="P57" s="25">
        <v>64</v>
      </c>
      <c r="Q57" s="25">
        <v>66</v>
      </c>
      <c r="R57" s="25">
        <v>38</v>
      </c>
      <c r="S57" s="25">
        <v>73</v>
      </c>
      <c r="T57" s="38">
        <v>263</v>
      </c>
      <c r="U57" s="38">
        <v>13714</v>
      </c>
    </row>
    <row r="58" spans="1:21" x14ac:dyDescent="0.25">
      <c r="A58">
        <v>126</v>
      </c>
      <c r="B58" t="str">
        <v>El Camino Real</v>
      </c>
      <c r="C58" t="str">
        <v>La Cruz Ave</v>
      </c>
      <c r="D58" t="str">
        <v>Victoria Ave</v>
      </c>
      <c r="E58" t="str">
        <v>W</v>
      </c>
      <c r="F58" s="25">
        <v>20</v>
      </c>
      <c r="G58" s="25">
        <v>0</v>
      </c>
      <c r="H58" s="26">
        <v>1</v>
      </c>
      <c r="I58" s="26">
        <v>1</v>
      </c>
      <c r="J58" s="26">
        <v>30</v>
      </c>
      <c r="K58" s="26">
        <v>23</v>
      </c>
      <c r="L58" s="25">
        <v>3.2</v>
      </c>
      <c r="M58" s="25">
        <v>3.3</v>
      </c>
      <c r="N58" s="25">
        <v>64</v>
      </c>
      <c r="O58" s="25">
        <v>65</v>
      </c>
      <c r="P58" s="25">
        <v>139</v>
      </c>
      <c r="Q58" s="25">
        <v>145</v>
      </c>
      <c r="R58" s="25">
        <v>98</v>
      </c>
      <c r="S58" s="25">
        <v>176</v>
      </c>
      <c r="T58" s="38">
        <v>666</v>
      </c>
      <c r="U58" s="38">
        <v>34730</v>
      </c>
    </row>
    <row r="59" spans="1:21" x14ac:dyDescent="0.25">
      <c r="A59">
        <v>91</v>
      </c>
      <c r="B59" t="str">
        <v>Broadway</v>
      </c>
      <c r="C59" t="str">
        <v>Victoria Ave</v>
      </c>
      <c r="D59" t="str">
        <v>La Cruz Ave</v>
      </c>
      <c r="E59" t="str">
        <v>E</v>
      </c>
      <c r="F59" s="25">
        <v>15</v>
      </c>
      <c r="G59" s="25">
        <v>2</v>
      </c>
      <c r="H59" s="26">
        <v>3</v>
      </c>
      <c r="I59" s="26">
        <v>5</v>
      </c>
      <c r="J59" s="26">
        <v>88</v>
      </c>
      <c r="K59" s="26">
        <v>70</v>
      </c>
      <c r="L59" s="25">
        <v>6.7</v>
      </c>
      <c r="M59" s="25">
        <v>6.1</v>
      </c>
      <c r="N59" s="25">
        <v>100</v>
      </c>
      <c r="O59" s="25">
        <v>91</v>
      </c>
      <c r="P59" s="25">
        <v>131</v>
      </c>
      <c r="Q59" s="25">
        <v>122</v>
      </c>
      <c r="R59" s="25">
        <v>112</v>
      </c>
      <c r="S59" s="25">
        <v>219</v>
      </c>
      <c r="T59" s="38">
        <v>779</v>
      </c>
      <c r="U59" s="38">
        <v>40620</v>
      </c>
    </row>
    <row r="60" spans="1:21" x14ac:dyDescent="0.25">
      <c r="A60">
        <v>90</v>
      </c>
      <c r="B60" t="str">
        <v>Broadway</v>
      </c>
      <c r="C60" t="str">
        <v>La Cruz Ave</v>
      </c>
      <c r="D60" t="str">
        <v>Victoria Ave</v>
      </c>
      <c r="E60" t="str">
        <v>W</v>
      </c>
      <c r="F60" s="25">
        <v>21</v>
      </c>
      <c r="G60" s="25">
        <v>1</v>
      </c>
      <c r="H60" s="26">
        <v>2</v>
      </c>
      <c r="I60" s="26">
        <v>3</v>
      </c>
      <c r="J60" s="26">
        <v>76</v>
      </c>
      <c r="K60" s="26">
        <v>96</v>
      </c>
      <c r="L60" s="25">
        <v>5.0999999999999996</v>
      </c>
      <c r="M60" s="25">
        <v>6.1</v>
      </c>
      <c r="N60" s="25">
        <v>108</v>
      </c>
      <c r="O60" s="25">
        <v>128</v>
      </c>
      <c r="P60" s="25">
        <v>161</v>
      </c>
      <c r="Q60" s="25">
        <v>176</v>
      </c>
      <c r="R60" s="25">
        <v>140</v>
      </c>
      <c r="S60" s="25">
        <v>257</v>
      </c>
      <c r="T60" s="38">
        <v>957</v>
      </c>
      <c r="U60" s="38">
        <v>49904</v>
      </c>
    </row>
    <row r="61" spans="1:21" x14ac:dyDescent="0.25">
      <c r="A61">
        <v>224</v>
      </c>
      <c r="B61" t="str">
        <v>Victoria Ave</v>
      </c>
      <c r="C61" t="str">
        <v>El Camino Real</v>
      </c>
      <c r="D61" t="str">
        <v>Broadway</v>
      </c>
      <c r="E61" t="str">
        <v>N</v>
      </c>
      <c r="F61" s="25">
        <v>7</v>
      </c>
      <c r="G61" s="25">
        <v>3</v>
      </c>
      <c r="H61" s="26">
        <v>3</v>
      </c>
      <c r="I61" s="26">
        <v>6</v>
      </c>
      <c r="J61" s="26">
        <v>6</v>
      </c>
      <c r="K61" s="26">
        <v>18</v>
      </c>
      <c r="L61" s="25">
        <v>2.4</v>
      </c>
      <c r="M61" s="25">
        <v>4.4000000000000004</v>
      </c>
      <c r="N61" s="25">
        <v>16</v>
      </c>
      <c r="O61" s="25">
        <v>29</v>
      </c>
      <c r="P61" s="25">
        <v>65</v>
      </c>
      <c r="Q61" s="25">
        <v>65</v>
      </c>
      <c r="R61" s="25">
        <v>26</v>
      </c>
      <c r="S61" s="25">
        <v>52</v>
      </c>
      <c r="T61" s="38">
        <v>182</v>
      </c>
      <c r="U61" s="38">
        <v>9490</v>
      </c>
    </row>
    <row r="62" spans="1:21" x14ac:dyDescent="0.25">
      <c r="A62">
        <v>225</v>
      </c>
      <c r="B62" t="str">
        <v>Victoria Ave</v>
      </c>
      <c r="C62" t="str">
        <v>Broadway</v>
      </c>
      <c r="D62" t="str">
        <v>El Camino Real</v>
      </c>
      <c r="E62" t="str">
        <v>S</v>
      </c>
      <c r="F62" s="25">
        <v>8</v>
      </c>
      <c r="G62" s="25">
        <v>1</v>
      </c>
      <c r="H62" s="26">
        <v>1</v>
      </c>
      <c r="I62" s="26">
        <v>2</v>
      </c>
      <c r="J62" s="26">
        <v>10</v>
      </c>
      <c r="K62" s="26">
        <v>9</v>
      </c>
      <c r="L62" s="25">
        <v>3.3</v>
      </c>
      <c r="M62" s="25">
        <v>2.1</v>
      </c>
      <c r="N62" s="25">
        <v>27</v>
      </c>
      <c r="O62" s="25">
        <v>17</v>
      </c>
      <c r="P62" s="25">
        <v>67</v>
      </c>
      <c r="Q62" s="25">
        <v>65</v>
      </c>
      <c r="R62" s="25">
        <v>44</v>
      </c>
      <c r="S62" s="25">
        <v>77</v>
      </c>
      <c r="T62" s="38">
        <v>297</v>
      </c>
      <c r="U62" s="38">
        <v>15488</v>
      </c>
    </row>
    <row r="63" spans="1:21" x14ac:dyDescent="0.25">
      <c r="A63">
        <v>127</v>
      </c>
      <c r="B63" t="str">
        <v>El Camino Real E</v>
      </c>
      <c r="C63" t="str">
        <v>La Cruz Ave</v>
      </c>
      <c r="D63" t="str">
        <v>Victoria Ave</v>
      </c>
      <c r="E63" t="str">
        <v>W</v>
      </c>
      <c r="F63" s="25">
        <v>16</v>
      </c>
      <c r="G63" s="25">
        <v>3</v>
      </c>
      <c r="H63" s="26">
        <v>3</v>
      </c>
      <c r="I63" s="26">
        <v>6</v>
      </c>
      <c r="J63" s="26">
        <v>21</v>
      </c>
      <c r="K63" s="26">
        <v>24</v>
      </c>
      <c r="L63" s="25">
        <v>3.4</v>
      </c>
      <c r="M63" s="25">
        <v>4.5999999999999996</v>
      </c>
      <c r="N63" s="25">
        <v>55</v>
      </c>
      <c r="O63" s="25">
        <v>74</v>
      </c>
      <c r="P63" s="25">
        <v>148</v>
      </c>
      <c r="Q63" s="25">
        <v>154</v>
      </c>
      <c r="R63" s="25">
        <v>89</v>
      </c>
      <c r="S63" s="25">
        <v>165</v>
      </c>
      <c r="T63" s="38">
        <v>610</v>
      </c>
      <c r="U63" s="38">
        <v>31809</v>
      </c>
    </row>
    <row r="64" spans="1:21" x14ac:dyDescent="0.25">
      <c r="A64">
        <v>129</v>
      </c>
      <c r="B64" t="str">
        <v>El Camino Real</v>
      </c>
      <c r="C64" t="str">
        <v>Victoria Ave</v>
      </c>
      <c r="D64" t="str">
        <v>Chadbourne Ave</v>
      </c>
      <c r="E64" t="str">
        <v>W</v>
      </c>
      <c r="F64" s="25">
        <v>25</v>
      </c>
      <c r="G64" s="25">
        <v>1</v>
      </c>
      <c r="H64" s="26">
        <v>3</v>
      </c>
      <c r="I64" s="26">
        <v>4</v>
      </c>
      <c r="J64" s="26">
        <v>25</v>
      </c>
      <c r="K64" s="26">
        <v>68</v>
      </c>
      <c r="L64" s="25">
        <v>2.6</v>
      </c>
      <c r="M64" s="25">
        <v>4.8</v>
      </c>
      <c r="N64" s="25">
        <v>66</v>
      </c>
      <c r="O64" s="25">
        <v>119</v>
      </c>
      <c r="P64" s="25">
        <v>139</v>
      </c>
      <c r="Q64" s="25">
        <v>189</v>
      </c>
      <c r="R64" s="25">
        <v>107</v>
      </c>
      <c r="S64" s="25">
        <v>198</v>
      </c>
      <c r="T64" s="38">
        <v>733</v>
      </c>
      <c r="U64" s="38">
        <v>38223</v>
      </c>
    </row>
    <row r="65" spans="1:21" x14ac:dyDescent="0.25">
      <c r="A65">
        <v>130</v>
      </c>
      <c r="B65" t="str">
        <v>El Camino Real E</v>
      </c>
      <c r="C65" t="str">
        <v>Victoria Ave</v>
      </c>
      <c r="D65" t="str">
        <v>Chadbourne Ave</v>
      </c>
      <c r="E65" t="str">
        <v>W</v>
      </c>
      <c r="F65" s="25">
        <v>14</v>
      </c>
      <c r="G65" s="25">
        <v>0</v>
      </c>
      <c r="H65" s="26">
        <v>2</v>
      </c>
      <c r="I65" s="26">
        <v>2</v>
      </c>
      <c r="J65" s="26">
        <v>15</v>
      </c>
      <c r="K65" s="26">
        <v>29</v>
      </c>
      <c r="L65" s="25">
        <v>2.2999999999999998</v>
      </c>
      <c r="M65" s="25">
        <v>4.4000000000000004</v>
      </c>
      <c r="N65" s="25">
        <v>32</v>
      </c>
      <c r="O65" s="25">
        <v>61</v>
      </c>
      <c r="P65" s="25">
        <v>53</v>
      </c>
      <c r="Q65" s="25">
        <v>109</v>
      </c>
      <c r="R65" s="25">
        <v>49</v>
      </c>
      <c r="S65" s="25">
        <v>85</v>
      </c>
      <c r="T65" s="38">
        <v>330</v>
      </c>
      <c r="U65" s="38">
        <v>17209</v>
      </c>
    </row>
    <row r="66" spans="1:21" x14ac:dyDescent="0.25">
      <c r="A66">
        <v>131</v>
      </c>
      <c r="B66" t="str">
        <v>El Camino Real</v>
      </c>
      <c r="C66" t="str">
        <v>Linden Ave</v>
      </c>
      <c r="D66" t="str">
        <v>Sierra Ave</v>
      </c>
      <c r="E66" t="str">
        <v>E</v>
      </c>
      <c r="F66" s="25">
        <v>8</v>
      </c>
      <c r="G66" s="25">
        <v>2</v>
      </c>
      <c r="H66" s="26">
        <v>1</v>
      </c>
      <c r="I66" s="26">
        <v>3</v>
      </c>
      <c r="J66" s="26">
        <v>8</v>
      </c>
      <c r="K66" s="26">
        <v>18</v>
      </c>
      <c r="L66" s="25">
        <v>2.2999999999999998</v>
      </c>
      <c r="M66" s="25">
        <v>3.3</v>
      </c>
      <c r="N66" s="25">
        <v>19</v>
      </c>
      <c r="O66" s="25">
        <v>28</v>
      </c>
      <c r="P66" s="25">
        <v>64</v>
      </c>
      <c r="Q66" s="25">
        <v>59</v>
      </c>
      <c r="R66" s="25">
        <v>30</v>
      </c>
      <c r="S66" s="25">
        <v>59</v>
      </c>
      <c r="T66" s="38">
        <v>209</v>
      </c>
      <c r="U66" s="38">
        <v>10898</v>
      </c>
    </row>
    <row r="67" spans="1:21" x14ac:dyDescent="0.25">
      <c r="A67">
        <v>132</v>
      </c>
      <c r="B67" t="str">
        <v>El Camino Real</v>
      </c>
      <c r="C67" t="str">
        <v>Chadbourne Ave</v>
      </c>
      <c r="D67" t="str">
        <v>Millbrae Ave</v>
      </c>
      <c r="E67" t="str">
        <v>W</v>
      </c>
      <c r="F67" s="25">
        <v>4</v>
      </c>
      <c r="G67" s="25">
        <v>0</v>
      </c>
      <c r="H67" s="26">
        <v>1</v>
      </c>
      <c r="I67" s="26">
        <v>1</v>
      </c>
      <c r="J67" s="26">
        <v>0</v>
      </c>
      <c r="K67" s="26">
        <v>10</v>
      </c>
      <c r="L67" s="25">
        <v>1</v>
      </c>
      <c r="M67" s="25">
        <v>3.3</v>
      </c>
      <c r="N67" s="25">
        <v>4</v>
      </c>
      <c r="O67" s="25">
        <v>14</v>
      </c>
      <c r="P67" s="25">
        <v>20</v>
      </c>
      <c r="Q67" s="25">
        <v>27</v>
      </c>
      <c r="R67" s="25">
        <v>8</v>
      </c>
      <c r="S67" s="25">
        <v>16</v>
      </c>
      <c r="T67" s="38">
        <v>56</v>
      </c>
      <c r="U67" s="38">
        <v>2920</v>
      </c>
    </row>
    <row r="68" spans="1:21" x14ac:dyDescent="0.25">
      <c r="A68">
        <v>145</v>
      </c>
      <c r="B68" t="str">
        <v>Sierra Ave</v>
      </c>
      <c r="C68" t="str">
        <v>El Camino Real</v>
      </c>
      <c r="D68" t="str">
        <v>Linden Ave</v>
      </c>
      <c r="E68" t="str">
        <v>E</v>
      </c>
      <c r="F68" s="25">
        <v>14</v>
      </c>
      <c r="G68" s="25">
        <v>0</v>
      </c>
      <c r="H68" s="26">
        <v>0</v>
      </c>
      <c r="I68" s="26">
        <v>0</v>
      </c>
      <c r="J68" s="26">
        <v>3</v>
      </c>
      <c r="K68" s="26">
        <v>8</v>
      </c>
      <c r="L68" s="25">
        <v>0.4</v>
      </c>
      <c r="M68" s="25">
        <v>0.9</v>
      </c>
      <c r="N68" s="25">
        <v>5</v>
      </c>
      <c r="O68" s="25">
        <v>12</v>
      </c>
      <c r="P68" s="25">
        <v>13</v>
      </c>
      <c r="Q68" s="25">
        <v>30</v>
      </c>
      <c r="R68" s="25">
        <v>7</v>
      </c>
      <c r="S68" s="25">
        <v>14</v>
      </c>
      <c r="T68" s="38">
        <v>49</v>
      </c>
      <c r="U68" s="38">
        <v>2555</v>
      </c>
    </row>
    <row r="69" spans="1:21" x14ac:dyDescent="0.25">
      <c r="A69">
        <v>144</v>
      </c>
      <c r="B69" t="str">
        <v>Sierra Ave</v>
      </c>
      <c r="C69" t="str">
        <v>Linden Ave</v>
      </c>
      <c r="D69" t="str">
        <v>El Camino Real</v>
      </c>
      <c r="E69" t="str">
        <v>W</v>
      </c>
      <c r="F69" s="25">
        <v>11</v>
      </c>
      <c r="G69" s="25">
        <v>0</v>
      </c>
      <c r="H69" s="26">
        <v>0</v>
      </c>
      <c r="I69" s="26">
        <v>0</v>
      </c>
      <c r="J69" s="26">
        <v>4</v>
      </c>
      <c r="K69" s="26">
        <v>12</v>
      </c>
      <c r="L69" s="25">
        <v>1.2</v>
      </c>
      <c r="M69" s="25">
        <v>1.7</v>
      </c>
      <c r="N69" s="25">
        <v>13</v>
      </c>
      <c r="O69" s="25">
        <v>18</v>
      </c>
      <c r="P69" s="25">
        <v>32</v>
      </c>
      <c r="Q69" s="25">
        <v>33</v>
      </c>
      <c r="R69" s="25">
        <v>22</v>
      </c>
      <c r="S69" s="25">
        <v>40</v>
      </c>
      <c r="T69" s="38">
        <v>150</v>
      </c>
      <c r="U69" s="38">
        <v>7822</v>
      </c>
    </row>
    <row r="70" spans="1:21" x14ac:dyDescent="0.25">
      <c r="A70">
        <v>240</v>
      </c>
      <c r="B70" t="str">
        <v>Linden Ave</v>
      </c>
      <c r="C70" t="str">
        <v>Sierra Ave</v>
      </c>
      <c r="D70" t="str">
        <v>El Camino Real</v>
      </c>
      <c r="E70" t="str">
        <v>N</v>
      </c>
      <c r="F70" s="25">
        <v>3</v>
      </c>
      <c r="G70" s="25">
        <v>3</v>
      </c>
      <c r="H70" s="26">
        <v>1</v>
      </c>
      <c r="I70" s="26">
        <v>4</v>
      </c>
      <c r="J70" s="26">
        <v>0</v>
      </c>
      <c r="K70" s="26">
        <v>0</v>
      </c>
      <c r="L70" s="25">
        <v>0.9</v>
      </c>
      <c r="M70" s="25">
        <v>1.3</v>
      </c>
      <c r="N70" s="25">
        <v>3</v>
      </c>
      <c r="O70" s="25">
        <v>4</v>
      </c>
      <c r="P70" s="25">
        <v>30</v>
      </c>
      <c r="Q70" s="25">
        <v>22</v>
      </c>
      <c r="R70" s="25">
        <v>6</v>
      </c>
      <c r="S70" s="25">
        <v>12</v>
      </c>
      <c r="T70" s="38">
        <v>42</v>
      </c>
      <c r="U70" s="38">
        <v>2190</v>
      </c>
    </row>
    <row r="71" spans="1:21" x14ac:dyDescent="0.25">
      <c r="A71">
        <v>241</v>
      </c>
      <c r="B71" t="str">
        <v>Linden Ave</v>
      </c>
      <c r="C71" t="str">
        <v>El Camino Real</v>
      </c>
      <c r="D71" t="str">
        <v>Sierra Ave</v>
      </c>
      <c r="E71" t="str">
        <v>S</v>
      </c>
      <c r="F71" s="25">
        <v>2</v>
      </c>
      <c r="G71" s="25">
        <v>0</v>
      </c>
      <c r="H71" s="26">
        <v>0</v>
      </c>
      <c r="I71" s="26">
        <v>0</v>
      </c>
      <c r="J71" s="26">
        <v>0</v>
      </c>
      <c r="K71" s="26">
        <v>1</v>
      </c>
      <c r="L71" s="25">
        <v>0</v>
      </c>
      <c r="M71" s="25">
        <v>1</v>
      </c>
      <c r="N71" s="25">
        <v>0</v>
      </c>
      <c r="O71" s="25">
        <v>2</v>
      </c>
      <c r="P71" s="25">
        <v>0</v>
      </c>
      <c r="Q71" s="25">
        <v>3</v>
      </c>
      <c r="R71" s="25">
        <v>0</v>
      </c>
      <c r="S71" s="25">
        <v>0</v>
      </c>
      <c r="T71" s="38">
        <v>0</v>
      </c>
      <c r="U71" s="38">
        <v>0</v>
      </c>
    </row>
    <row r="72" spans="1:21" x14ac:dyDescent="0.25">
      <c r="A72">
        <v>207</v>
      </c>
      <c r="B72" t="str">
        <v>Hillcrest Blvd</v>
      </c>
      <c r="C72" t="str">
        <v>Magnolia Ave</v>
      </c>
      <c r="D72" t="str">
        <v>Broadway</v>
      </c>
      <c r="E72" t="str">
        <v>S</v>
      </c>
      <c r="F72" s="25">
        <v>6</v>
      </c>
      <c r="G72" s="25">
        <v>1</v>
      </c>
      <c r="H72" s="26">
        <v>1</v>
      </c>
      <c r="I72" s="26">
        <v>2</v>
      </c>
      <c r="J72" s="26">
        <v>18</v>
      </c>
      <c r="K72" s="26">
        <v>11</v>
      </c>
      <c r="L72" s="25">
        <v>4.3</v>
      </c>
      <c r="M72" s="25">
        <v>3.5</v>
      </c>
      <c r="N72" s="25">
        <v>25</v>
      </c>
      <c r="O72" s="25">
        <v>20</v>
      </c>
      <c r="P72" s="25">
        <v>41</v>
      </c>
      <c r="Q72" s="25">
        <v>36</v>
      </c>
      <c r="R72" s="25">
        <v>32</v>
      </c>
      <c r="S72" s="25">
        <v>62</v>
      </c>
      <c r="T72" s="38">
        <v>222</v>
      </c>
      <c r="U72" s="38">
        <v>11576</v>
      </c>
    </row>
    <row r="73" spans="1:21" x14ac:dyDescent="0.25">
      <c r="A73">
        <v>902</v>
      </c>
      <c r="B73">
        <v>0</v>
      </c>
      <c r="C73" t="str">
        <v>300 Magnolia Lot</v>
      </c>
      <c r="D73">
        <v>0</v>
      </c>
      <c r="E73">
        <v>0</v>
      </c>
      <c r="F73" s="25">
        <v>104</v>
      </c>
      <c r="G73" s="25">
        <v>1</v>
      </c>
      <c r="H73" s="26">
        <v>2</v>
      </c>
      <c r="I73" s="26">
        <v>3</v>
      </c>
      <c r="J73" s="26">
        <v>0</v>
      </c>
      <c r="K73" s="26">
        <v>0</v>
      </c>
      <c r="L73" s="25">
        <v>2</v>
      </c>
      <c r="M73" s="25">
        <v>6.8</v>
      </c>
      <c r="N73" s="25">
        <v>212</v>
      </c>
      <c r="O73" s="25">
        <v>705</v>
      </c>
      <c r="P73" s="25">
        <v>774</v>
      </c>
      <c r="Q73" s="25">
        <v>1687</v>
      </c>
      <c r="R73" s="25">
        <v>370</v>
      </c>
      <c r="S73" s="25">
        <v>703</v>
      </c>
      <c r="T73" s="38">
        <v>2553</v>
      </c>
      <c r="U73" s="38">
        <v>133126</v>
      </c>
    </row>
    <row r="74" spans="1:21" x14ac:dyDescent="0.25">
      <c r="A74">
        <v>903</v>
      </c>
      <c r="B74">
        <v>0</v>
      </c>
      <c r="C74" t="str">
        <v>446 Broadway Lot</v>
      </c>
      <c r="D74">
        <v>0</v>
      </c>
      <c r="E74">
        <v>0</v>
      </c>
      <c r="F74" s="25">
        <v>62</v>
      </c>
      <c r="G74" s="25">
        <v>0</v>
      </c>
      <c r="H74" s="26">
        <v>1</v>
      </c>
      <c r="I74" s="26">
        <v>1</v>
      </c>
      <c r="J74" s="26">
        <v>54</v>
      </c>
      <c r="K74" s="26">
        <v>393</v>
      </c>
      <c r="L74" s="25">
        <v>2.5</v>
      </c>
      <c r="M74" s="25">
        <v>5</v>
      </c>
      <c r="N74" s="25">
        <v>158</v>
      </c>
      <c r="O74" s="25">
        <v>310</v>
      </c>
      <c r="P74" s="25">
        <v>414</v>
      </c>
      <c r="Q74" s="25">
        <v>914</v>
      </c>
      <c r="R74" s="25">
        <v>233</v>
      </c>
      <c r="S74" s="25">
        <v>442</v>
      </c>
      <c r="T74" s="38">
        <v>1607</v>
      </c>
      <c r="U74" s="38">
        <v>83797</v>
      </c>
    </row>
    <row r="75" spans="1:21" x14ac:dyDescent="0.25">
      <c r="A75">
        <v>904</v>
      </c>
      <c r="B75">
        <v>0</v>
      </c>
      <c r="C75" t="str">
        <v>238 Broadway Lot</v>
      </c>
      <c r="D75">
        <v>0</v>
      </c>
      <c r="E75">
        <v>0</v>
      </c>
      <c r="F75" s="25">
        <v>50</v>
      </c>
      <c r="G75" s="25">
        <v>2</v>
      </c>
      <c r="H75" s="26">
        <v>2</v>
      </c>
      <c r="I75" s="26">
        <v>4</v>
      </c>
      <c r="J75" s="26">
        <v>83</v>
      </c>
      <c r="K75" s="26">
        <v>114</v>
      </c>
      <c r="L75" s="25">
        <v>2.5</v>
      </c>
      <c r="M75" s="25">
        <v>4.032258064516129</v>
      </c>
      <c r="N75" s="25">
        <v>127.41935483870968</v>
      </c>
      <c r="O75" s="25">
        <v>250</v>
      </c>
      <c r="P75" s="25">
        <v>333.87096774193549</v>
      </c>
      <c r="Q75" s="25">
        <v>737.0967741935483</v>
      </c>
      <c r="R75" s="25">
        <v>187.90322580645159</v>
      </c>
      <c r="S75" s="25">
        <v>356.45161290322579</v>
      </c>
      <c r="T75" s="38">
        <v>1295.9677419354837</v>
      </c>
      <c r="U75" s="38">
        <v>67578.225806451606</v>
      </c>
    </row>
    <row r="76" spans="1:21" x14ac:dyDescent="0.25">
      <c r="A76">
        <v>905</v>
      </c>
      <c r="B76">
        <v>0</v>
      </c>
      <c r="C76" t="str">
        <v>Park Pl Lot</v>
      </c>
      <c r="D76">
        <v>0</v>
      </c>
      <c r="E76">
        <v>0</v>
      </c>
      <c r="F76" s="25">
        <v>55</v>
      </c>
      <c r="G76" s="25">
        <v>0</v>
      </c>
      <c r="H76" s="26">
        <v>1</v>
      </c>
      <c r="I76" s="26">
        <v>1</v>
      </c>
      <c r="J76" s="26">
        <v>66.935483870967744</v>
      </c>
      <c r="K76" s="26">
        <v>91.935483870967744</v>
      </c>
      <c r="L76" s="25">
        <v>2.5</v>
      </c>
      <c r="M76" s="25">
        <v>4.435483870967742</v>
      </c>
      <c r="N76" s="25">
        <v>140.16129032258064</v>
      </c>
      <c r="O76" s="25">
        <v>275</v>
      </c>
      <c r="P76" s="25">
        <v>367.25806451612908</v>
      </c>
      <c r="Q76" s="25">
        <v>810.80645161290317</v>
      </c>
      <c r="R76" s="25">
        <v>206.69354838709677</v>
      </c>
      <c r="S76" s="25">
        <v>392.09677419354841</v>
      </c>
      <c r="T76" s="38">
        <v>1425.5645161290322</v>
      </c>
      <c r="U76" s="38">
        <v>74336.048387096773</v>
      </c>
    </row>
  </sheetData>
  <mergeCells count="13">
    <mergeCell ref="G1:I1"/>
    <mergeCell ref="L1:M1"/>
    <mergeCell ref="N1:O1"/>
    <mergeCell ref="P1:Q1"/>
    <mergeCell ref="W17:W18"/>
    <mergeCell ref="T1:U1"/>
    <mergeCell ref="R1:S1"/>
    <mergeCell ref="W3:X3"/>
    <mergeCell ref="W19:X19"/>
    <mergeCell ref="W20:X20"/>
    <mergeCell ref="W13:X13"/>
    <mergeCell ref="W14:X14"/>
    <mergeCell ref="W11:W12"/>
  </mergeCells>
  <phoneticPr fontId="6" type="noConversion"/>
  <conditionalFormatting sqref="A1:E1 G1 L1 N1 T1">
    <cfRule type="expression" dxfId="31" priority="10" stopIfTrue="1">
      <formula xml:space="preserve"> #REF!= "YES"</formula>
    </cfRule>
  </conditionalFormatting>
  <conditionalFormatting sqref="A2:Q2">
    <cfRule type="expression" dxfId="30" priority="32" stopIfTrue="1">
      <formula xml:space="preserve"> #REF!= "YES"</formula>
    </cfRule>
  </conditionalFormatting>
  <conditionalFormatting sqref="H2:K2">
    <cfRule type="cellIs" dxfId="29" priority="6" stopIfTrue="1" operator="equal">
      <formula>8</formula>
    </cfRule>
  </conditionalFormatting>
  <conditionalFormatting sqref="H3:U65516 A3:F65516">
    <cfRule type="expression" dxfId="28" priority="33" stopIfTrue="1">
      <formula xml:space="preserve"> #REF!= "YES"</formula>
    </cfRule>
  </conditionalFormatting>
  <conditionalFormatting sqref="I2:K2">
    <cfRule type="colorScale" priority="1">
      <colorScale>
        <cfvo type="num" val="0"/>
        <cfvo type="percentile" val="50"/>
        <cfvo type="num" val="9"/>
        <color theme="9" tint="0.79998168889431442"/>
        <color theme="7" tint="0.59999389629810485"/>
        <color theme="5"/>
      </colorScale>
    </cfRule>
  </conditionalFormatting>
  <conditionalFormatting sqref="I2:K1048576">
    <cfRule type="colorScale" priority="5">
      <colorScale>
        <cfvo type="num" val="0"/>
        <cfvo type="percentile" val="50"/>
        <cfvo type="num" val="9"/>
        <color theme="9" tint="0.79998168889431442"/>
        <color theme="7" tint="0.59999389629810485"/>
        <color theme="5"/>
      </colorScale>
    </cfRule>
  </conditionalFormatting>
  <conditionalFormatting sqref="P1">
    <cfRule type="expression" dxfId="27" priority="4" stopIfTrue="1">
      <formula xml:space="preserve"> #REF!= "YES"</formula>
    </cfRule>
  </conditionalFormatting>
  <conditionalFormatting sqref="R2:U2">
    <cfRule type="expression" dxfId="26" priority="2" stopIfTrue="1">
      <formula xml:space="preserve"> $T2= "YES"</formula>
    </cfRule>
  </conditionalFormatting>
  <pageMargins left="0.7" right="0.7" top="0.75" bottom="0.75" header="0.3" footer="0.3"/>
  <pageSetup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6F82-C698-46A6-898C-EDD39BAA4F5D}">
  <sheetPr>
    <tabColor theme="9" tint="-0.249977111117893"/>
  </sheetPr>
  <dimension ref="A1:AD76"/>
  <sheetViews>
    <sheetView topLeftCell="A16" workbookViewId="0">
      <selection activeCell="K3" sqref="K3:K76"/>
    </sheetView>
  </sheetViews>
  <sheetFormatPr defaultRowHeight="12.5" x14ac:dyDescent="0.25"/>
  <cols>
    <col min="1" max="1" width="9.1796875" bestFit="1" customWidth="1"/>
    <col min="2" max="4" width="20.7265625" customWidth="1"/>
    <col min="6" max="7" width="12.7265625" style="25" customWidth="1"/>
    <col min="8" max="11" width="12.7265625" style="26" customWidth="1"/>
    <col min="12" max="19" width="12.7265625" style="25" customWidth="1"/>
    <col min="20" max="21" width="12.7265625" style="38" customWidth="1"/>
    <col min="22" max="22" width="4.81640625" customWidth="1"/>
    <col min="23" max="23" width="20.54296875" customWidth="1"/>
    <col min="25" max="29" width="13.7265625" customWidth="1"/>
    <col min="31" max="31" width="9.1796875" customWidth="1"/>
  </cols>
  <sheetData>
    <row r="1" spans="1:30" ht="26.25" customHeight="1" x14ac:dyDescent="0.3">
      <c r="A1" s="6"/>
      <c r="B1" s="6"/>
      <c r="C1" s="6"/>
      <c r="D1" s="6"/>
      <c r="E1" s="27"/>
      <c r="F1" s="24"/>
      <c r="G1" s="201" t="s">
        <v>132</v>
      </c>
      <c r="H1" s="202"/>
      <c r="I1" s="203"/>
      <c r="J1" s="193"/>
      <c r="K1" s="193"/>
      <c r="L1" s="217" t="s">
        <v>133</v>
      </c>
      <c r="M1" s="218"/>
      <c r="N1" s="201" t="s">
        <v>135</v>
      </c>
      <c r="O1" s="203"/>
      <c r="P1" s="201" t="s">
        <v>134</v>
      </c>
      <c r="Q1" s="203"/>
      <c r="R1" s="221" t="s">
        <v>148</v>
      </c>
      <c r="S1" s="222"/>
      <c r="T1" s="220" t="s">
        <v>238</v>
      </c>
      <c r="U1" s="220"/>
      <c r="V1" s="3"/>
    </row>
    <row r="2" spans="1:30" s="2" customFormat="1" ht="26" x14ac:dyDescent="0.3">
      <c r="A2" s="5" t="s">
        <v>8</v>
      </c>
      <c r="B2" s="5" t="s">
        <v>9</v>
      </c>
      <c r="C2" s="5" t="s">
        <v>128</v>
      </c>
      <c r="D2" s="5" t="s">
        <v>10</v>
      </c>
      <c r="E2" s="30" t="s">
        <v>139</v>
      </c>
      <c r="F2" s="5" t="s">
        <v>140</v>
      </c>
      <c r="G2" s="5" t="s">
        <v>129</v>
      </c>
      <c r="H2" s="5" t="s">
        <v>130</v>
      </c>
      <c r="I2" s="5" t="s">
        <v>131</v>
      </c>
      <c r="J2" s="5"/>
      <c r="K2" s="5"/>
      <c r="L2" s="5" t="s">
        <v>129</v>
      </c>
      <c r="M2" s="5" t="s">
        <v>130</v>
      </c>
      <c r="N2" s="5" t="s">
        <v>129</v>
      </c>
      <c r="O2" s="5" t="s">
        <v>130</v>
      </c>
      <c r="P2" s="5" t="s">
        <v>129</v>
      </c>
      <c r="Q2" s="45" t="s">
        <v>130</v>
      </c>
      <c r="R2" s="5" t="s">
        <v>129</v>
      </c>
      <c r="S2" s="5" t="s">
        <v>130</v>
      </c>
      <c r="T2" s="36" t="s">
        <v>136</v>
      </c>
      <c r="U2" s="36" t="s">
        <v>137</v>
      </c>
      <c r="V2" s="29"/>
      <c r="W2" s="29"/>
    </row>
    <row r="3" spans="1:30" x14ac:dyDescent="0.25">
      <c r="A3" s="23" cm="1">
        <f t="array" ref="A3:E76">_xlfn._xlws.FILTER(All!A3:E269, All!S3:S269 = "Yes", "")</f>
        <v>154</v>
      </c>
      <c r="B3" s="23" t="str">
        <v>Park Pl</v>
      </c>
      <c r="C3" s="23" t="str">
        <v>El Camino Real</v>
      </c>
      <c r="D3" s="23" t="str">
        <v>Park Blvd</v>
      </c>
      <c r="E3" s="23" t="str">
        <v>N</v>
      </c>
      <c r="F3" s="24" cm="1">
        <f t="array" ref="F3:F76">_xlfn._xlws.FILTER(All!AC3:AC269,All!S3:S269="Yes","")</f>
        <v>8</v>
      </c>
      <c r="G3" s="24" cm="1">
        <f t="array" ref="G3:Q76">_xlfn._xlws.FILTER(All!G3:Q269, All!S3:S269 = "Yes", "")</f>
        <v>1</v>
      </c>
      <c r="H3" s="32">
        <v>1</v>
      </c>
      <c r="I3" s="31">
        <v>2</v>
      </c>
      <c r="J3" s="31">
        <v>13</v>
      </c>
      <c r="K3" s="31">
        <v>25</v>
      </c>
      <c r="L3" s="24">
        <v>2</v>
      </c>
      <c r="M3" s="24">
        <v>2.9</v>
      </c>
      <c r="N3" s="24">
        <v>16</v>
      </c>
      <c r="O3" s="24">
        <v>23</v>
      </c>
      <c r="P3" s="24">
        <v>52</v>
      </c>
      <c r="Q3" s="24">
        <v>63</v>
      </c>
      <c r="R3" s="24" cm="1">
        <f t="array" ref="R3:U76">_xlfn._xlws.FILTER(All!AD3:AG269, All!S3:S269 = "Yes", "")</f>
        <v>25</v>
      </c>
      <c r="S3" s="24">
        <v>47</v>
      </c>
      <c r="T3" s="37">
        <v>172</v>
      </c>
      <c r="U3" s="37">
        <v>8969</v>
      </c>
      <c r="W3" s="213" t="s">
        <v>151</v>
      </c>
      <c r="X3" s="214"/>
      <c r="Y3" s="34">
        <f>SUM(F:F)</f>
        <v>1044.4000000000001</v>
      </c>
    </row>
    <row r="4" spans="1:30" x14ac:dyDescent="0.25">
      <c r="A4" s="23">
        <v>155</v>
      </c>
      <c r="B4" s="23" t="str">
        <v>Park Pl</v>
      </c>
      <c r="C4" s="23" t="str">
        <v>Park Blvd</v>
      </c>
      <c r="D4" s="23" t="str">
        <v>El Camino Real</v>
      </c>
      <c r="E4" s="23" t="str">
        <v>S</v>
      </c>
      <c r="F4" s="24">
        <v>9</v>
      </c>
      <c r="G4" s="24">
        <v>2</v>
      </c>
      <c r="H4" s="32">
        <v>2</v>
      </c>
      <c r="I4" s="31">
        <v>4</v>
      </c>
      <c r="J4" s="31">
        <v>17</v>
      </c>
      <c r="K4" s="31">
        <v>43</v>
      </c>
      <c r="L4" s="24">
        <v>2.2999999999999998</v>
      </c>
      <c r="M4" s="24">
        <v>3.8</v>
      </c>
      <c r="N4" s="24">
        <v>20</v>
      </c>
      <c r="O4" s="24">
        <v>34</v>
      </c>
      <c r="P4" s="24">
        <v>67</v>
      </c>
      <c r="Q4" s="24">
        <v>77</v>
      </c>
      <c r="R4" s="24">
        <v>32</v>
      </c>
      <c r="S4" s="24">
        <v>61</v>
      </c>
      <c r="T4" s="37">
        <v>221</v>
      </c>
      <c r="U4" s="37">
        <v>11524</v>
      </c>
      <c r="W4" s="50" t="s">
        <v>141</v>
      </c>
      <c r="X4" s="50" t="s">
        <v>129</v>
      </c>
      <c r="Y4" s="34">
        <f>SUM(M:M)</f>
        <v>244.16774193548386</v>
      </c>
    </row>
    <row r="5" spans="1:30" x14ac:dyDescent="0.25">
      <c r="A5" s="23">
        <v>156</v>
      </c>
      <c r="B5" s="23" t="str">
        <v>Park Blvd</v>
      </c>
      <c r="C5" s="23" t="str">
        <v>Park Pl</v>
      </c>
      <c r="D5" s="23" t="str">
        <v>El Camino Real</v>
      </c>
      <c r="E5" s="23" t="str">
        <v>N</v>
      </c>
      <c r="F5" s="24">
        <v>12</v>
      </c>
      <c r="G5" s="24">
        <v>0</v>
      </c>
      <c r="H5" s="32">
        <v>2</v>
      </c>
      <c r="I5" s="31">
        <v>2</v>
      </c>
      <c r="J5" s="31">
        <v>19</v>
      </c>
      <c r="K5" s="31">
        <v>82</v>
      </c>
      <c r="L5" s="24">
        <v>1.7</v>
      </c>
      <c r="M5" s="24">
        <v>4.4000000000000004</v>
      </c>
      <c r="N5" s="24">
        <v>21</v>
      </c>
      <c r="O5" s="24">
        <v>55</v>
      </c>
      <c r="P5" s="24">
        <v>61</v>
      </c>
      <c r="Q5" s="24">
        <v>92</v>
      </c>
      <c r="R5" s="24">
        <v>33</v>
      </c>
      <c r="S5" s="24">
        <v>61</v>
      </c>
      <c r="T5" s="37">
        <v>226</v>
      </c>
      <c r="U5" s="37">
        <v>11785</v>
      </c>
      <c r="W5" s="50"/>
      <c r="X5" s="50" t="s">
        <v>130</v>
      </c>
      <c r="Y5" s="34">
        <f>SUM(N:N)</f>
        <v>2992.5806451612902</v>
      </c>
    </row>
    <row r="6" spans="1:30" x14ac:dyDescent="0.25">
      <c r="A6" s="23">
        <v>158</v>
      </c>
      <c r="B6" s="23" t="str">
        <v>Park Blvd</v>
      </c>
      <c r="C6" s="23" t="str">
        <v>Palmito Dr</v>
      </c>
      <c r="D6" s="23" t="str">
        <v>El Camino Real</v>
      </c>
      <c r="E6" s="23" t="str">
        <v>S</v>
      </c>
      <c r="F6" s="24">
        <v>11</v>
      </c>
      <c r="G6" s="24">
        <v>0</v>
      </c>
      <c r="H6" s="32">
        <v>1</v>
      </c>
      <c r="I6" s="31">
        <v>1</v>
      </c>
      <c r="J6" s="31">
        <v>11</v>
      </c>
      <c r="K6" s="31">
        <v>39</v>
      </c>
      <c r="L6" s="24">
        <v>1.6</v>
      </c>
      <c r="M6" s="24">
        <v>4.5</v>
      </c>
      <c r="N6" s="24">
        <v>18</v>
      </c>
      <c r="O6" s="24">
        <v>50</v>
      </c>
      <c r="P6" s="24">
        <v>41</v>
      </c>
      <c r="Q6" s="24">
        <v>71</v>
      </c>
      <c r="R6" s="24">
        <v>25</v>
      </c>
      <c r="S6" s="24">
        <v>49</v>
      </c>
      <c r="T6" s="37">
        <v>174</v>
      </c>
      <c r="U6" s="37">
        <v>9073</v>
      </c>
      <c r="W6" s="50" t="s">
        <v>134</v>
      </c>
      <c r="X6" s="50" t="s">
        <v>129</v>
      </c>
      <c r="Y6" s="34">
        <f>SUM(O:O)</f>
        <v>4592</v>
      </c>
    </row>
    <row r="7" spans="1:30" x14ac:dyDescent="0.25">
      <c r="A7" s="23">
        <v>100</v>
      </c>
      <c r="B7" s="23" t="str">
        <v>El Camino Real</v>
      </c>
      <c r="C7" s="23" t="str">
        <v>Park Pl</v>
      </c>
      <c r="D7" s="23" t="str">
        <v>Park Blvd</v>
      </c>
      <c r="E7" s="23" t="str">
        <v>W</v>
      </c>
      <c r="F7" s="24">
        <v>19</v>
      </c>
      <c r="G7" s="24">
        <v>1</v>
      </c>
      <c r="H7" s="32">
        <v>2</v>
      </c>
      <c r="I7" s="31">
        <v>3</v>
      </c>
      <c r="J7" s="31">
        <v>32</v>
      </c>
      <c r="K7" s="31">
        <v>32</v>
      </c>
      <c r="L7" s="24">
        <v>3.4</v>
      </c>
      <c r="M7" s="24">
        <v>3.2</v>
      </c>
      <c r="N7" s="24">
        <v>64</v>
      </c>
      <c r="O7" s="24">
        <v>59</v>
      </c>
      <c r="P7" s="24">
        <v>141</v>
      </c>
      <c r="Q7" s="24">
        <v>127</v>
      </c>
      <c r="R7" s="24">
        <v>96</v>
      </c>
      <c r="S7" s="24">
        <v>177</v>
      </c>
      <c r="T7" s="37">
        <v>657</v>
      </c>
      <c r="U7" s="37">
        <v>34260</v>
      </c>
      <c r="W7" s="50"/>
      <c r="X7" s="50" t="s">
        <v>130</v>
      </c>
      <c r="Y7" s="34">
        <f>SUM(P:P)</f>
        <v>6502.1290322580644</v>
      </c>
    </row>
    <row r="8" spans="1:30" x14ac:dyDescent="0.25">
      <c r="A8" s="23">
        <v>101</v>
      </c>
      <c r="B8" s="23" t="str">
        <v>El Camino Real</v>
      </c>
      <c r="C8" s="23" t="str">
        <v>Santa Clara Ave</v>
      </c>
      <c r="D8" s="23" t="str">
        <v>Santa Inez Ave</v>
      </c>
      <c r="E8" s="23" t="str">
        <v>E</v>
      </c>
      <c r="F8" s="24">
        <v>5</v>
      </c>
      <c r="G8" s="24">
        <v>2</v>
      </c>
      <c r="H8" s="32">
        <v>1</v>
      </c>
      <c r="I8" s="31">
        <v>3</v>
      </c>
      <c r="J8" s="31">
        <v>3</v>
      </c>
      <c r="K8" s="31">
        <v>8</v>
      </c>
      <c r="L8" s="24">
        <v>2.9</v>
      </c>
      <c r="M8" s="24">
        <v>2.4</v>
      </c>
      <c r="N8" s="24">
        <v>14</v>
      </c>
      <c r="O8" s="24">
        <v>12</v>
      </c>
      <c r="P8" s="24">
        <v>38</v>
      </c>
      <c r="Q8" s="24">
        <v>24</v>
      </c>
      <c r="R8" s="24">
        <v>25</v>
      </c>
      <c r="S8" s="24">
        <v>43</v>
      </c>
      <c r="T8" s="37">
        <v>168</v>
      </c>
      <c r="U8" s="37">
        <v>8761</v>
      </c>
    </row>
    <row r="9" spans="1:30" ht="13" x14ac:dyDescent="0.3">
      <c r="A9" s="23">
        <v>102</v>
      </c>
      <c r="B9" s="23" t="str">
        <v>El Camino Real</v>
      </c>
      <c r="C9" s="23" t="str">
        <v>San Diego Ave</v>
      </c>
      <c r="D9" s="23" t="str">
        <v>Santa Clara Ave</v>
      </c>
      <c r="E9" s="23" t="str">
        <v>E</v>
      </c>
      <c r="F9" s="24">
        <v>8</v>
      </c>
      <c r="G9" s="24">
        <v>1</v>
      </c>
      <c r="H9" s="32">
        <v>1</v>
      </c>
      <c r="I9" s="31">
        <v>2</v>
      </c>
      <c r="J9" s="31">
        <v>7</v>
      </c>
      <c r="K9" s="31">
        <v>6</v>
      </c>
      <c r="L9" s="24">
        <v>1.5</v>
      </c>
      <c r="M9" s="24">
        <v>2.4</v>
      </c>
      <c r="N9" s="24">
        <v>13</v>
      </c>
      <c r="O9" s="24">
        <v>20</v>
      </c>
      <c r="P9" s="24">
        <v>21</v>
      </c>
      <c r="Q9" s="24">
        <v>50</v>
      </c>
      <c r="R9" s="24">
        <v>19</v>
      </c>
      <c r="S9" s="24">
        <v>34</v>
      </c>
      <c r="T9" s="37">
        <v>129</v>
      </c>
      <c r="U9" s="37">
        <v>6727</v>
      </c>
      <c r="W9" s="48"/>
    </row>
    <row r="10" spans="1:30" x14ac:dyDescent="0.25">
      <c r="A10" s="23">
        <v>104</v>
      </c>
      <c r="B10" s="23" t="str">
        <v>El Camino Real</v>
      </c>
      <c r="C10" s="23" t="str">
        <v>Santa Maria Ave</v>
      </c>
      <c r="D10" s="23" t="str">
        <v>San Diego Ave</v>
      </c>
      <c r="E10" s="23" t="str">
        <v>E</v>
      </c>
      <c r="F10" s="24">
        <v>5</v>
      </c>
      <c r="G10" s="24">
        <v>0</v>
      </c>
      <c r="H10" s="32">
        <v>0</v>
      </c>
      <c r="I10" s="31">
        <v>0</v>
      </c>
      <c r="J10" s="31">
        <v>0</v>
      </c>
      <c r="K10" s="31">
        <v>6</v>
      </c>
      <c r="L10" s="24">
        <v>0.8</v>
      </c>
      <c r="M10" s="24">
        <v>1.6</v>
      </c>
      <c r="N10" s="24">
        <v>4</v>
      </c>
      <c r="O10" s="24">
        <v>8</v>
      </c>
      <c r="P10" s="24">
        <v>25</v>
      </c>
      <c r="Q10" s="24">
        <v>21</v>
      </c>
      <c r="R10" s="24">
        <v>8</v>
      </c>
      <c r="S10" s="24">
        <v>15</v>
      </c>
      <c r="T10" s="37">
        <v>55</v>
      </c>
      <c r="U10" s="37">
        <v>2868</v>
      </c>
      <c r="Y10" s="40" t="s">
        <v>144</v>
      </c>
      <c r="Z10" s="23" t="s">
        <v>145</v>
      </c>
      <c r="AA10" s="23" t="s">
        <v>291</v>
      </c>
      <c r="AB10" s="23" t="s">
        <v>146</v>
      </c>
      <c r="AC10" s="23" t="s">
        <v>147</v>
      </c>
    </row>
    <row r="11" spans="1:30" ht="12.75" customHeight="1" x14ac:dyDescent="0.25">
      <c r="A11" s="23">
        <v>103</v>
      </c>
      <c r="B11" s="23" t="str">
        <v>El Camino Real</v>
      </c>
      <c r="C11" s="23" t="str">
        <v>Park Blvd</v>
      </c>
      <c r="D11" s="23" t="str">
        <v>Capuchino Dr</v>
      </c>
      <c r="E11" s="23" t="str">
        <v>W</v>
      </c>
      <c r="F11" s="24">
        <v>15</v>
      </c>
      <c r="G11" s="24">
        <v>1</v>
      </c>
      <c r="H11" s="32">
        <v>0</v>
      </c>
      <c r="I11" s="31">
        <v>1</v>
      </c>
      <c r="J11" s="31">
        <v>48</v>
      </c>
      <c r="K11" s="31">
        <v>33</v>
      </c>
      <c r="L11" s="24">
        <v>4.4000000000000004</v>
      </c>
      <c r="M11" s="24">
        <v>2.7</v>
      </c>
      <c r="N11" s="24">
        <v>65</v>
      </c>
      <c r="O11" s="24">
        <v>40</v>
      </c>
      <c r="P11" s="24">
        <v>95</v>
      </c>
      <c r="Q11" s="24">
        <v>72</v>
      </c>
      <c r="R11" s="24">
        <v>82</v>
      </c>
      <c r="S11" s="24">
        <v>155</v>
      </c>
      <c r="T11" s="37">
        <v>565</v>
      </c>
      <c r="U11" s="37">
        <v>29462</v>
      </c>
      <c r="W11" s="215" t="s">
        <v>175</v>
      </c>
      <c r="X11" s="49" t="s">
        <v>129</v>
      </c>
      <c r="Y11" s="34">
        <f>SUM(R:R)</f>
        <v>3922.7967741935481</v>
      </c>
      <c r="Z11" s="34">
        <f>SUM(R:R)*0.92</f>
        <v>3608.9730322580644</v>
      </c>
      <c r="AA11" s="34">
        <f>Z11*0.98</f>
        <v>3536.7935716129032</v>
      </c>
      <c r="AB11" s="41">
        <f>$Z11*0.96</f>
        <v>3464.6141109677419</v>
      </c>
      <c r="AC11" s="41">
        <f>$Z11*0.92</f>
        <v>3320.2551896774194</v>
      </c>
    </row>
    <row r="12" spans="1:30" x14ac:dyDescent="0.25">
      <c r="A12" s="23">
        <v>105</v>
      </c>
      <c r="B12" s="23" t="str">
        <v>El Camino Real</v>
      </c>
      <c r="C12" s="23" t="str">
        <v>Santa Helena Ave</v>
      </c>
      <c r="D12" s="23" t="str">
        <v>Santa Maria Ave</v>
      </c>
      <c r="E12" s="23" t="str">
        <v>E</v>
      </c>
      <c r="F12" s="24">
        <v>9</v>
      </c>
      <c r="G12" s="24">
        <v>0</v>
      </c>
      <c r="H12" s="32">
        <v>0</v>
      </c>
      <c r="I12" s="31">
        <v>0</v>
      </c>
      <c r="J12" s="31">
        <v>8</v>
      </c>
      <c r="K12" s="31">
        <v>10</v>
      </c>
      <c r="L12" s="24">
        <v>1.2</v>
      </c>
      <c r="M12" s="24">
        <v>1.3</v>
      </c>
      <c r="N12" s="24">
        <v>11</v>
      </c>
      <c r="O12" s="24">
        <v>12</v>
      </c>
      <c r="P12" s="24">
        <v>17</v>
      </c>
      <c r="Q12" s="24">
        <v>19</v>
      </c>
      <c r="R12" s="24">
        <v>14</v>
      </c>
      <c r="S12" s="24">
        <v>27</v>
      </c>
      <c r="T12" s="37">
        <v>97</v>
      </c>
      <c r="U12" s="37">
        <v>5058</v>
      </c>
      <c r="W12" s="216"/>
      <c r="X12" s="49" t="s">
        <v>130</v>
      </c>
      <c r="Y12" s="34">
        <f>SUM(S:S)</f>
        <v>7371.5483870967728</v>
      </c>
      <c r="Z12" s="34">
        <f>SUM(S:S)*0.92</f>
        <v>6781.8245161290315</v>
      </c>
      <c r="AA12" s="34">
        <f>Z12*0.98</f>
        <v>6646.1880258064512</v>
      </c>
      <c r="AB12" s="41">
        <f>$Z12*0.96</f>
        <v>6510.5515354838699</v>
      </c>
      <c r="AC12" s="41">
        <f>$Z12*0.92</f>
        <v>6239.2785548387092</v>
      </c>
    </row>
    <row r="13" spans="1:30" x14ac:dyDescent="0.25">
      <c r="A13" s="23">
        <v>106</v>
      </c>
      <c r="B13" s="23" t="str">
        <v>El Camino Real</v>
      </c>
      <c r="C13" s="23" t="str">
        <v>San Juan Ave</v>
      </c>
      <c r="D13" s="23" t="str">
        <v>Santa Helena Ave</v>
      </c>
      <c r="E13" s="23" t="str">
        <v>E</v>
      </c>
      <c r="F13" s="24">
        <v>9</v>
      </c>
      <c r="G13" s="24">
        <v>0</v>
      </c>
      <c r="H13" s="32">
        <v>0</v>
      </c>
      <c r="I13" s="31">
        <v>0</v>
      </c>
      <c r="J13" s="31">
        <v>16</v>
      </c>
      <c r="K13" s="31">
        <v>20</v>
      </c>
      <c r="L13" s="24">
        <v>2.7</v>
      </c>
      <c r="M13" s="24">
        <v>2.9</v>
      </c>
      <c r="N13" s="24">
        <v>25</v>
      </c>
      <c r="O13" s="24">
        <v>27</v>
      </c>
      <c r="P13" s="24">
        <v>42</v>
      </c>
      <c r="Q13" s="24">
        <v>38</v>
      </c>
      <c r="R13" s="24">
        <v>34</v>
      </c>
      <c r="S13" s="24">
        <v>63</v>
      </c>
      <c r="T13" s="37">
        <v>233</v>
      </c>
      <c r="U13" s="37">
        <v>12150</v>
      </c>
      <c r="W13" s="213" t="s">
        <v>142</v>
      </c>
      <c r="X13" s="214"/>
      <c r="Y13" s="33">
        <v>0</v>
      </c>
      <c r="Z13" s="33">
        <f>SUM(T:T)*0.92</f>
        <v>24826.689677419356</v>
      </c>
      <c r="AA13" s="33">
        <f>Z13*0.98*1.5</f>
        <v>36495.233825806456</v>
      </c>
      <c r="AB13" s="33">
        <f>$Z13*0.96*2</f>
        <v>47667.244180645161</v>
      </c>
      <c r="AC13" s="33">
        <f>$Z13*0.92*3</f>
        <v>68521.663509677426</v>
      </c>
    </row>
    <row r="14" spans="1:30" x14ac:dyDescent="0.25">
      <c r="A14" s="23">
        <v>107</v>
      </c>
      <c r="B14" s="23" t="str">
        <v>El Camino Real</v>
      </c>
      <c r="C14" s="23" t="str">
        <v>Capuchino Dr</v>
      </c>
      <c r="D14" s="23" t="str">
        <v>Millwood Dr</v>
      </c>
      <c r="E14" s="23" t="str">
        <v>W</v>
      </c>
      <c r="F14" s="24">
        <v>7</v>
      </c>
      <c r="G14" s="24">
        <v>0</v>
      </c>
      <c r="H14" s="32">
        <v>0</v>
      </c>
      <c r="I14" s="31">
        <v>0</v>
      </c>
      <c r="J14" s="31">
        <v>4</v>
      </c>
      <c r="K14" s="31">
        <v>1</v>
      </c>
      <c r="L14" s="24">
        <v>0.6</v>
      </c>
      <c r="M14" s="24">
        <v>0.1</v>
      </c>
      <c r="N14" s="24">
        <v>4</v>
      </c>
      <c r="O14" s="24">
        <v>1</v>
      </c>
      <c r="P14" s="24">
        <v>4</v>
      </c>
      <c r="Q14" s="24">
        <v>1</v>
      </c>
      <c r="R14" s="24">
        <v>4</v>
      </c>
      <c r="S14" s="24">
        <v>8</v>
      </c>
      <c r="T14" s="37">
        <v>28</v>
      </c>
      <c r="U14" s="37">
        <v>1460</v>
      </c>
      <c r="W14" s="213" t="s">
        <v>143</v>
      </c>
      <c r="X14" s="214"/>
      <c r="Y14" s="33">
        <v>0</v>
      </c>
      <c r="Z14" s="33">
        <f>SUM(U:U)*0.92</f>
        <v>1294596.8362580645</v>
      </c>
      <c r="AA14" s="33">
        <f>Z14*0.98*1.5</f>
        <v>1903057.3492993549</v>
      </c>
      <c r="AB14" s="33">
        <f>$Z14*0.96*2</f>
        <v>2485625.9256154839</v>
      </c>
      <c r="AC14" s="33">
        <f>$Z14*0.92*3</f>
        <v>3573087.2680722582</v>
      </c>
    </row>
    <row r="15" spans="1:30" x14ac:dyDescent="0.25">
      <c r="A15" s="23">
        <v>108</v>
      </c>
      <c r="B15" s="23" t="str">
        <v>El Camino Real</v>
      </c>
      <c r="C15" s="23" t="str">
        <v>Center St</v>
      </c>
      <c r="D15" s="23" t="str">
        <v>San Juan Ave</v>
      </c>
      <c r="E15" s="23" t="str">
        <v>E</v>
      </c>
      <c r="F15" s="24">
        <v>35</v>
      </c>
      <c r="G15" s="24">
        <v>2</v>
      </c>
      <c r="H15" s="32">
        <v>1</v>
      </c>
      <c r="I15" s="31">
        <v>3</v>
      </c>
      <c r="J15" s="31">
        <v>63</v>
      </c>
      <c r="K15" s="31">
        <v>58</v>
      </c>
      <c r="L15" s="24">
        <v>3.2</v>
      </c>
      <c r="M15" s="24">
        <v>2.8</v>
      </c>
      <c r="N15" s="24">
        <v>114</v>
      </c>
      <c r="O15" s="24">
        <v>100</v>
      </c>
      <c r="P15" s="24">
        <v>272</v>
      </c>
      <c r="Q15" s="24">
        <v>202</v>
      </c>
      <c r="R15" s="24">
        <v>165</v>
      </c>
      <c r="S15" s="24">
        <v>302</v>
      </c>
      <c r="T15" s="37">
        <v>1127</v>
      </c>
      <c r="U15" s="37">
        <v>58769</v>
      </c>
    </row>
    <row r="16" spans="1:30" ht="13" x14ac:dyDescent="0.3">
      <c r="A16" s="23">
        <v>109</v>
      </c>
      <c r="B16" s="23" t="str">
        <v>El Camino Real</v>
      </c>
      <c r="C16" s="23" t="str">
        <v>Millwood Dr</v>
      </c>
      <c r="D16" s="23" t="str">
        <v>Ludeman Ln</v>
      </c>
      <c r="E16" s="23" t="str">
        <v>W</v>
      </c>
      <c r="F16" s="24">
        <v>26</v>
      </c>
      <c r="G16" s="24">
        <v>1</v>
      </c>
      <c r="H16" s="32">
        <v>0</v>
      </c>
      <c r="I16" s="31">
        <v>1</v>
      </c>
      <c r="J16" s="31">
        <v>54</v>
      </c>
      <c r="K16" s="31">
        <v>26</v>
      </c>
      <c r="L16" s="24">
        <v>3.1</v>
      </c>
      <c r="M16" s="24">
        <v>2</v>
      </c>
      <c r="N16" s="24">
        <v>79</v>
      </c>
      <c r="O16" s="24">
        <v>52</v>
      </c>
      <c r="P16" s="24">
        <v>170</v>
      </c>
      <c r="Q16" s="24">
        <v>129</v>
      </c>
      <c r="R16" s="24">
        <v>104</v>
      </c>
      <c r="S16" s="24">
        <v>199</v>
      </c>
      <c r="T16" s="37">
        <v>719</v>
      </c>
      <c r="U16" s="37">
        <v>37492</v>
      </c>
      <c r="W16" s="55"/>
      <c r="X16" s="54"/>
      <c r="Y16" s="56"/>
      <c r="Z16" s="54"/>
      <c r="AA16" s="54"/>
      <c r="AB16" s="54"/>
      <c r="AC16" s="54"/>
      <c r="AD16" s="54"/>
    </row>
    <row r="17" spans="1:30" x14ac:dyDescent="0.25">
      <c r="A17" s="23">
        <v>110</v>
      </c>
      <c r="B17" s="23" t="str">
        <v>El Camino Real</v>
      </c>
      <c r="C17" s="23" t="str">
        <v>Ludeman Ln</v>
      </c>
      <c r="D17" s="23" t="str">
        <v>Center St</v>
      </c>
      <c r="E17" s="23" t="str">
        <v>W</v>
      </c>
      <c r="F17" s="24">
        <v>11</v>
      </c>
      <c r="G17" s="24">
        <v>0</v>
      </c>
      <c r="H17" s="32">
        <v>0</v>
      </c>
      <c r="I17" s="31">
        <v>0</v>
      </c>
      <c r="J17" s="31">
        <v>11</v>
      </c>
      <c r="K17" s="31">
        <v>8</v>
      </c>
      <c r="L17" s="24">
        <v>2</v>
      </c>
      <c r="M17" s="24">
        <v>1.1000000000000001</v>
      </c>
      <c r="N17" s="24">
        <v>22</v>
      </c>
      <c r="O17" s="24">
        <v>12</v>
      </c>
      <c r="P17" s="24">
        <v>54</v>
      </c>
      <c r="Q17" s="24">
        <v>19</v>
      </c>
      <c r="R17" s="24">
        <v>33</v>
      </c>
      <c r="S17" s="24">
        <v>60</v>
      </c>
      <c r="T17" s="37">
        <v>225</v>
      </c>
      <c r="U17" s="37">
        <v>11733</v>
      </c>
      <c r="W17" s="219"/>
      <c r="X17" s="57"/>
      <c r="Y17" s="58"/>
      <c r="Z17" s="58"/>
      <c r="AA17" s="58"/>
      <c r="AB17" s="59"/>
      <c r="AC17" s="59"/>
      <c r="AD17" s="54"/>
    </row>
    <row r="18" spans="1:30" x14ac:dyDescent="0.25">
      <c r="A18" s="23">
        <v>111</v>
      </c>
      <c r="B18" s="23" t="str">
        <v>El Camino Real</v>
      </c>
      <c r="C18" s="23" t="str">
        <v>Center St</v>
      </c>
      <c r="D18" s="23" t="str">
        <v>Meadow Glen Ave</v>
      </c>
      <c r="E18" s="23" t="str">
        <v>W</v>
      </c>
      <c r="F18" s="24">
        <v>23</v>
      </c>
      <c r="G18" s="24">
        <v>0</v>
      </c>
      <c r="H18" s="32">
        <v>0</v>
      </c>
      <c r="I18" s="31">
        <v>0</v>
      </c>
      <c r="J18" s="31">
        <v>6</v>
      </c>
      <c r="K18" s="31">
        <v>7</v>
      </c>
      <c r="L18" s="24">
        <v>0.4</v>
      </c>
      <c r="M18" s="24">
        <v>0.4</v>
      </c>
      <c r="N18" s="24">
        <v>8</v>
      </c>
      <c r="O18" s="24">
        <v>9</v>
      </c>
      <c r="P18" s="24">
        <v>21</v>
      </c>
      <c r="Q18" s="24">
        <v>11</v>
      </c>
      <c r="R18" s="24">
        <v>10</v>
      </c>
      <c r="S18" s="24">
        <v>20</v>
      </c>
      <c r="T18" s="37">
        <v>70</v>
      </c>
      <c r="U18" s="37">
        <v>3650</v>
      </c>
      <c r="W18" s="219"/>
      <c r="X18" s="57"/>
      <c r="Y18" s="58"/>
      <c r="Z18" s="58"/>
      <c r="AA18" s="58"/>
      <c r="AB18" s="59"/>
      <c r="AC18" s="59"/>
      <c r="AD18" s="54"/>
    </row>
    <row r="19" spans="1:30" x14ac:dyDescent="0.25">
      <c r="A19" s="23">
        <v>112</v>
      </c>
      <c r="B19" s="23" t="str">
        <v>El Camino Real</v>
      </c>
      <c r="C19" s="23" t="str">
        <v>Meadow Glen Ave</v>
      </c>
      <c r="D19" s="23" t="str">
        <v>Center St</v>
      </c>
      <c r="E19" s="23" t="str">
        <v>E</v>
      </c>
      <c r="F19" s="24">
        <v>26</v>
      </c>
      <c r="G19" s="24">
        <v>0</v>
      </c>
      <c r="H19" s="32">
        <v>0</v>
      </c>
      <c r="I19" s="31">
        <v>0</v>
      </c>
      <c r="J19" s="31">
        <v>5</v>
      </c>
      <c r="K19" s="31">
        <v>13</v>
      </c>
      <c r="L19" s="24">
        <v>0.3</v>
      </c>
      <c r="M19" s="24">
        <v>1.2</v>
      </c>
      <c r="N19" s="24">
        <v>9</v>
      </c>
      <c r="O19" s="24">
        <v>31</v>
      </c>
      <c r="P19" s="24">
        <v>21</v>
      </c>
      <c r="Q19" s="24">
        <v>50</v>
      </c>
      <c r="R19" s="24">
        <v>13</v>
      </c>
      <c r="S19" s="24">
        <v>24</v>
      </c>
      <c r="T19" s="37">
        <v>89</v>
      </c>
      <c r="U19" s="37">
        <v>4641</v>
      </c>
      <c r="W19" s="212"/>
      <c r="X19" s="212"/>
      <c r="Y19" s="60"/>
      <c r="Z19" s="60"/>
      <c r="AA19" s="60"/>
      <c r="AB19" s="60"/>
      <c r="AC19" s="60"/>
      <c r="AD19" s="54"/>
    </row>
    <row r="20" spans="1:30" x14ac:dyDescent="0.25">
      <c r="A20" s="23">
        <v>172</v>
      </c>
      <c r="B20" s="23" t="str">
        <v>Meadow Glen Ave</v>
      </c>
      <c r="C20" s="23" t="str">
        <v>El Camino Real</v>
      </c>
      <c r="D20" s="23" t="str">
        <v>Broadway</v>
      </c>
      <c r="E20" s="23" t="str">
        <v>N</v>
      </c>
      <c r="F20" s="24">
        <v>3</v>
      </c>
      <c r="G20" s="24">
        <v>1</v>
      </c>
      <c r="H20" s="32">
        <v>1</v>
      </c>
      <c r="I20" s="31">
        <v>2</v>
      </c>
      <c r="J20" s="31">
        <v>5</v>
      </c>
      <c r="K20" s="31">
        <v>7</v>
      </c>
      <c r="L20" s="24">
        <v>2.4</v>
      </c>
      <c r="M20" s="24">
        <v>2.6</v>
      </c>
      <c r="N20" s="24">
        <v>8</v>
      </c>
      <c r="O20" s="24">
        <v>9</v>
      </c>
      <c r="P20" s="24">
        <v>17</v>
      </c>
      <c r="Q20" s="24">
        <v>13</v>
      </c>
      <c r="R20" s="24">
        <v>11</v>
      </c>
      <c r="S20" s="24">
        <v>21</v>
      </c>
      <c r="T20" s="37">
        <v>76</v>
      </c>
      <c r="U20" s="37">
        <v>3963</v>
      </c>
      <c r="W20" s="212"/>
      <c r="X20" s="212"/>
      <c r="Y20" s="60"/>
      <c r="Z20" s="60"/>
      <c r="AA20" s="60"/>
      <c r="AB20" s="60"/>
      <c r="AC20" s="60"/>
      <c r="AD20" s="54"/>
    </row>
    <row r="21" spans="1:30" x14ac:dyDescent="0.25">
      <c r="A21" s="23">
        <v>173</v>
      </c>
      <c r="B21" s="23" t="str">
        <v>Meadow Glen Ave</v>
      </c>
      <c r="C21" s="23" t="str">
        <v>Broadway</v>
      </c>
      <c r="D21" s="23" t="str">
        <v>El Camino Real</v>
      </c>
      <c r="E21" s="23" t="str">
        <v>S</v>
      </c>
      <c r="F21" s="24">
        <v>0</v>
      </c>
      <c r="G21" s="24">
        <v>0</v>
      </c>
      <c r="H21" s="32">
        <v>0</v>
      </c>
      <c r="I21" s="31">
        <v>0</v>
      </c>
      <c r="J21" s="31">
        <v>0</v>
      </c>
      <c r="K21" s="31">
        <v>0</v>
      </c>
      <c r="L21" s="24">
        <v>0</v>
      </c>
      <c r="M21" s="24">
        <v>0</v>
      </c>
      <c r="N21" s="24">
        <v>0</v>
      </c>
      <c r="O21" s="24">
        <v>0</v>
      </c>
      <c r="P21" s="24">
        <v>0</v>
      </c>
      <c r="Q21" s="24">
        <v>0</v>
      </c>
      <c r="R21" s="24">
        <v>0</v>
      </c>
      <c r="S21" s="24">
        <v>0</v>
      </c>
      <c r="T21" s="37">
        <v>0</v>
      </c>
      <c r="U21" s="37">
        <v>0</v>
      </c>
    </row>
    <row r="22" spans="1:30" x14ac:dyDescent="0.25">
      <c r="A22" s="23">
        <v>80</v>
      </c>
      <c r="B22" s="23" t="str">
        <v>Broadway</v>
      </c>
      <c r="C22" s="23" t="str">
        <v>Meadow Glen Ave</v>
      </c>
      <c r="D22" s="23" t="str">
        <v>Parking Lot</v>
      </c>
      <c r="E22" s="23" t="str">
        <v>W</v>
      </c>
      <c r="F22" s="24">
        <v>21</v>
      </c>
      <c r="G22" s="24">
        <v>3</v>
      </c>
      <c r="H22" s="32">
        <v>3</v>
      </c>
      <c r="I22" s="31">
        <v>6</v>
      </c>
      <c r="J22" s="31">
        <v>86</v>
      </c>
      <c r="K22" s="31">
        <v>102</v>
      </c>
      <c r="L22" s="24">
        <v>6.3</v>
      </c>
      <c r="M22" s="24">
        <v>6.4</v>
      </c>
      <c r="N22" s="24">
        <v>132</v>
      </c>
      <c r="O22" s="24">
        <v>135</v>
      </c>
      <c r="P22" s="24">
        <v>190</v>
      </c>
      <c r="Q22" s="24">
        <v>185</v>
      </c>
      <c r="R22" s="24">
        <v>178</v>
      </c>
      <c r="S22" s="24">
        <v>322</v>
      </c>
      <c r="T22" s="37">
        <v>1212</v>
      </c>
      <c r="U22" s="37">
        <v>63202</v>
      </c>
    </row>
    <row r="23" spans="1:30" x14ac:dyDescent="0.25">
      <c r="A23" s="23">
        <v>81</v>
      </c>
      <c r="B23" s="23" t="str">
        <v>Broadway</v>
      </c>
      <c r="C23" s="23" t="str">
        <v>Crosswalk</v>
      </c>
      <c r="D23" s="23" t="str">
        <v>Meadow Glen Ave</v>
      </c>
      <c r="E23" s="23" t="str">
        <v>E</v>
      </c>
      <c r="F23" s="24">
        <v>18</v>
      </c>
      <c r="G23" s="24">
        <v>1</v>
      </c>
      <c r="H23" s="32">
        <v>0</v>
      </c>
      <c r="I23" s="31">
        <v>1</v>
      </c>
      <c r="J23" s="31">
        <v>47</v>
      </c>
      <c r="K23" s="31">
        <v>62</v>
      </c>
      <c r="L23" s="24">
        <v>4.4000000000000004</v>
      </c>
      <c r="M23" s="24">
        <v>4.2</v>
      </c>
      <c r="N23" s="24">
        <v>80</v>
      </c>
      <c r="O23" s="24">
        <v>75</v>
      </c>
      <c r="P23" s="24">
        <v>127</v>
      </c>
      <c r="Q23" s="24">
        <v>96</v>
      </c>
      <c r="R23" s="24">
        <v>113</v>
      </c>
      <c r="S23" s="24">
        <v>204</v>
      </c>
      <c r="T23" s="37">
        <v>769</v>
      </c>
      <c r="U23" s="37">
        <v>40101</v>
      </c>
    </row>
    <row r="24" spans="1:30" x14ac:dyDescent="0.25">
      <c r="A24" s="23">
        <v>82</v>
      </c>
      <c r="B24" s="23" t="str">
        <v>Broadway</v>
      </c>
      <c r="C24" s="23" t="str">
        <v>Parking Lot</v>
      </c>
      <c r="D24" s="23" t="str">
        <v>Silva Ave</v>
      </c>
      <c r="E24" s="23" t="str">
        <v>W</v>
      </c>
      <c r="F24" s="24">
        <v>9</v>
      </c>
      <c r="G24" s="24">
        <v>2</v>
      </c>
      <c r="H24" s="32">
        <v>3</v>
      </c>
      <c r="I24" s="31">
        <v>5</v>
      </c>
      <c r="J24" s="31">
        <v>36</v>
      </c>
      <c r="K24" s="31">
        <v>74</v>
      </c>
      <c r="L24" s="24">
        <v>5</v>
      </c>
      <c r="M24" s="24">
        <v>8.8000000000000007</v>
      </c>
      <c r="N24" s="24">
        <v>45</v>
      </c>
      <c r="O24" s="24">
        <v>79</v>
      </c>
      <c r="P24" s="24">
        <v>70</v>
      </c>
      <c r="Q24" s="24">
        <v>85</v>
      </c>
      <c r="R24" s="24">
        <v>54</v>
      </c>
      <c r="S24" s="24">
        <v>107</v>
      </c>
      <c r="T24" s="37">
        <v>377</v>
      </c>
      <c r="U24" s="37">
        <v>19658</v>
      </c>
    </row>
    <row r="25" spans="1:30" x14ac:dyDescent="0.25">
      <c r="A25" s="23">
        <v>83</v>
      </c>
      <c r="B25" s="23" t="str">
        <v>Broadway</v>
      </c>
      <c r="C25" s="23" t="str">
        <v>Silva Ave</v>
      </c>
      <c r="D25" s="23" t="str">
        <v>Crosswalk</v>
      </c>
      <c r="E25" s="23" t="str">
        <v>E</v>
      </c>
      <c r="F25" s="24">
        <v>24</v>
      </c>
      <c r="G25" s="24">
        <v>0</v>
      </c>
      <c r="H25" s="32">
        <v>0</v>
      </c>
      <c r="I25" s="31">
        <v>0</v>
      </c>
      <c r="J25" s="31">
        <v>75</v>
      </c>
      <c r="K25" s="31">
        <v>117</v>
      </c>
      <c r="L25" s="24">
        <v>3.8</v>
      </c>
      <c r="M25" s="24">
        <v>5.3</v>
      </c>
      <c r="N25" s="24">
        <v>92</v>
      </c>
      <c r="O25" s="24">
        <v>127</v>
      </c>
      <c r="P25" s="24">
        <v>110</v>
      </c>
      <c r="Q25" s="24">
        <v>144</v>
      </c>
      <c r="R25" s="24">
        <v>109</v>
      </c>
      <c r="S25" s="24">
        <v>202</v>
      </c>
      <c r="T25" s="37">
        <v>747</v>
      </c>
      <c r="U25" s="37">
        <v>38953</v>
      </c>
    </row>
    <row r="26" spans="1:30" x14ac:dyDescent="0.25">
      <c r="A26" s="23">
        <v>84</v>
      </c>
      <c r="B26" s="23" t="str">
        <v>Broadway</v>
      </c>
      <c r="C26" s="23" t="str">
        <v>Crosswalk</v>
      </c>
      <c r="D26" s="23" t="str">
        <v>Taylor Blvd</v>
      </c>
      <c r="E26" s="23" t="str">
        <v>W</v>
      </c>
      <c r="F26" s="24">
        <v>19</v>
      </c>
      <c r="G26" s="24">
        <v>1</v>
      </c>
      <c r="H26" s="32">
        <v>2</v>
      </c>
      <c r="I26" s="31">
        <v>3</v>
      </c>
      <c r="J26" s="31">
        <v>52</v>
      </c>
      <c r="K26" s="31">
        <v>148</v>
      </c>
      <c r="L26" s="24">
        <v>4.0999999999999996</v>
      </c>
      <c r="M26" s="24">
        <v>8.1999999999999993</v>
      </c>
      <c r="N26" s="24">
        <v>77</v>
      </c>
      <c r="O26" s="24">
        <v>156</v>
      </c>
      <c r="P26" s="24">
        <v>144</v>
      </c>
      <c r="Q26" s="24">
        <v>166</v>
      </c>
      <c r="R26" s="24">
        <v>102</v>
      </c>
      <c r="S26" s="24">
        <v>196</v>
      </c>
      <c r="T26" s="37">
        <v>706</v>
      </c>
      <c r="U26" s="37">
        <v>36814</v>
      </c>
    </row>
    <row r="27" spans="1:30" x14ac:dyDescent="0.25">
      <c r="A27" s="23">
        <v>85</v>
      </c>
      <c r="B27" s="23" t="str">
        <v>Broadway</v>
      </c>
      <c r="C27" s="23" t="str">
        <v>Taylor Blvd</v>
      </c>
      <c r="D27" s="23" t="str">
        <v>Silva Ave</v>
      </c>
      <c r="E27" s="23" t="str">
        <v>E</v>
      </c>
      <c r="F27" s="24">
        <v>26</v>
      </c>
      <c r="G27" s="24">
        <v>0</v>
      </c>
      <c r="H27" s="32">
        <v>2</v>
      </c>
      <c r="I27" s="31">
        <v>2</v>
      </c>
      <c r="J27" s="31">
        <v>110</v>
      </c>
      <c r="K27" s="31">
        <v>168</v>
      </c>
      <c r="L27" s="24">
        <v>5.2</v>
      </c>
      <c r="M27" s="24">
        <v>7.1</v>
      </c>
      <c r="N27" s="24">
        <v>136</v>
      </c>
      <c r="O27" s="24">
        <v>185</v>
      </c>
      <c r="P27" s="24">
        <v>173</v>
      </c>
      <c r="Q27" s="24">
        <v>209</v>
      </c>
      <c r="R27" s="24">
        <v>162</v>
      </c>
      <c r="S27" s="24">
        <v>304</v>
      </c>
      <c r="T27" s="37">
        <v>1114</v>
      </c>
      <c r="U27" s="37">
        <v>58090</v>
      </c>
    </row>
    <row r="28" spans="1:30" x14ac:dyDescent="0.25">
      <c r="A28" s="23">
        <v>194</v>
      </c>
      <c r="B28" s="23" t="str">
        <v>Taylor Blvd</v>
      </c>
      <c r="C28" s="23" t="str">
        <v>Broadway</v>
      </c>
      <c r="D28" s="23" t="str">
        <v>Magnolia Ave</v>
      </c>
      <c r="E28" s="23" t="str">
        <v>N</v>
      </c>
      <c r="F28" s="24">
        <v>5</v>
      </c>
      <c r="G28" s="24">
        <v>0</v>
      </c>
      <c r="H28" s="32">
        <v>0</v>
      </c>
      <c r="I28" s="31">
        <v>0</v>
      </c>
      <c r="J28" s="31">
        <v>0</v>
      </c>
      <c r="K28" s="31">
        <v>12</v>
      </c>
      <c r="L28" s="24">
        <v>0.2</v>
      </c>
      <c r="M28" s="24">
        <v>2.7</v>
      </c>
      <c r="N28" s="24">
        <v>1</v>
      </c>
      <c r="O28" s="24">
        <v>12</v>
      </c>
      <c r="P28" s="24">
        <v>9</v>
      </c>
      <c r="Q28" s="24">
        <v>12</v>
      </c>
      <c r="R28" s="24">
        <v>2</v>
      </c>
      <c r="S28" s="24">
        <v>4</v>
      </c>
      <c r="T28" s="37">
        <v>14</v>
      </c>
      <c r="U28" s="37">
        <v>730</v>
      </c>
    </row>
    <row r="29" spans="1:30" x14ac:dyDescent="0.25">
      <c r="A29" s="23">
        <v>114</v>
      </c>
      <c r="B29" s="23" t="str">
        <v>El Camino Real</v>
      </c>
      <c r="C29" s="23" t="str">
        <v>970 El Camino Driveway</v>
      </c>
      <c r="D29" s="23" t="str">
        <v>Meadow Glen Ave</v>
      </c>
      <c r="E29" s="23" t="str">
        <v>E</v>
      </c>
      <c r="F29" s="24">
        <v>0</v>
      </c>
      <c r="G29" s="24">
        <v>0</v>
      </c>
      <c r="H29" s="32">
        <v>0</v>
      </c>
      <c r="I29" s="31">
        <v>0</v>
      </c>
      <c r="J29" s="31">
        <v>0</v>
      </c>
      <c r="K29" s="31">
        <v>0</v>
      </c>
      <c r="L29" s="24">
        <v>0</v>
      </c>
      <c r="M29" s="24">
        <v>0</v>
      </c>
      <c r="N29" s="24">
        <v>0</v>
      </c>
      <c r="O29" s="24">
        <v>0</v>
      </c>
      <c r="P29" s="24">
        <v>0</v>
      </c>
      <c r="Q29" s="24">
        <v>0</v>
      </c>
      <c r="R29" s="24">
        <v>0</v>
      </c>
      <c r="S29" s="24">
        <v>0</v>
      </c>
      <c r="T29" s="37">
        <v>0</v>
      </c>
      <c r="U29" s="37">
        <v>0</v>
      </c>
    </row>
    <row r="30" spans="1:30" x14ac:dyDescent="0.25">
      <c r="A30" s="23">
        <v>115</v>
      </c>
      <c r="B30" s="23" t="str">
        <v>El Camino Real</v>
      </c>
      <c r="C30" s="23" t="str">
        <v>Mateo Ave</v>
      </c>
      <c r="D30" s="23" t="str">
        <v>970 El Camino Driveway</v>
      </c>
      <c r="E30" s="23" t="str">
        <v>E</v>
      </c>
      <c r="F30" s="24">
        <v>8</v>
      </c>
      <c r="G30" s="24">
        <v>0</v>
      </c>
      <c r="H30" s="32">
        <v>0</v>
      </c>
      <c r="I30" s="31">
        <v>0</v>
      </c>
      <c r="J30" s="31">
        <v>0</v>
      </c>
      <c r="K30" s="31">
        <v>0</v>
      </c>
      <c r="L30" s="24">
        <v>0</v>
      </c>
      <c r="M30" s="24">
        <v>0.2</v>
      </c>
      <c r="N30" s="24">
        <v>0</v>
      </c>
      <c r="O30" s="24">
        <v>2</v>
      </c>
      <c r="P30" s="24">
        <v>0</v>
      </c>
      <c r="Q30" s="24">
        <v>18</v>
      </c>
      <c r="R30" s="24">
        <v>0</v>
      </c>
      <c r="S30" s="24">
        <v>0</v>
      </c>
      <c r="T30" s="37">
        <v>0</v>
      </c>
      <c r="U30" s="37">
        <v>0</v>
      </c>
    </row>
    <row r="31" spans="1:30" x14ac:dyDescent="0.25">
      <c r="A31" s="23">
        <v>113</v>
      </c>
      <c r="B31" s="23" t="str">
        <v>El Camino Real</v>
      </c>
      <c r="C31" s="23" t="str">
        <v>Meadow Glen Ave</v>
      </c>
      <c r="D31" s="23" t="str">
        <v>Silva Ave</v>
      </c>
      <c r="E31" s="23" t="str">
        <v>W</v>
      </c>
      <c r="F31" s="24">
        <v>28</v>
      </c>
      <c r="G31" s="24">
        <v>0</v>
      </c>
      <c r="H31" s="32">
        <v>0</v>
      </c>
      <c r="I31" s="31">
        <v>0</v>
      </c>
      <c r="J31" s="31">
        <v>4</v>
      </c>
      <c r="K31" s="31">
        <v>9</v>
      </c>
      <c r="L31" s="24">
        <v>0.4</v>
      </c>
      <c r="M31" s="24">
        <v>0.5</v>
      </c>
      <c r="N31" s="24">
        <v>10</v>
      </c>
      <c r="O31" s="24">
        <v>15</v>
      </c>
      <c r="P31" s="24">
        <v>40</v>
      </c>
      <c r="Q31" s="24">
        <v>48</v>
      </c>
      <c r="R31" s="24">
        <v>16</v>
      </c>
      <c r="S31" s="24">
        <v>32</v>
      </c>
      <c r="T31" s="37">
        <v>112</v>
      </c>
      <c r="U31" s="37">
        <v>5840</v>
      </c>
    </row>
    <row r="32" spans="1:30" x14ac:dyDescent="0.25">
      <c r="A32" s="23">
        <v>116</v>
      </c>
      <c r="B32" s="23" t="str">
        <v>El Camino Real</v>
      </c>
      <c r="C32" s="23" t="str">
        <v>Silva Ave</v>
      </c>
      <c r="D32" s="23" t="str">
        <v>Mateo Ave</v>
      </c>
      <c r="E32" s="23" t="str">
        <v>E</v>
      </c>
      <c r="F32" s="24">
        <v>8</v>
      </c>
      <c r="G32" s="24">
        <v>1</v>
      </c>
      <c r="H32" s="32">
        <v>0</v>
      </c>
      <c r="I32" s="31">
        <v>1</v>
      </c>
      <c r="J32" s="31">
        <v>3</v>
      </c>
      <c r="K32" s="31">
        <v>5</v>
      </c>
      <c r="L32" s="24">
        <v>1.9</v>
      </c>
      <c r="M32" s="24">
        <v>0.8</v>
      </c>
      <c r="N32" s="24">
        <v>14</v>
      </c>
      <c r="O32" s="24">
        <v>6</v>
      </c>
      <c r="P32" s="24">
        <v>42</v>
      </c>
      <c r="Q32" s="24">
        <v>7</v>
      </c>
      <c r="R32" s="24">
        <v>25</v>
      </c>
      <c r="S32" s="24">
        <v>47</v>
      </c>
      <c r="T32" s="37">
        <v>172</v>
      </c>
      <c r="U32" s="37">
        <v>8969</v>
      </c>
    </row>
    <row r="33" spans="1:21" x14ac:dyDescent="0.25">
      <c r="A33" s="23">
        <v>118</v>
      </c>
      <c r="B33" s="23" t="str">
        <v>El Camino Real</v>
      </c>
      <c r="C33" s="23" t="str">
        <v>Hermosa Ave</v>
      </c>
      <c r="D33" s="23" t="str">
        <v>Silva Ave</v>
      </c>
      <c r="E33" s="23" t="str">
        <v>E</v>
      </c>
      <c r="F33" s="24">
        <v>6</v>
      </c>
      <c r="G33" s="24">
        <v>1</v>
      </c>
      <c r="H33" s="32">
        <v>1</v>
      </c>
      <c r="I33" s="31">
        <v>2</v>
      </c>
      <c r="J33" s="31">
        <v>2</v>
      </c>
      <c r="K33" s="31">
        <v>6</v>
      </c>
      <c r="L33" s="24">
        <v>1.5</v>
      </c>
      <c r="M33" s="24">
        <v>2.2999999999999998</v>
      </c>
      <c r="N33" s="24">
        <v>9</v>
      </c>
      <c r="O33" s="24">
        <v>14</v>
      </c>
      <c r="P33" s="24">
        <v>23</v>
      </c>
      <c r="Q33" s="24">
        <v>31</v>
      </c>
      <c r="R33" s="24">
        <v>16</v>
      </c>
      <c r="S33" s="24">
        <v>28</v>
      </c>
      <c r="T33" s="37">
        <v>108</v>
      </c>
      <c r="U33" s="37">
        <v>5632</v>
      </c>
    </row>
    <row r="34" spans="1:21" x14ac:dyDescent="0.25">
      <c r="A34" s="23">
        <v>117</v>
      </c>
      <c r="B34" s="23" t="str">
        <v>El Camino Real</v>
      </c>
      <c r="C34" s="23" t="str">
        <v>Silva Ave</v>
      </c>
      <c r="D34" s="23" t="str">
        <v>Taylor Blvd</v>
      </c>
      <c r="E34" s="23" t="str">
        <v>W</v>
      </c>
      <c r="F34" s="24">
        <v>6</v>
      </c>
      <c r="G34" s="24">
        <v>0</v>
      </c>
      <c r="H34" s="32">
        <v>0</v>
      </c>
      <c r="I34" s="31">
        <v>0</v>
      </c>
      <c r="J34" s="31">
        <v>0</v>
      </c>
      <c r="K34" s="31">
        <v>0</v>
      </c>
      <c r="L34" s="24">
        <v>0.7</v>
      </c>
      <c r="M34" s="24">
        <v>0.7</v>
      </c>
      <c r="N34" s="24">
        <v>4</v>
      </c>
      <c r="O34" s="24">
        <v>4</v>
      </c>
      <c r="P34" s="24">
        <v>30</v>
      </c>
      <c r="Q34" s="24">
        <v>35</v>
      </c>
      <c r="R34" s="24">
        <v>8</v>
      </c>
      <c r="S34" s="24">
        <v>15</v>
      </c>
      <c r="T34" s="37">
        <v>55</v>
      </c>
      <c r="U34" s="37">
        <v>2868</v>
      </c>
    </row>
    <row r="35" spans="1:21" x14ac:dyDescent="0.25">
      <c r="A35" s="23">
        <v>119</v>
      </c>
      <c r="B35" s="23" t="str">
        <v>El Camino Real</v>
      </c>
      <c r="C35" s="23" t="str">
        <v>Taylor Blvd</v>
      </c>
      <c r="D35" s="23" t="str">
        <v>Hermosa Ave</v>
      </c>
      <c r="E35" s="23" t="str">
        <v>E</v>
      </c>
      <c r="F35" s="24">
        <v>8</v>
      </c>
      <c r="G35" s="24">
        <v>0</v>
      </c>
      <c r="H35" s="32">
        <v>0</v>
      </c>
      <c r="I35" s="31">
        <v>0</v>
      </c>
      <c r="J35" s="31">
        <v>2</v>
      </c>
      <c r="K35" s="31">
        <v>7</v>
      </c>
      <c r="L35" s="24">
        <v>1</v>
      </c>
      <c r="M35" s="24">
        <v>1.8</v>
      </c>
      <c r="N35" s="24">
        <v>8</v>
      </c>
      <c r="O35" s="24">
        <v>15</v>
      </c>
      <c r="P35" s="24">
        <v>20</v>
      </c>
      <c r="Q35" s="24">
        <v>26</v>
      </c>
      <c r="R35" s="24">
        <v>14</v>
      </c>
      <c r="S35" s="24">
        <v>26</v>
      </c>
      <c r="T35" s="37">
        <v>96</v>
      </c>
      <c r="U35" s="37">
        <v>5006</v>
      </c>
    </row>
    <row r="36" spans="1:21" x14ac:dyDescent="0.25">
      <c r="A36" s="23">
        <v>122</v>
      </c>
      <c r="B36" s="23" t="str">
        <v>El Camino Real</v>
      </c>
      <c r="C36" s="23" t="str">
        <v>Hillcrest Blvd</v>
      </c>
      <c r="D36" s="23" t="str">
        <v>Taylor Blvd</v>
      </c>
      <c r="E36" s="23" t="str">
        <v>E</v>
      </c>
      <c r="F36" s="24">
        <v>10</v>
      </c>
      <c r="G36" s="24">
        <v>0</v>
      </c>
      <c r="H36" s="53">
        <v>0</v>
      </c>
      <c r="I36" s="53">
        <v>0</v>
      </c>
      <c r="J36" s="53">
        <v>0</v>
      </c>
      <c r="K36" s="53">
        <v>12</v>
      </c>
      <c r="L36" s="24">
        <v>0</v>
      </c>
      <c r="M36" s="24">
        <v>2.6</v>
      </c>
      <c r="N36" s="24">
        <v>0</v>
      </c>
      <c r="O36" s="24">
        <v>26</v>
      </c>
      <c r="P36" s="24">
        <v>0</v>
      </c>
      <c r="Q36" s="24">
        <v>62</v>
      </c>
      <c r="R36" s="24">
        <v>0</v>
      </c>
      <c r="S36" s="24">
        <v>0</v>
      </c>
      <c r="T36" s="37">
        <v>0</v>
      </c>
      <c r="U36" s="37">
        <v>0</v>
      </c>
    </row>
    <row r="37" spans="1:21" x14ac:dyDescent="0.25">
      <c r="A37" s="23">
        <v>196</v>
      </c>
      <c r="B37" s="23" t="str">
        <v>Taylor Blvd</v>
      </c>
      <c r="C37" s="23" t="str">
        <v>El Camino Real</v>
      </c>
      <c r="D37" s="23" t="str">
        <v>Broadway</v>
      </c>
      <c r="E37" s="23" t="str">
        <v>N</v>
      </c>
      <c r="F37" s="24">
        <v>5</v>
      </c>
      <c r="G37" s="24">
        <v>0</v>
      </c>
      <c r="H37" s="53">
        <v>1</v>
      </c>
      <c r="I37" s="53">
        <v>1</v>
      </c>
      <c r="J37" s="53">
        <v>8</v>
      </c>
      <c r="K37" s="53">
        <v>13</v>
      </c>
      <c r="L37" s="24">
        <v>2.6</v>
      </c>
      <c r="M37" s="24">
        <v>3.7</v>
      </c>
      <c r="N37" s="24">
        <v>14</v>
      </c>
      <c r="O37" s="24">
        <v>20</v>
      </c>
      <c r="P37" s="24">
        <v>28</v>
      </c>
      <c r="Q37" s="24">
        <v>38</v>
      </c>
      <c r="R37" s="24">
        <v>20</v>
      </c>
      <c r="S37" s="24">
        <v>37</v>
      </c>
      <c r="T37" s="37">
        <v>137</v>
      </c>
      <c r="U37" s="37">
        <v>7144</v>
      </c>
    </row>
    <row r="38" spans="1:21" x14ac:dyDescent="0.25">
      <c r="A38" s="23">
        <v>195</v>
      </c>
      <c r="B38" s="23" t="str">
        <v>Taylor Blvd</v>
      </c>
      <c r="C38" s="23" t="str">
        <v>Magnolia Ave</v>
      </c>
      <c r="D38" s="23" t="str">
        <v>Broadway</v>
      </c>
      <c r="E38" s="23" t="str">
        <v>S</v>
      </c>
      <c r="F38" s="24">
        <v>4</v>
      </c>
      <c r="G38" s="24">
        <v>3</v>
      </c>
      <c r="H38" s="53">
        <v>2</v>
      </c>
      <c r="I38" s="53">
        <v>5</v>
      </c>
      <c r="J38" s="53">
        <v>10</v>
      </c>
      <c r="K38" s="53">
        <v>9</v>
      </c>
      <c r="L38" s="24">
        <v>4.2</v>
      </c>
      <c r="M38" s="24">
        <v>2.9</v>
      </c>
      <c r="N38" s="24">
        <v>16</v>
      </c>
      <c r="O38" s="24">
        <v>11</v>
      </c>
      <c r="P38" s="24">
        <v>33</v>
      </c>
      <c r="Q38" s="24">
        <v>22</v>
      </c>
      <c r="R38" s="24">
        <v>22</v>
      </c>
      <c r="S38" s="24">
        <v>42</v>
      </c>
      <c r="T38" s="37">
        <v>152</v>
      </c>
      <c r="U38" s="37">
        <v>7926</v>
      </c>
    </row>
    <row r="39" spans="1:21" x14ac:dyDescent="0.25">
      <c r="A39" s="23">
        <v>197</v>
      </c>
      <c r="B39" s="23" t="str">
        <v>Taylor Blvd</v>
      </c>
      <c r="C39" s="23" t="str">
        <v>Broadway</v>
      </c>
      <c r="D39" s="23" t="str">
        <v>El Camino Real</v>
      </c>
      <c r="E39" s="23" t="str">
        <v>S</v>
      </c>
      <c r="F39" s="24">
        <v>3</v>
      </c>
      <c r="G39" s="24">
        <v>0</v>
      </c>
      <c r="H39" s="53">
        <v>1</v>
      </c>
      <c r="I39" s="53">
        <v>1</v>
      </c>
      <c r="J39" s="53">
        <v>5</v>
      </c>
      <c r="K39" s="53">
        <v>6</v>
      </c>
      <c r="L39" s="24">
        <v>2.4</v>
      </c>
      <c r="M39" s="24">
        <v>2.6</v>
      </c>
      <c r="N39" s="24">
        <v>8</v>
      </c>
      <c r="O39" s="24">
        <v>9</v>
      </c>
      <c r="P39" s="24">
        <v>15</v>
      </c>
      <c r="Q39" s="24">
        <v>19</v>
      </c>
      <c r="R39" s="24">
        <v>11</v>
      </c>
      <c r="S39" s="24">
        <v>21</v>
      </c>
      <c r="T39" s="37">
        <v>76</v>
      </c>
      <c r="U39" s="37">
        <v>3963</v>
      </c>
    </row>
    <row r="40" spans="1:21" x14ac:dyDescent="0.25">
      <c r="A40" s="23">
        <v>120</v>
      </c>
      <c r="B40" s="23" t="str">
        <v>El Camino Real</v>
      </c>
      <c r="C40" s="23" t="str">
        <v>Taylor Blvd</v>
      </c>
      <c r="D40" s="23" t="str">
        <v>Hillcrest Blvd</v>
      </c>
      <c r="E40" s="23" t="str">
        <v>W</v>
      </c>
      <c r="F40" s="24">
        <v>7</v>
      </c>
      <c r="G40" s="24">
        <v>2</v>
      </c>
      <c r="H40" s="53">
        <v>1</v>
      </c>
      <c r="I40" s="53">
        <v>3</v>
      </c>
      <c r="J40" s="53">
        <v>7</v>
      </c>
      <c r="K40" s="53">
        <v>7</v>
      </c>
      <c r="L40" s="24">
        <v>2.2999999999999998</v>
      </c>
      <c r="M40" s="24">
        <v>3</v>
      </c>
      <c r="N40" s="24">
        <v>16</v>
      </c>
      <c r="O40" s="24">
        <v>21</v>
      </c>
      <c r="P40" s="24">
        <v>55</v>
      </c>
      <c r="Q40" s="24">
        <v>51</v>
      </c>
      <c r="R40" s="24">
        <v>25</v>
      </c>
      <c r="S40" s="24">
        <v>48</v>
      </c>
      <c r="T40" s="37">
        <v>173</v>
      </c>
      <c r="U40" s="37">
        <v>9021</v>
      </c>
    </row>
    <row r="41" spans="1:21" x14ac:dyDescent="0.25">
      <c r="A41" s="23">
        <v>87</v>
      </c>
      <c r="B41" s="23" t="str">
        <v>Broadway</v>
      </c>
      <c r="C41" s="23" t="str">
        <v>Hillcrest Blvd</v>
      </c>
      <c r="D41" s="23" t="str">
        <v>Taylor Blvd</v>
      </c>
      <c r="E41" s="23" t="str">
        <v>E</v>
      </c>
      <c r="F41" s="24">
        <v>12</v>
      </c>
      <c r="G41" s="24">
        <v>2</v>
      </c>
      <c r="H41" s="53">
        <v>3</v>
      </c>
      <c r="I41" s="53">
        <v>5</v>
      </c>
      <c r="J41" s="53">
        <v>54</v>
      </c>
      <c r="K41" s="53">
        <v>126</v>
      </c>
      <c r="L41" s="24">
        <v>4.0999999999999996</v>
      </c>
      <c r="M41" s="24">
        <v>7.3</v>
      </c>
      <c r="N41" s="24">
        <v>82</v>
      </c>
      <c r="O41" s="24">
        <v>145</v>
      </c>
      <c r="P41" s="24">
        <v>144</v>
      </c>
      <c r="Q41" s="24">
        <v>187</v>
      </c>
      <c r="R41" s="24">
        <v>66</v>
      </c>
      <c r="S41" s="24">
        <v>125.39999999999999</v>
      </c>
      <c r="T41" s="37">
        <v>455.4</v>
      </c>
      <c r="U41" s="37">
        <v>23746.799999999999</v>
      </c>
    </row>
    <row r="42" spans="1:21" x14ac:dyDescent="0.25">
      <c r="A42" s="23">
        <v>121</v>
      </c>
      <c r="B42" s="23" t="str">
        <v>El Camino Real E</v>
      </c>
      <c r="C42" s="23" t="str">
        <v>Taylor Blvd</v>
      </c>
      <c r="D42" s="23" t="str">
        <v>Hillcrest Blvd</v>
      </c>
      <c r="E42" s="23" t="str">
        <v>W</v>
      </c>
      <c r="F42" s="24">
        <v>13</v>
      </c>
      <c r="G42" s="24">
        <v>1</v>
      </c>
      <c r="H42" s="53">
        <v>1</v>
      </c>
      <c r="I42" s="53">
        <v>2</v>
      </c>
      <c r="J42" s="53">
        <v>10</v>
      </c>
      <c r="K42" s="53">
        <v>14</v>
      </c>
      <c r="L42" s="24">
        <v>2.1</v>
      </c>
      <c r="M42" s="24">
        <v>2.6</v>
      </c>
      <c r="N42" s="24">
        <v>27</v>
      </c>
      <c r="O42" s="24">
        <v>34</v>
      </c>
      <c r="P42" s="24">
        <v>94</v>
      </c>
      <c r="Q42" s="24">
        <v>84</v>
      </c>
      <c r="R42" s="24">
        <v>44</v>
      </c>
      <c r="S42" s="24">
        <v>84</v>
      </c>
      <c r="T42" s="37">
        <v>304</v>
      </c>
      <c r="U42" s="37">
        <v>15852</v>
      </c>
    </row>
    <row r="43" spans="1:21" x14ac:dyDescent="0.25">
      <c r="A43" s="67">
        <v>86</v>
      </c>
      <c r="B43" s="67" t="str">
        <v>Broadway</v>
      </c>
      <c r="C43" s="67" t="str">
        <v>Taylor Blvd</v>
      </c>
      <c r="D43" s="67" t="str">
        <v>Hillcrest Blvd</v>
      </c>
      <c r="E43" s="67" t="str">
        <v>W</v>
      </c>
      <c r="F43" s="68">
        <v>21</v>
      </c>
      <c r="G43" s="68">
        <v>1</v>
      </c>
      <c r="H43" s="69">
        <v>3</v>
      </c>
      <c r="I43" s="69">
        <v>4</v>
      </c>
      <c r="J43" s="69">
        <v>116</v>
      </c>
      <c r="K43" s="69">
        <v>184</v>
      </c>
      <c r="L43" s="68">
        <v>4.4000000000000004</v>
      </c>
      <c r="M43" s="68">
        <v>6.2</v>
      </c>
      <c r="N43" s="68">
        <v>153</v>
      </c>
      <c r="O43" s="68">
        <v>218</v>
      </c>
      <c r="P43" s="68">
        <v>224</v>
      </c>
      <c r="Q43" s="68">
        <v>298</v>
      </c>
      <c r="R43" s="68">
        <v>114</v>
      </c>
      <c r="S43" s="68">
        <v>217.79999999999998</v>
      </c>
      <c r="T43" s="70">
        <v>787.8</v>
      </c>
      <c r="U43" s="70">
        <v>41079.599999999999</v>
      </c>
    </row>
    <row r="44" spans="1:21" x14ac:dyDescent="0.25">
      <c r="A44" s="61">
        <v>206</v>
      </c>
      <c r="B44" s="61" t="str">
        <v>Hillcrest Blvd</v>
      </c>
      <c r="C44" s="61" t="str">
        <v>Broadway</v>
      </c>
      <c r="D44" s="61" t="str">
        <v>Magnolia Ave</v>
      </c>
      <c r="E44" s="61" t="str">
        <v>N</v>
      </c>
      <c r="F44" s="75">
        <v>7</v>
      </c>
      <c r="G44" s="75">
        <v>3</v>
      </c>
      <c r="H44" s="76">
        <v>1</v>
      </c>
      <c r="I44" s="76">
        <v>4</v>
      </c>
      <c r="J44" s="76">
        <v>18</v>
      </c>
      <c r="K44" s="76">
        <v>14</v>
      </c>
      <c r="L44" s="75">
        <v>4.5</v>
      </c>
      <c r="M44" s="75">
        <v>4.5</v>
      </c>
      <c r="N44" s="75">
        <v>31</v>
      </c>
      <c r="O44" s="75">
        <v>31</v>
      </c>
      <c r="P44" s="75">
        <v>61</v>
      </c>
      <c r="Q44" s="75">
        <v>58</v>
      </c>
      <c r="R44" s="75">
        <v>44</v>
      </c>
      <c r="S44" s="75">
        <v>83</v>
      </c>
      <c r="T44" s="77">
        <v>303</v>
      </c>
      <c r="U44" s="77">
        <v>15800</v>
      </c>
    </row>
    <row r="45" spans="1:21" x14ac:dyDescent="0.25">
      <c r="A45" s="54">
        <v>208</v>
      </c>
      <c r="B45" s="54" t="str">
        <v>Hillcrest Blvd</v>
      </c>
      <c r="C45" s="54" t="str">
        <v>Broadway</v>
      </c>
      <c r="D45" s="54" t="str">
        <v>El Camino Real</v>
      </c>
      <c r="E45" s="54" t="str">
        <v>N</v>
      </c>
      <c r="F45" s="71">
        <v>4</v>
      </c>
      <c r="G45" s="71">
        <v>3</v>
      </c>
      <c r="H45" s="72">
        <v>3</v>
      </c>
      <c r="I45" s="72">
        <v>6</v>
      </c>
      <c r="J45" s="72">
        <v>3</v>
      </c>
      <c r="K45" s="72">
        <v>1</v>
      </c>
      <c r="L45" s="71">
        <v>2.8</v>
      </c>
      <c r="M45" s="71">
        <v>2.5</v>
      </c>
      <c r="N45" s="71">
        <v>10</v>
      </c>
      <c r="O45" s="71">
        <v>9</v>
      </c>
      <c r="P45" s="71">
        <v>40</v>
      </c>
      <c r="Q45" s="71">
        <v>40</v>
      </c>
      <c r="R45" s="71">
        <v>17</v>
      </c>
      <c r="S45" s="71">
        <v>32</v>
      </c>
      <c r="T45" s="73">
        <v>117</v>
      </c>
      <c r="U45" s="73">
        <v>6101</v>
      </c>
    </row>
    <row r="46" spans="1:21" x14ac:dyDescent="0.25">
      <c r="A46" s="54">
        <v>57</v>
      </c>
      <c r="B46" s="54" t="str">
        <v>Magnolia Ave</v>
      </c>
      <c r="C46" s="54" t="str">
        <v>La Cruz Ave</v>
      </c>
      <c r="D46" s="54" t="str">
        <v>Hillcrest Blvd</v>
      </c>
      <c r="E46" s="54" t="str">
        <v>E</v>
      </c>
      <c r="F46" s="71">
        <v>11</v>
      </c>
      <c r="G46" s="71">
        <v>2</v>
      </c>
      <c r="H46" s="72">
        <v>4</v>
      </c>
      <c r="I46" s="72">
        <v>6</v>
      </c>
      <c r="J46" s="72" t="str">
        <v>NA</v>
      </c>
      <c r="K46" s="72" t="str">
        <v>NA</v>
      </c>
      <c r="L46" s="71" t="str">
        <v>-</v>
      </c>
      <c r="M46" s="71" t="str">
        <v>-</v>
      </c>
      <c r="N46" s="71" t="str">
        <v>-</v>
      </c>
      <c r="O46" s="71" t="str">
        <v>-</v>
      </c>
      <c r="P46" s="71" t="str">
        <v>-</v>
      </c>
      <c r="Q46" s="71" t="str">
        <v>-</v>
      </c>
      <c r="R46" s="71">
        <v>0</v>
      </c>
      <c r="S46" s="71">
        <v>0</v>
      </c>
      <c r="T46" s="73">
        <v>0</v>
      </c>
      <c r="U46" s="73">
        <v>0</v>
      </c>
    </row>
    <row r="47" spans="1:21" x14ac:dyDescent="0.25">
      <c r="A47" s="54">
        <v>216</v>
      </c>
      <c r="B47" s="54" t="str">
        <v>La Cruz Ave</v>
      </c>
      <c r="C47" s="54" t="str">
        <v>Magnolia Ave</v>
      </c>
      <c r="D47" s="54" t="str">
        <v>Broadway</v>
      </c>
      <c r="E47" s="54" t="str">
        <v>N</v>
      </c>
      <c r="F47" s="71">
        <v>6</v>
      </c>
      <c r="G47" s="71">
        <v>0</v>
      </c>
      <c r="H47" s="72">
        <v>2</v>
      </c>
      <c r="I47" s="72">
        <v>2</v>
      </c>
      <c r="J47" s="72">
        <v>0</v>
      </c>
      <c r="K47" s="72">
        <v>21</v>
      </c>
      <c r="L47" s="71">
        <v>0</v>
      </c>
      <c r="M47" s="71">
        <v>4.7</v>
      </c>
      <c r="N47" s="71">
        <v>0</v>
      </c>
      <c r="O47" s="71">
        <v>28</v>
      </c>
      <c r="P47" s="71">
        <v>0</v>
      </c>
      <c r="Q47" s="71">
        <v>48</v>
      </c>
      <c r="R47" s="71">
        <v>0</v>
      </c>
      <c r="S47" s="71">
        <v>0</v>
      </c>
      <c r="T47" s="73">
        <v>0</v>
      </c>
      <c r="U47" s="73">
        <v>0</v>
      </c>
    </row>
    <row r="48" spans="1:21" x14ac:dyDescent="0.25">
      <c r="A48" s="54">
        <v>88</v>
      </c>
      <c r="B48" s="54" t="str">
        <v>Broadway</v>
      </c>
      <c r="C48" s="54" t="str">
        <v>Hillcrest Blvd</v>
      </c>
      <c r="D48" s="54" t="str">
        <v>La Cruz Ave</v>
      </c>
      <c r="E48" s="54" t="str">
        <v>W</v>
      </c>
      <c r="F48" s="71">
        <v>9</v>
      </c>
      <c r="G48" s="71">
        <v>2</v>
      </c>
      <c r="H48" s="72">
        <v>3</v>
      </c>
      <c r="I48" s="72">
        <v>5</v>
      </c>
      <c r="J48" s="72">
        <v>57</v>
      </c>
      <c r="K48" s="72">
        <v>96</v>
      </c>
      <c r="L48" s="74">
        <v>5.0999999999999996</v>
      </c>
      <c r="M48" s="74">
        <v>7.6</v>
      </c>
      <c r="N48" s="74">
        <v>77</v>
      </c>
      <c r="O48" s="74">
        <v>114</v>
      </c>
      <c r="P48" s="74">
        <v>118</v>
      </c>
      <c r="Q48" s="74">
        <v>135</v>
      </c>
      <c r="R48" s="74">
        <v>58.199999999999996</v>
      </c>
      <c r="S48" s="74">
        <v>111</v>
      </c>
      <c r="T48" s="73">
        <v>402</v>
      </c>
      <c r="U48" s="73">
        <v>20962.199999999997</v>
      </c>
    </row>
    <row r="49" spans="1:21" x14ac:dyDescent="0.25">
      <c r="A49" s="54">
        <v>89</v>
      </c>
      <c r="B49" s="54" t="str">
        <v>Broadway</v>
      </c>
      <c r="C49" s="54" t="str">
        <v>La Cruz Ave</v>
      </c>
      <c r="D49" s="54" t="str">
        <v>Hillcrest Blvd</v>
      </c>
      <c r="E49" s="54" t="str">
        <v>E</v>
      </c>
      <c r="F49" s="71">
        <v>10.799999999999999</v>
      </c>
      <c r="G49" s="71">
        <v>1</v>
      </c>
      <c r="H49" s="72">
        <v>3</v>
      </c>
      <c r="I49" s="72">
        <v>4</v>
      </c>
      <c r="J49" s="72">
        <v>103</v>
      </c>
      <c r="K49" s="72">
        <v>102</v>
      </c>
      <c r="L49" s="74">
        <v>6.6</v>
      </c>
      <c r="M49" s="74">
        <v>7.2</v>
      </c>
      <c r="N49" s="74">
        <v>118</v>
      </c>
      <c r="O49" s="74">
        <v>129</v>
      </c>
      <c r="P49" s="74">
        <v>143</v>
      </c>
      <c r="Q49" s="74">
        <v>165</v>
      </c>
      <c r="R49" s="74">
        <v>79.8</v>
      </c>
      <c r="S49" s="74">
        <v>154.19999999999999</v>
      </c>
      <c r="T49" s="73">
        <v>553.20000000000005</v>
      </c>
      <c r="U49" s="73">
        <v>28846.199999999997</v>
      </c>
    </row>
    <row r="50" spans="1:21" x14ac:dyDescent="0.25">
      <c r="A50">
        <v>209</v>
      </c>
      <c r="B50" t="str">
        <v>Hillcrest Blvd</v>
      </c>
      <c r="C50" t="str">
        <v>Broadway</v>
      </c>
      <c r="D50" t="str">
        <v>El Camino Real</v>
      </c>
      <c r="E50" t="str">
        <v>S</v>
      </c>
      <c r="F50" s="25">
        <v>5</v>
      </c>
      <c r="G50" s="25">
        <v>3</v>
      </c>
      <c r="H50" s="26">
        <v>3</v>
      </c>
      <c r="I50" s="26">
        <v>6</v>
      </c>
      <c r="J50" s="26">
        <v>5</v>
      </c>
      <c r="K50" s="26">
        <v>1</v>
      </c>
      <c r="L50" s="25">
        <v>2.4</v>
      </c>
      <c r="M50" s="25">
        <v>2.6</v>
      </c>
      <c r="N50" s="25">
        <v>12</v>
      </c>
      <c r="O50" s="25">
        <v>13</v>
      </c>
      <c r="P50" s="25">
        <v>44</v>
      </c>
      <c r="Q50" s="25">
        <v>50</v>
      </c>
      <c r="R50" s="25">
        <v>19</v>
      </c>
      <c r="S50" s="25">
        <v>35</v>
      </c>
      <c r="T50" s="38">
        <v>130</v>
      </c>
      <c r="U50" s="38">
        <v>6779</v>
      </c>
    </row>
    <row r="51" spans="1:21" x14ac:dyDescent="0.25">
      <c r="A51">
        <v>218</v>
      </c>
      <c r="B51" t="str">
        <v>La Cruz Ave</v>
      </c>
      <c r="C51" t="str">
        <v>El Camino Real</v>
      </c>
      <c r="D51" t="str">
        <v>Broadway</v>
      </c>
      <c r="E51" t="str">
        <v>N</v>
      </c>
      <c r="F51" s="25">
        <v>8</v>
      </c>
      <c r="G51" s="25">
        <v>2</v>
      </c>
      <c r="H51" s="26">
        <v>3</v>
      </c>
      <c r="I51" s="26">
        <v>5</v>
      </c>
      <c r="J51" s="26">
        <v>21</v>
      </c>
      <c r="K51" s="26">
        <v>6</v>
      </c>
      <c r="L51" s="25">
        <v>4.0999999999999996</v>
      </c>
      <c r="M51" s="25">
        <v>3.4</v>
      </c>
      <c r="N51" s="25">
        <v>33</v>
      </c>
      <c r="O51" s="25">
        <v>27</v>
      </c>
      <c r="P51" s="25">
        <v>70</v>
      </c>
      <c r="Q51" s="25">
        <v>79</v>
      </c>
      <c r="R51" s="25">
        <v>45</v>
      </c>
      <c r="S51" s="25">
        <v>87</v>
      </c>
      <c r="T51" s="38">
        <v>312</v>
      </c>
      <c r="U51" s="38">
        <v>16269</v>
      </c>
    </row>
    <row r="52" spans="1:21" x14ac:dyDescent="0.25">
      <c r="A52">
        <v>123</v>
      </c>
      <c r="B52" t="str">
        <v>El Camino Real</v>
      </c>
      <c r="C52" t="str">
        <v>Hillcrest Blvd</v>
      </c>
      <c r="D52" t="str">
        <v>La Cruz Ave</v>
      </c>
      <c r="E52" t="str">
        <v>W</v>
      </c>
      <c r="F52" s="25">
        <v>13</v>
      </c>
      <c r="G52" s="25">
        <v>2</v>
      </c>
      <c r="H52" s="26">
        <v>2</v>
      </c>
      <c r="I52" s="26">
        <v>4</v>
      </c>
      <c r="J52" s="26">
        <v>17</v>
      </c>
      <c r="K52" s="26">
        <v>17</v>
      </c>
      <c r="L52" s="25">
        <v>2.6</v>
      </c>
      <c r="M52" s="25">
        <v>3.5</v>
      </c>
      <c r="N52" s="25">
        <v>34</v>
      </c>
      <c r="O52" s="25">
        <v>46</v>
      </c>
      <c r="P52" s="25">
        <v>79</v>
      </c>
      <c r="Q52" s="25">
        <v>109</v>
      </c>
      <c r="R52" s="25">
        <v>51</v>
      </c>
      <c r="S52" s="25">
        <v>96</v>
      </c>
      <c r="T52" s="38">
        <v>351</v>
      </c>
      <c r="U52" s="38">
        <v>18303</v>
      </c>
    </row>
    <row r="53" spans="1:21" x14ac:dyDescent="0.25">
      <c r="A53">
        <v>124</v>
      </c>
      <c r="B53" t="str">
        <v>El Camino Real E</v>
      </c>
      <c r="C53" t="str">
        <v>Hillcrest Blvd</v>
      </c>
      <c r="D53" t="str">
        <v>La Cruz Ave</v>
      </c>
      <c r="E53" t="str">
        <v>W</v>
      </c>
      <c r="F53" s="25">
        <v>10</v>
      </c>
      <c r="G53" s="25">
        <v>3</v>
      </c>
      <c r="H53" s="26">
        <v>3</v>
      </c>
      <c r="I53" s="26">
        <v>6</v>
      </c>
      <c r="J53" s="26">
        <v>10</v>
      </c>
      <c r="K53" s="26">
        <v>6</v>
      </c>
      <c r="L53" s="25">
        <v>2.8</v>
      </c>
      <c r="M53" s="25">
        <v>2.9</v>
      </c>
      <c r="N53" s="25">
        <v>28</v>
      </c>
      <c r="O53" s="25">
        <v>29</v>
      </c>
      <c r="P53" s="25">
        <v>94</v>
      </c>
      <c r="Q53" s="25">
        <v>100</v>
      </c>
      <c r="R53" s="25">
        <v>46</v>
      </c>
      <c r="S53" s="25">
        <v>89</v>
      </c>
      <c r="T53" s="38">
        <v>319</v>
      </c>
      <c r="U53" s="38">
        <v>16634</v>
      </c>
    </row>
    <row r="54" spans="1:21" x14ac:dyDescent="0.25">
      <c r="A54">
        <v>125</v>
      </c>
      <c r="B54" t="str">
        <v>El Camino Real</v>
      </c>
      <c r="C54" t="str">
        <v>La Cruz Ave</v>
      </c>
      <c r="D54" t="str">
        <v>Hillcrest Blvd</v>
      </c>
      <c r="E54" t="str">
        <v>E</v>
      </c>
      <c r="F54" s="25">
        <v>6</v>
      </c>
      <c r="G54" s="25">
        <v>0</v>
      </c>
      <c r="H54" s="26">
        <v>3</v>
      </c>
      <c r="I54" s="26">
        <v>3</v>
      </c>
      <c r="J54" s="26">
        <v>0</v>
      </c>
      <c r="K54" s="26">
        <v>1</v>
      </c>
      <c r="L54" s="25">
        <v>1.1000000000000001</v>
      </c>
      <c r="M54" s="25">
        <v>1.7</v>
      </c>
      <c r="N54" s="25">
        <v>7</v>
      </c>
      <c r="O54" s="25">
        <v>11</v>
      </c>
      <c r="P54" s="25">
        <v>37</v>
      </c>
      <c r="Q54" s="25">
        <v>70</v>
      </c>
      <c r="R54" s="25">
        <v>14</v>
      </c>
      <c r="S54" s="25">
        <v>28</v>
      </c>
      <c r="T54" s="38">
        <v>98</v>
      </c>
      <c r="U54" s="38">
        <v>5110</v>
      </c>
    </row>
    <row r="55" spans="1:21" x14ac:dyDescent="0.25">
      <c r="A55">
        <v>128</v>
      </c>
      <c r="B55" t="str">
        <v>El Camino Real</v>
      </c>
      <c r="C55" t="str">
        <v>Sierra Ave</v>
      </c>
      <c r="D55" t="str">
        <v>La Cruz Ave</v>
      </c>
      <c r="E55" t="str">
        <v>E</v>
      </c>
      <c r="F55" s="25">
        <v>9</v>
      </c>
      <c r="G55" s="25">
        <v>0</v>
      </c>
      <c r="H55" s="26">
        <v>0</v>
      </c>
      <c r="I55" s="26">
        <v>0</v>
      </c>
      <c r="J55" s="26">
        <v>0</v>
      </c>
      <c r="K55" s="26">
        <v>3</v>
      </c>
      <c r="L55" s="25">
        <v>0.6</v>
      </c>
      <c r="M55" s="25">
        <v>1.7</v>
      </c>
      <c r="N55" s="25">
        <v>5</v>
      </c>
      <c r="O55" s="25">
        <v>15</v>
      </c>
      <c r="P55" s="25">
        <v>30</v>
      </c>
      <c r="Q55" s="25">
        <v>59</v>
      </c>
      <c r="R55" s="25">
        <v>10</v>
      </c>
      <c r="S55" s="25">
        <v>20</v>
      </c>
      <c r="T55" s="38">
        <v>70</v>
      </c>
      <c r="U55" s="38">
        <v>3650</v>
      </c>
    </row>
    <row r="56" spans="1:21" x14ac:dyDescent="0.25">
      <c r="A56">
        <v>217</v>
      </c>
      <c r="B56" t="str">
        <v>La Cruz Ave</v>
      </c>
      <c r="C56" t="str">
        <v>Broadway</v>
      </c>
      <c r="D56" t="str">
        <v>Magnolia Ave</v>
      </c>
      <c r="E56" t="str">
        <v>S</v>
      </c>
      <c r="F56" s="25">
        <v>6</v>
      </c>
      <c r="G56" s="25">
        <v>0</v>
      </c>
      <c r="H56" s="26">
        <v>1</v>
      </c>
      <c r="I56" s="26">
        <v>1</v>
      </c>
      <c r="J56" s="26">
        <v>0</v>
      </c>
      <c r="K56" s="26">
        <v>27</v>
      </c>
      <c r="L56" s="25">
        <v>0</v>
      </c>
      <c r="M56" s="25">
        <v>5.5</v>
      </c>
      <c r="N56" s="25">
        <v>0</v>
      </c>
      <c r="O56" s="25">
        <v>33</v>
      </c>
      <c r="P56" s="25">
        <v>0</v>
      </c>
      <c r="Q56" s="25">
        <v>47</v>
      </c>
      <c r="R56" s="25">
        <v>0</v>
      </c>
      <c r="S56" s="25">
        <v>0</v>
      </c>
      <c r="T56" s="38">
        <v>0</v>
      </c>
      <c r="U56" s="38">
        <v>0</v>
      </c>
    </row>
    <row r="57" spans="1:21" x14ac:dyDescent="0.25">
      <c r="A57">
        <v>219</v>
      </c>
      <c r="B57" t="str">
        <v>La Cruz Ave</v>
      </c>
      <c r="C57" t="str">
        <v>Broadway</v>
      </c>
      <c r="D57" t="str">
        <v>El Camino Real</v>
      </c>
      <c r="E57" t="str">
        <v>S</v>
      </c>
      <c r="F57" s="25">
        <v>7</v>
      </c>
      <c r="G57" s="25">
        <v>2</v>
      </c>
      <c r="H57" s="26">
        <v>3</v>
      </c>
      <c r="I57" s="26">
        <v>5</v>
      </c>
      <c r="J57" s="26">
        <v>10</v>
      </c>
      <c r="K57" s="26">
        <v>4</v>
      </c>
      <c r="L57" s="25">
        <v>3.4</v>
      </c>
      <c r="M57" s="25">
        <v>3.1</v>
      </c>
      <c r="N57" s="25">
        <v>24</v>
      </c>
      <c r="O57" s="25">
        <v>22</v>
      </c>
      <c r="P57" s="25">
        <v>64</v>
      </c>
      <c r="Q57" s="25">
        <v>66</v>
      </c>
      <c r="R57" s="25">
        <v>38</v>
      </c>
      <c r="S57" s="25">
        <v>73</v>
      </c>
      <c r="T57" s="38">
        <v>263</v>
      </c>
      <c r="U57" s="38">
        <v>13714</v>
      </c>
    </row>
    <row r="58" spans="1:21" x14ac:dyDescent="0.25">
      <c r="A58">
        <v>126</v>
      </c>
      <c r="B58" t="str">
        <v>El Camino Real</v>
      </c>
      <c r="C58" t="str">
        <v>La Cruz Ave</v>
      </c>
      <c r="D58" t="str">
        <v>Victoria Ave</v>
      </c>
      <c r="E58" t="str">
        <v>W</v>
      </c>
      <c r="F58" s="25">
        <v>20</v>
      </c>
      <c r="G58" s="25">
        <v>0</v>
      </c>
      <c r="H58" s="26">
        <v>1</v>
      </c>
      <c r="I58" s="26">
        <v>1</v>
      </c>
      <c r="J58" s="26">
        <v>30</v>
      </c>
      <c r="K58" s="26">
        <v>23</v>
      </c>
      <c r="L58" s="25">
        <v>3.2</v>
      </c>
      <c r="M58" s="25">
        <v>3.3</v>
      </c>
      <c r="N58" s="25">
        <v>64</v>
      </c>
      <c r="O58" s="25">
        <v>65</v>
      </c>
      <c r="P58" s="25">
        <v>139</v>
      </c>
      <c r="Q58" s="25">
        <v>145</v>
      </c>
      <c r="R58" s="25">
        <v>98</v>
      </c>
      <c r="S58" s="25">
        <v>176</v>
      </c>
      <c r="T58" s="38">
        <v>666</v>
      </c>
      <c r="U58" s="38">
        <v>34730</v>
      </c>
    </row>
    <row r="59" spans="1:21" x14ac:dyDescent="0.25">
      <c r="A59">
        <v>91</v>
      </c>
      <c r="B59" t="str">
        <v>Broadway</v>
      </c>
      <c r="C59" t="str">
        <v>Victoria Ave</v>
      </c>
      <c r="D59" t="str">
        <v>La Cruz Ave</v>
      </c>
      <c r="E59" t="str">
        <v>E</v>
      </c>
      <c r="F59" s="25">
        <v>9</v>
      </c>
      <c r="G59" s="25">
        <v>2</v>
      </c>
      <c r="H59" s="26">
        <v>3</v>
      </c>
      <c r="I59" s="26">
        <v>5</v>
      </c>
      <c r="J59" s="26">
        <v>88</v>
      </c>
      <c r="K59" s="26">
        <v>70</v>
      </c>
      <c r="L59" s="25">
        <v>6.7</v>
      </c>
      <c r="M59" s="25">
        <v>6.1</v>
      </c>
      <c r="N59" s="25">
        <v>100</v>
      </c>
      <c r="O59" s="25">
        <v>91</v>
      </c>
      <c r="P59" s="25">
        <v>131</v>
      </c>
      <c r="Q59" s="25">
        <v>122</v>
      </c>
      <c r="R59" s="25">
        <v>67.2</v>
      </c>
      <c r="S59" s="25">
        <v>131.4</v>
      </c>
      <c r="T59" s="38">
        <v>467.4</v>
      </c>
      <c r="U59" s="38">
        <v>24372</v>
      </c>
    </row>
    <row r="60" spans="1:21" x14ac:dyDescent="0.25">
      <c r="A60">
        <v>90</v>
      </c>
      <c r="B60" t="str">
        <v>Broadway</v>
      </c>
      <c r="C60" t="str">
        <v>La Cruz Ave</v>
      </c>
      <c r="D60" t="str">
        <v>Victoria Ave</v>
      </c>
      <c r="E60" t="str">
        <v>W</v>
      </c>
      <c r="F60" s="25">
        <v>12.6</v>
      </c>
      <c r="G60" s="25">
        <v>1</v>
      </c>
      <c r="H60" s="26">
        <v>2</v>
      </c>
      <c r="I60" s="26">
        <v>3</v>
      </c>
      <c r="J60" s="26">
        <v>76</v>
      </c>
      <c r="K60" s="26">
        <v>96</v>
      </c>
      <c r="L60" s="25">
        <v>5.0999999999999996</v>
      </c>
      <c r="M60" s="25">
        <v>6.1</v>
      </c>
      <c r="N60" s="25">
        <v>108</v>
      </c>
      <c r="O60" s="25">
        <v>128</v>
      </c>
      <c r="P60" s="25">
        <v>161</v>
      </c>
      <c r="Q60" s="25">
        <v>176</v>
      </c>
      <c r="R60" s="25">
        <v>84</v>
      </c>
      <c r="S60" s="25">
        <v>154.19999999999999</v>
      </c>
      <c r="T60" s="38">
        <v>574.20000000000005</v>
      </c>
      <c r="U60" s="38">
        <v>29942.400000000001</v>
      </c>
    </row>
    <row r="61" spans="1:21" x14ac:dyDescent="0.25">
      <c r="A61">
        <v>224</v>
      </c>
      <c r="B61" t="str">
        <v>Victoria Ave</v>
      </c>
      <c r="C61" t="str">
        <v>El Camino Real</v>
      </c>
      <c r="D61" t="str">
        <v>Broadway</v>
      </c>
      <c r="E61" t="str">
        <v>N</v>
      </c>
      <c r="F61" s="25">
        <v>7</v>
      </c>
      <c r="G61" s="25">
        <v>3</v>
      </c>
      <c r="H61" s="26">
        <v>3</v>
      </c>
      <c r="I61" s="26">
        <v>6</v>
      </c>
      <c r="J61" s="26">
        <v>6</v>
      </c>
      <c r="K61" s="26">
        <v>18</v>
      </c>
      <c r="L61" s="25">
        <v>2.4</v>
      </c>
      <c r="M61" s="25">
        <v>4.4000000000000004</v>
      </c>
      <c r="N61" s="25">
        <v>16</v>
      </c>
      <c r="O61" s="25">
        <v>29</v>
      </c>
      <c r="P61" s="25">
        <v>65</v>
      </c>
      <c r="Q61" s="25">
        <v>65</v>
      </c>
      <c r="R61" s="25">
        <v>26</v>
      </c>
      <c r="S61" s="25">
        <v>52</v>
      </c>
      <c r="T61" s="38">
        <v>182</v>
      </c>
      <c r="U61" s="38">
        <v>9490</v>
      </c>
    </row>
    <row r="62" spans="1:21" x14ac:dyDescent="0.25">
      <c r="A62">
        <v>225</v>
      </c>
      <c r="B62" t="str">
        <v>Victoria Ave</v>
      </c>
      <c r="C62" t="str">
        <v>Broadway</v>
      </c>
      <c r="D62" t="str">
        <v>El Camino Real</v>
      </c>
      <c r="E62" t="str">
        <v>S</v>
      </c>
      <c r="F62" s="25">
        <v>8</v>
      </c>
      <c r="G62" s="25">
        <v>1</v>
      </c>
      <c r="H62" s="26">
        <v>1</v>
      </c>
      <c r="I62" s="26">
        <v>2</v>
      </c>
      <c r="J62" s="26">
        <v>10</v>
      </c>
      <c r="K62" s="26">
        <v>9</v>
      </c>
      <c r="L62" s="25">
        <v>3.3</v>
      </c>
      <c r="M62" s="25">
        <v>2.1</v>
      </c>
      <c r="N62" s="25">
        <v>27</v>
      </c>
      <c r="O62" s="25">
        <v>17</v>
      </c>
      <c r="P62" s="25">
        <v>67</v>
      </c>
      <c r="Q62" s="25">
        <v>65</v>
      </c>
      <c r="R62" s="25">
        <v>44</v>
      </c>
      <c r="S62" s="25">
        <v>77</v>
      </c>
      <c r="T62" s="38">
        <v>297</v>
      </c>
      <c r="U62" s="38">
        <v>15488</v>
      </c>
    </row>
    <row r="63" spans="1:21" x14ac:dyDescent="0.25">
      <c r="A63">
        <v>127</v>
      </c>
      <c r="B63" t="str">
        <v>El Camino Real E</v>
      </c>
      <c r="C63" t="str">
        <v>La Cruz Ave</v>
      </c>
      <c r="D63" t="str">
        <v>Victoria Ave</v>
      </c>
      <c r="E63" t="str">
        <v>W</v>
      </c>
      <c r="F63" s="25">
        <v>16</v>
      </c>
      <c r="G63" s="25">
        <v>3</v>
      </c>
      <c r="H63" s="26">
        <v>3</v>
      </c>
      <c r="I63" s="26">
        <v>6</v>
      </c>
      <c r="J63" s="26">
        <v>21</v>
      </c>
      <c r="K63" s="26">
        <v>24</v>
      </c>
      <c r="L63" s="25">
        <v>3.4</v>
      </c>
      <c r="M63" s="25">
        <v>4.5999999999999996</v>
      </c>
      <c r="N63" s="25">
        <v>55</v>
      </c>
      <c r="O63" s="25">
        <v>74</v>
      </c>
      <c r="P63" s="25">
        <v>148</v>
      </c>
      <c r="Q63" s="25">
        <v>154</v>
      </c>
      <c r="R63" s="25">
        <v>89</v>
      </c>
      <c r="S63" s="25">
        <v>165</v>
      </c>
      <c r="T63" s="38">
        <v>610</v>
      </c>
      <c r="U63" s="38">
        <v>31809</v>
      </c>
    </row>
    <row r="64" spans="1:21" x14ac:dyDescent="0.25">
      <c r="A64">
        <v>129</v>
      </c>
      <c r="B64" t="str">
        <v>El Camino Real</v>
      </c>
      <c r="C64" t="str">
        <v>Victoria Ave</v>
      </c>
      <c r="D64" t="str">
        <v>Chadbourne Ave</v>
      </c>
      <c r="E64" t="str">
        <v>W</v>
      </c>
      <c r="F64" s="25">
        <v>25</v>
      </c>
      <c r="G64" s="25">
        <v>1</v>
      </c>
      <c r="H64" s="26">
        <v>3</v>
      </c>
      <c r="I64" s="26">
        <v>4</v>
      </c>
      <c r="J64" s="26">
        <v>25</v>
      </c>
      <c r="K64" s="26">
        <v>68</v>
      </c>
      <c r="L64" s="25">
        <v>2.6</v>
      </c>
      <c r="M64" s="25">
        <v>4.8</v>
      </c>
      <c r="N64" s="25">
        <v>66</v>
      </c>
      <c r="O64" s="25">
        <v>119</v>
      </c>
      <c r="P64" s="25">
        <v>139</v>
      </c>
      <c r="Q64" s="25">
        <v>189</v>
      </c>
      <c r="R64" s="25">
        <v>107</v>
      </c>
      <c r="S64" s="25">
        <v>198</v>
      </c>
      <c r="T64" s="38">
        <v>733</v>
      </c>
      <c r="U64" s="38">
        <v>38223</v>
      </c>
    </row>
    <row r="65" spans="1:21" x14ac:dyDescent="0.25">
      <c r="A65">
        <v>130</v>
      </c>
      <c r="B65" t="str">
        <v>El Camino Real E</v>
      </c>
      <c r="C65" t="str">
        <v>Victoria Ave</v>
      </c>
      <c r="D65" t="str">
        <v>Chadbourne Ave</v>
      </c>
      <c r="E65" t="str">
        <v>W</v>
      </c>
      <c r="F65" s="25">
        <v>14</v>
      </c>
      <c r="G65" s="25">
        <v>0</v>
      </c>
      <c r="H65" s="26">
        <v>2</v>
      </c>
      <c r="I65" s="26">
        <v>2</v>
      </c>
      <c r="J65" s="26">
        <v>15</v>
      </c>
      <c r="K65" s="26">
        <v>29</v>
      </c>
      <c r="L65" s="25">
        <v>2.2999999999999998</v>
      </c>
      <c r="M65" s="25">
        <v>4.4000000000000004</v>
      </c>
      <c r="N65" s="25">
        <v>32</v>
      </c>
      <c r="O65" s="25">
        <v>61</v>
      </c>
      <c r="P65" s="25">
        <v>53</v>
      </c>
      <c r="Q65" s="25">
        <v>109</v>
      </c>
      <c r="R65" s="25">
        <v>49</v>
      </c>
      <c r="S65" s="25">
        <v>85</v>
      </c>
      <c r="T65" s="38">
        <v>330</v>
      </c>
      <c r="U65" s="38">
        <v>17209</v>
      </c>
    </row>
    <row r="66" spans="1:21" x14ac:dyDescent="0.25">
      <c r="A66">
        <v>131</v>
      </c>
      <c r="B66" t="str">
        <v>El Camino Real</v>
      </c>
      <c r="C66" t="str">
        <v>Linden Ave</v>
      </c>
      <c r="D66" t="str">
        <v>Sierra Ave</v>
      </c>
      <c r="E66" t="str">
        <v>E</v>
      </c>
      <c r="F66" s="25">
        <v>8</v>
      </c>
      <c r="G66" s="25">
        <v>2</v>
      </c>
      <c r="H66" s="26">
        <v>1</v>
      </c>
      <c r="I66" s="26">
        <v>3</v>
      </c>
      <c r="J66" s="26">
        <v>8</v>
      </c>
      <c r="K66" s="26">
        <v>18</v>
      </c>
      <c r="L66" s="25">
        <v>2.2999999999999998</v>
      </c>
      <c r="M66" s="25">
        <v>3.3</v>
      </c>
      <c r="N66" s="25">
        <v>19</v>
      </c>
      <c r="O66" s="25">
        <v>28</v>
      </c>
      <c r="P66" s="25">
        <v>64</v>
      </c>
      <c r="Q66" s="25">
        <v>59</v>
      </c>
      <c r="R66" s="25">
        <v>30</v>
      </c>
      <c r="S66" s="25">
        <v>59</v>
      </c>
      <c r="T66" s="38">
        <v>209</v>
      </c>
      <c r="U66" s="38">
        <v>10898</v>
      </c>
    </row>
    <row r="67" spans="1:21" x14ac:dyDescent="0.25">
      <c r="A67">
        <v>132</v>
      </c>
      <c r="B67" t="str">
        <v>El Camino Real</v>
      </c>
      <c r="C67" t="str">
        <v>Chadbourne Ave</v>
      </c>
      <c r="D67" t="str">
        <v>Millbrae Ave</v>
      </c>
      <c r="E67" t="str">
        <v>W</v>
      </c>
      <c r="F67" s="25">
        <v>4</v>
      </c>
      <c r="G67" s="25">
        <v>0</v>
      </c>
      <c r="H67" s="26">
        <v>1</v>
      </c>
      <c r="I67" s="26">
        <v>1</v>
      </c>
      <c r="J67" s="26">
        <v>0</v>
      </c>
      <c r="K67" s="26">
        <v>10</v>
      </c>
      <c r="L67" s="25">
        <v>1</v>
      </c>
      <c r="M67" s="25">
        <v>3.3</v>
      </c>
      <c r="N67" s="25">
        <v>4</v>
      </c>
      <c r="O67" s="25">
        <v>14</v>
      </c>
      <c r="P67" s="25">
        <v>20</v>
      </c>
      <c r="Q67" s="25">
        <v>27</v>
      </c>
      <c r="R67" s="25">
        <v>8</v>
      </c>
      <c r="S67" s="25">
        <v>16</v>
      </c>
      <c r="T67" s="38">
        <v>56</v>
      </c>
      <c r="U67" s="38">
        <v>2920</v>
      </c>
    </row>
    <row r="68" spans="1:21" x14ac:dyDescent="0.25">
      <c r="A68">
        <v>145</v>
      </c>
      <c r="B68" t="str">
        <v>Sierra Ave</v>
      </c>
      <c r="C68" t="str">
        <v>El Camino Real</v>
      </c>
      <c r="D68" t="str">
        <v>Linden Ave</v>
      </c>
      <c r="E68" t="str">
        <v>E</v>
      </c>
      <c r="F68" s="25">
        <v>14</v>
      </c>
      <c r="G68" s="25">
        <v>0</v>
      </c>
      <c r="H68" s="26">
        <v>0</v>
      </c>
      <c r="I68" s="26">
        <v>0</v>
      </c>
      <c r="J68" s="26">
        <v>3</v>
      </c>
      <c r="K68" s="26">
        <v>8</v>
      </c>
      <c r="L68" s="25">
        <v>0.4</v>
      </c>
      <c r="M68" s="25">
        <v>0.9</v>
      </c>
      <c r="N68" s="25">
        <v>5</v>
      </c>
      <c r="O68" s="25">
        <v>12</v>
      </c>
      <c r="P68" s="25">
        <v>13</v>
      </c>
      <c r="Q68" s="25">
        <v>30</v>
      </c>
      <c r="R68" s="25">
        <v>7</v>
      </c>
      <c r="S68" s="25">
        <v>14</v>
      </c>
      <c r="T68" s="38">
        <v>49</v>
      </c>
      <c r="U68" s="38">
        <v>2555</v>
      </c>
    </row>
    <row r="69" spans="1:21" x14ac:dyDescent="0.25">
      <c r="A69">
        <v>144</v>
      </c>
      <c r="B69" t="str">
        <v>Sierra Ave</v>
      </c>
      <c r="C69" t="str">
        <v>Linden Ave</v>
      </c>
      <c r="D69" t="str">
        <v>El Camino Real</v>
      </c>
      <c r="E69" t="str">
        <v>W</v>
      </c>
      <c r="F69" s="25">
        <v>11</v>
      </c>
      <c r="G69" s="25">
        <v>0</v>
      </c>
      <c r="H69" s="26">
        <v>0</v>
      </c>
      <c r="I69" s="26">
        <v>0</v>
      </c>
      <c r="J69" s="26">
        <v>4</v>
      </c>
      <c r="K69" s="26">
        <v>12</v>
      </c>
      <c r="L69" s="25">
        <v>1.2</v>
      </c>
      <c r="M69" s="25">
        <v>1.7</v>
      </c>
      <c r="N69" s="25">
        <v>13</v>
      </c>
      <c r="O69" s="25">
        <v>18</v>
      </c>
      <c r="P69" s="25">
        <v>32</v>
      </c>
      <c r="Q69" s="25">
        <v>33</v>
      </c>
      <c r="R69" s="25">
        <v>22</v>
      </c>
      <c r="S69" s="25">
        <v>40</v>
      </c>
      <c r="T69" s="38">
        <v>150</v>
      </c>
      <c r="U69" s="38">
        <v>7822</v>
      </c>
    </row>
    <row r="70" spans="1:21" x14ac:dyDescent="0.25">
      <c r="A70">
        <v>240</v>
      </c>
      <c r="B70" t="str">
        <v>Linden Ave</v>
      </c>
      <c r="C70" t="str">
        <v>Sierra Ave</v>
      </c>
      <c r="D70" t="str">
        <v>El Camino Real</v>
      </c>
      <c r="E70" t="str">
        <v>N</v>
      </c>
      <c r="F70" s="25">
        <v>3</v>
      </c>
      <c r="G70" s="25">
        <v>3</v>
      </c>
      <c r="H70" s="26">
        <v>1</v>
      </c>
      <c r="I70" s="26">
        <v>4</v>
      </c>
      <c r="J70" s="26">
        <v>0</v>
      </c>
      <c r="K70" s="26">
        <v>0</v>
      </c>
      <c r="L70" s="25">
        <v>0.9</v>
      </c>
      <c r="M70" s="25">
        <v>1.3</v>
      </c>
      <c r="N70" s="25">
        <v>3</v>
      </c>
      <c r="O70" s="25">
        <v>4</v>
      </c>
      <c r="P70" s="25">
        <v>30</v>
      </c>
      <c r="Q70" s="25">
        <v>22</v>
      </c>
      <c r="R70" s="25">
        <v>6</v>
      </c>
      <c r="S70" s="25">
        <v>12</v>
      </c>
      <c r="T70" s="38">
        <v>42</v>
      </c>
      <c r="U70" s="38">
        <v>2190</v>
      </c>
    </row>
    <row r="71" spans="1:21" x14ac:dyDescent="0.25">
      <c r="A71">
        <v>241</v>
      </c>
      <c r="B71" t="str">
        <v>Linden Ave</v>
      </c>
      <c r="C71" t="str">
        <v>El Camino Real</v>
      </c>
      <c r="D71" t="str">
        <v>Sierra Ave</v>
      </c>
      <c r="E71" t="str">
        <v>S</v>
      </c>
      <c r="F71" s="25">
        <v>2</v>
      </c>
      <c r="G71" s="25">
        <v>0</v>
      </c>
      <c r="H71" s="26">
        <v>0</v>
      </c>
      <c r="I71" s="26">
        <v>0</v>
      </c>
      <c r="J71" s="26">
        <v>0</v>
      </c>
      <c r="K71" s="26">
        <v>1</v>
      </c>
      <c r="L71" s="25">
        <v>0</v>
      </c>
      <c r="M71" s="25">
        <v>1</v>
      </c>
      <c r="N71" s="25">
        <v>0</v>
      </c>
      <c r="O71" s="25">
        <v>2</v>
      </c>
      <c r="P71" s="25">
        <v>0</v>
      </c>
      <c r="Q71" s="25">
        <v>3</v>
      </c>
      <c r="R71" s="25">
        <v>0</v>
      </c>
      <c r="S71" s="25">
        <v>0</v>
      </c>
      <c r="T71" s="38">
        <v>0</v>
      </c>
      <c r="U71" s="38">
        <v>0</v>
      </c>
    </row>
    <row r="72" spans="1:21" x14ac:dyDescent="0.25">
      <c r="A72">
        <v>207</v>
      </c>
      <c r="B72" t="str">
        <v>Hillcrest Blvd</v>
      </c>
      <c r="C72" t="str">
        <v>Magnolia Ave</v>
      </c>
      <c r="D72" t="str">
        <v>Broadway</v>
      </c>
      <c r="E72" t="str">
        <v>S</v>
      </c>
      <c r="F72" s="25">
        <v>6</v>
      </c>
      <c r="G72" s="25">
        <v>1</v>
      </c>
      <c r="H72" s="26">
        <v>1</v>
      </c>
      <c r="I72" s="26">
        <v>2</v>
      </c>
      <c r="J72" s="26">
        <v>18</v>
      </c>
      <c r="K72" s="26">
        <v>11</v>
      </c>
      <c r="L72" s="25">
        <v>4.3</v>
      </c>
      <c r="M72" s="25">
        <v>3.5</v>
      </c>
      <c r="N72" s="25">
        <v>25</v>
      </c>
      <c r="O72" s="25">
        <v>20</v>
      </c>
      <c r="P72" s="25">
        <v>41</v>
      </c>
      <c r="Q72" s="25">
        <v>36</v>
      </c>
      <c r="R72" s="25">
        <v>32</v>
      </c>
      <c r="S72" s="25">
        <v>62</v>
      </c>
      <c r="T72" s="38">
        <v>222</v>
      </c>
      <c r="U72" s="38">
        <v>11576</v>
      </c>
    </row>
    <row r="73" spans="1:21" x14ac:dyDescent="0.25">
      <c r="A73">
        <v>902</v>
      </c>
      <c r="B73">
        <v>0</v>
      </c>
      <c r="C73" t="str">
        <v>300 Magnolia Lot</v>
      </c>
      <c r="D73">
        <v>0</v>
      </c>
      <c r="E73">
        <v>0</v>
      </c>
      <c r="F73" s="25">
        <v>104</v>
      </c>
      <c r="G73" s="25">
        <v>1</v>
      </c>
      <c r="H73" s="26">
        <v>2</v>
      </c>
      <c r="I73" s="26">
        <v>3</v>
      </c>
      <c r="J73" s="26">
        <v>0</v>
      </c>
      <c r="K73" s="26">
        <v>0</v>
      </c>
      <c r="L73" s="25">
        <v>2</v>
      </c>
      <c r="M73" s="25">
        <v>6.8</v>
      </c>
      <c r="N73" s="25">
        <v>212</v>
      </c>
      <c r="O73" s="25">
        <v>705</v>
      </c>
      <c r="P73" s="25">
        <v>774</v>
      </c>
      <c r="Q73" s="25">
        <v>1687</v>
      </c>
      <c r="R73" s="25">
        <v>370</v>
      </c>
      <c r="S73" s="25">
        <v>703</v>
      </c>
      <c r="T73" s="38">
        <v>2553</v>
      </c>
      <c r="U73" s="38">
        <v>133126</v>
      </c>
    </row>
    <row r="74" spans="1:21" x14ac:dyDescent="0.25">
      <c r="A74">
        <v>903</v>
      </c>
      <c r="B74">
        <v>0</v>
      </c>
      <c r="C74" t="str">
        <v>446 Broadway Lot</v>
      </c>
      <c r="D74">
        <v>0</v>
      </c>
      <c r="E74">
        <v>0</v>
      </c>
      <c r="F74" s="25">
        <v>62</v>
      </c>
      <c r="G74" s="25">
        <v>0</v>
      </c>
      <c r="H74" s="26">
        <v>1</v>
      </c>
      <c r="I74" s="26">
        <v>1</v>
      </c>
      <c r="J74" s="26">
        <v>54</v>
      </c>
      <c r="K74" s="26">
        <v>393</v>
      </c>
      <c r="L74" s="25">
        <v>2.5</v>
      </c>
      <c r="M74" s="25">
        <v>5</v>
      </c>
      <c r="N74" s="25">
        <v>158</v>
      </c>
      <c r="O74" s="25">
        <v>310</v>
      </c>
      <c r="P74" s="25">
        <v>414</v>
      </c>
      <c r="Q74" s="25">
        <v>914</v>
      </c>
      <c r="R74" s="25">
        <v>233</v>
      </c>
      <c r="S74" s="25">
        <v>442</v>
      </c>
      <c r="T74" s="38">
        <v>1607</v>
      </c>
      <c r="U74" s="38">
        <v>83797</v>
      </c>
    </row>
    <row r="75" spans="1:21" x14ac:dyDescent="0.25">
      <c r="A75">
        <v>904</v>
      </c>
      <c r="B75">
        <v>0</v>
      </c>
      <c r="C75" t="str">
        <v>238 Broadway Lot</v>
      </c>
      <c r="D75">
        <v>0</v>
      </c>
      <c r="E75">
        <v>0</v>
      </c>
      <c r="F75" s="25">
        <v>50</v>
      </c>
      <c r="G75" s="25">
        <v>2</v>
      </c>
      <c r="H75" s="26">
        <v>2</v>
      </c>
      <c r="I75" s="26">
        <v>4</v>
      </c>
      <c r="J75" s="26">
        <v>83</v>
      </c>
      <c r="K75" s="26">
        <v>114</v>
      </c>
      <c r="L75" s="25">
        <v>2.5</v>
      </c>
      <c r="M75" s="25">
        <v>4.032258064516129</v>
      </c>
      <c r="N75" s="25">
        <v>127.41935483870968</v>
      </c>
      <c r="O75" s="25">
        <v>250</v>
      </c>
      <c r="P75" s="25">
        <v>333.87096774193549</v>
      </c>
      <c r="Q75" s="25">
        <v>737.0967741935483</v>
      </c>
      <c r="R75" s="25">
        <v>187.90322580645159</v>
      </c>
      <c r="S75" s="25">
        <v>356.45161290322579</v>
      </c>
      <c r="T75" s="38">
        <v>1295.9677419354837</v>
      </c>
      <c r="U75" s="38">
        <v>67578.225806451606</v>
      </c>
    </row>
    <row r="76" spans="1:21" x14ac:dyDescent="0.25">
      <c r="A76">
        <v>905</v>
      </c>
      <c r="B76">
        <v>0</v>
      </c>
      <c r="C76" t="str">
        <v>Park Pl Lot</v>
      </c>
      <c r="D76">
        <v>0</v>
      </c>
      <c r="E76">
        <v>0</v>
      </c>
      <c r="F76" s="25">
        <v>55</v>
      </c>
      <c r="G76" s="25">
        <v>0</v>
      </c>
      <c r="H76" s="26">
        <v>1</v>
      </c>
      <c r="I76" s="26">
        <v>1</v>
      </c>
      <c r="J76" s="26">
        <v>66.935483870967744</v>
      </c>
      <c r="K76" s="26">
        <v>91.935483870967744</v>
      </c>
      <c r="L76" s="25">
        <v>2.5</v>
      </c>
      <c r="M76" s="25">
        <v>4.435483870967742</v>
      </c>
      <c r="N76" s="25">
        <v>140.16129032258064</v>
      </c>
      <c r="O76" s="25">
        <v>275</v>
      </c>
      <c r="P76" s="25">
        <v>367.25806451612908</v>
      </c>
      <c r="Q76" s="25">
        <v>810.80645161290317</v>
      </c>
      <c r="R76" s="25">
        <v>206.69354838709677</v>
      </c>
      <c r="S76" s="25">
        <v>392.09677419354841</v>
      </c>
      <c r="T76" s="38">
        <v>1425.5645161290322</v>
      </c>
      <c r="U76" s="38">
        <v>74336.048387096773</v>
      </c>
    </row>
  </sheetData>
  <mergeCells count="13">
    <mergeCell ref="W20:X20"/>
    <mergeCell ref="W3:X3"/>
    <mergeCell ref="W11:W12"/>
    <mergeCell ref="W13:X13"/>
    <mergeCell ref="W14:X14"/>
    <mergeCell ref="W17:W18"/>
    <mergeCell ref="W19:X19"/>
    <mergeCell ref="T1:U1"/>
    <mergeCell ref="G1:I1"/>
    <mergeCell ref="L1:M1"/>
    <mergeCell ref="N1:O1"/>
    <mergeCell ref="P1:Q1"/>
    <mergeCell ref="R1:S1"/>
  </mergeCells>
  <conditionalFormatting sqref="A1:E1 G1 L1 N1 T1">
    <cfRule type="expression" dxfId="25" priority="7" stopIfTrue="1">
      <formula xml:space="preserve"> #REF!= "YES"</formula>
    </cfRule>
  </conditionalFormatting>
  <conditionalFormatting sqref="A2:Q2">
    <cfRule type="expression" dxfId="24" priority="8" stopIfTrue="1">
      <formula xml:space="preserve"> #REF!= "YES"</formula>
    </cfRule>
  </conditionalFormatting>
  <conditionalFormatting sqref="H2:K2">
    <cfRule type="cellIs" dxfId="23" priority="6" stopIfTrue="1" operator="equal">
      <formula>8</formula>
    </cfRule>
  </conditionalFormatting>
  <conditionalFormatting sqref="H3:U65516 A3:F65516">
    <cfRule type="expression" dxfId="22" priority="9" stopIfTrue="1">
      <formula xml:space="preserve"> #REF!= "YES"</formula>
    </cfRule>
  </conditionalFormatting>
  <conditionalFormatting sqref="I2:K2">
    <cfRule type="colorScale" priority="1">
      <colorScale>
        <cfvo type="num" val="0"/>
        <cfvo type="percentile" val="50"/>
        <cfvo type="num" val="9"/>
        <color theme="9" tint="0.79998168889431442"/>
        <color theme="7" tint="0.59999389629810485"/>
        <color theme="5"/>
      </colorScale>
    </cfRule>
  </conditionalFormatting>
  <conditionalFormatting sqref="I2:K1048576">
    <cfRule type="colorScale" priority="5">
      <colorScale>
        <cfvo type="num" val="0"/>
        <cfvo type="percentile" val="50"/>
        <cfvo type="num" val="9"/>
        <color theme="9" tint="0.79998168889431442"/>
        <color theme="7" tint="0.59999389629810485"/>
        <color theme="5"/>
      </colorScale>
    </cfRule>
  </conditionalFormatting>
  <conditionalFormatting sqref="P1">
    <cfRule type="expression" dxfId="21" priority="4" stopIfTrue="1">
      <formula xml:space="preserve"> #REF!= "YES"</formula>
    </cfRule>
  </conditionalFormatting>
  <conditionalFormatting sqref="R2:U2">
    <cfRule type="expression" dxfId="20" priority="2" stopIfTrue="1">
      <formula xml:space="preserve"> $T2= "YES"</formula>
    </cfRule>
  </conditionalFormatting>
  <pageMargins left="0.7" right="0.7" top="0.75" bottom="0.75" header="0.3" footer="0.3"/>
  <pageSetup orientation="portrait" horizontalDpi="300" verticalDpi="0" copies="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7B08-B3C0-474E-BD3A-8387EBBD4A90}">
  <sheetPr>
    <tabColor theme="9" tint="-0.249977111117893"/>
  </sheetPr>
  <dimension ref="A1:Q55"/>
  <sheetViews>
    <sheetView workbookViewId="0">
      <selection activeCell="D36" sqref="D36"/>
    </sheetView>
  </sheetViews>
  <sheetFormatPr defaultRowHeight="12.5" x14ac:dyDescent="0.25"/>
  <cols>
    <col min="1" max="1" width="9.1796875" bestFit="1" customWidth="1"/>
    <col min="2" max="4" width="20.7265625" customWidth="1"/>
    <col min="6" max="8" width="12.7265625" style="25" customWidth="1"/>
    <col min="9" max="9" width="12.7265625" style="26" customWidth="1"/>
    <col min="10" max="13" width="12.7265625" style="25" customWidth="1"/>
    <col min="14" max="14" width="4.81640625" customWidth="1"/>
    <col min="15" max="15" width="20.54296875" customWidth="1"/>
    <col min="17" max="17" width="13.7265625" customWidth="1"/>
  </cols>
  <sheetData>
    <row r="1" spans="1:17" ht="26.25" customHeight="1" x14ac:dyDescent="0.3">
      <c r="A1" s="6"/>
      <c r="B1" s="6"/>
      <c r="C1" s="6"/>
      <c r="D1" s="6"/>
      <c r="E1" s="27"/>
      <c r="F1" s="24"/>
      <c r="G1" s="223" t="s">
        <v>132</v>
      </c>
      <c r="H1" s="223"/>
      <c r="I1" s="223"/>
      <c r="J1" s="223" t="s">
        <v>135</v>
      </c>
      <c r="K1" s="223"/>
      <c r="L1" s="206" t="s">
        <v>138</v>
      </c>
      <c r="M1" s="207"/>
      <c r="N1" s="3"/>
    </row>
    <row r="2" spans="1:17" s="2" customFormat="1" ht="26" x14ac:dyDescent="0.3">
      <c r="A2" s="5" t="s">
        <v>8</v>
      </c>
      <c r="B2" s="5" t="s">
        <v>9</v>
      </c>
      <c r="C2" s="5" t="s">
        <v>128</v>
      </c>
      <c r="D2" s="5" t="s">
        <v>10</v>
      </c>
      <c r="E2" s="30" t="s">
        <v>139</v>
      </c>
      <c r="F2" s="5" t="s">
        <v>140</v>
      </c>
      <c r="G2" s="5" t="s">
        <v>129</v>
      </c>
      <c r="H2" s="5" t="s">
        <v>130</v>
      </c>
      <c r="I2" s="5" t="s">
        <v>131</v>
      </c>
      <c r="J2" s="5" t="s">
        <v>129</v>
      </c>
      <c r="K2" s="5" t="s">
        <v>130</v>
      </c>
      <c r="L2" s="39" t="s">
        <v>136</v>
      </c>
      <c r="M2" s="39" t="s">
        <v>137</v>
      </c>
      <c r="N2" s="29"/>
      <c r="O2" s="29"/>
    </row>
    <row r="3" spans="1:17" x14ac:dyDescent="0.25">
      <c r="A3" s="23" cm="1">
        <f t="array" ref="A3:I7">_xlfn._xlws.FILTER(All!A3:I270, All!T3:T270 = "Yes", "")</f>
        <v>146</v>
      </c>
      <c r="B3" s="23" t="str">
        <v>Sierra Ave</v>
      </c>
      <c r="C3" s="23" t="str">
        <v>Linden Ave</v>
      </c>
      <c r="D3" s="23" t="str">
        <v>End</v>
      </c>
      <c r="E3" s="23" t="str">
        <v>W</v>
      </c>
      <c r="F3" s="24">
        <v>2</v>
      </c>
      <c r="G3" s="24">
        <v>0</v>
      </c>
      <c r="H3" s="24">
        <v>1</v>
      </c>
      <c r="I3" s="32">
        <v>1</v>
      </c>
      <c r="J3" s="24" cm="1">
        <f t="array" ref="J3:K7">_xlfn._xlws.FILTER(All!N3:O270, All!T3:T270 = "Yes", "")</f>
        <v>0</v>
      </c>
      <c r="K3" s="24">
        <v>7</v>
      </c>
      <c r="L3" s="37" cm="1">
        <f t="array" ref="L3:M7">_xlfn._xlws.FILTER(All!AK3:AL270, All!T3:T270 = "Yes", "")</f>
        <v>38.5</v>
      </c>
      <c r="M3" s="37">
        <v>2002</v>
      </c>
      <c r="O3" s="213" t="s">
        <v>151</v>
      </c>
      <c r="P3" s="214"/>
      <c r="Q3" s="34">
        <f>SUM(F:F)</f>
        <v>59</v>
      </c>
    </row>
    <row r="4" spans="1:17" x14ac:dyDescent="0.25">
      <c r="A4" s="23">
        <v>147</v>
      </c>
      <c r="B4" s="23" t="str">
        <v>Sierra Ave</v>
      </c>
      <c r="C4" s="23" t="str">
        <v>End</v>
      </c>
      <c r="D4" s="23" t="str">
        <v>Linden Ave</v>
      </c>
      <c r="E4" s="23" t="str">
        <v>E</v>
      </c>
      <c r="F4" s="24">
        <v>3</v>
      </c>
      <c r="G4" s="24">
        <v>0</v>
      </c>
      <c r="H4" s="24">
        <v>0</v>
      </c>
      <c r="I4" s="32">
        <v>0</v>
      </c>
      <c r="J4" s="24">
        <v>0</v>
      </c>
      <c r="K4" s="24">
        <v>3</v>
      </c>
      <c r="L4" s="37">
        <v>16.5</v>
      </c>
      <c r="M4" s="37">
        <v>858</v>
      </c>
      <c r="O4" s="50" t="s">
        <v>141</v>
      </c>
      <c r="P4" s="50" t="s">
        <v>129</v>
      </c>
      <c r="Q4" s="34">
        <f>SUM(J:J)</f>
        <v>61</v>
      </c>
    </row>
    <row r="5" spans="1:17" x14ac:dyDescent="0.25">
      <c r="A5" s="23">
        <v>150</v>
      </c>
      <c r="B5" s="23" t="str">
        <v>California Dr</v>
      </c>
      <c r="C5" s="23" t="str">
        <v>Murchison Dr</v>
      </c>
      <c r="D5" s="23" t="str">
        <v>Sierra Ave</v>
      </c>
      <c r="E5" s="23" t="str">
        <v>E</v>
      </c>
      <c r="F5" s="24">
        <v>20</v>
      </c>
      <c r="G5" s="24">
        <v>0</v>
      </c>
      <c r="H5" s="24">
        <v>0</v>
      </c>
      <c r="I5" s="32">
        <v>0</v>
      </c>
      <c r="J5" s="24">
        <v>28</v>
      </c>
      <c r="K5" s="24">
        <v>40</v>
      </c>
      <c r="L5" s="37">
        <v>990</v>
      </c>
      <c r="M5" s="37">
        <v>51634</v>
      </c>
      <c r="O5" s="50"/>
      <c r="P5" s="50" t="s">
        <v>130</v>
      </c>
      <c r="Q5" s="34">
        <f>SUM(K:K)</f>
        <v>78</v>
      </c>
    </row>
    <row r="6" spans="1:17" x14ac:dyDescent="0.25">
      <c r="A6" s="23">
        <v>149</v>
      </c>
      <c r="B6" s="23" t="str">
        <v>California Dr</v>
      </c>
      <c r="C6" s="23" t="str">
        <v>Sierra Ave</v>
      </c>
      <c r="D6" s="23" t="str">
        <v>Irwin Pl</v>
      </c>
      <c r="E6" s="23" t="str">
        <v>W</v>
      </c>
      <c r="F6" s="24">
        <v>6</v>
      </c>
      <c r="G6" s="24">
        <v>1</v>
      </c>
      <c r="H6" s="24">
        <v>0</v>
      </c>
      <c r="I6" s="32">
        <v>1</v>
      </c>
      <c r="J6" s="24">
        <v>10</v>
      </c>
      <c r="K6" s="24">
        <v>5</v>
      </c>
      <c r="L6" s="37">
        <v>302.5</v>
      </c>
      <c r="M6" s="37">
        <v>15785</v>
      </c>
    </row>
    <row r="7" spans="1:17" x14ac:dyDescent="0.25">
      <c r="A7" s="23">
        <v>906</v>
      </c>
      <c r="B7" s="23">
        <v>0</v>
      </c>
      <c r="C7" s="23" t="str">
        <v>Station Lot</v>
      </c>
      <c r="D7" s="23">
        <v>0</v>
      </c>
      <c r="E7" s="23">
        <v>0</v>
      </c>
      <c r="F7" s="24">
        <v>28</v>
      </c>
      <c r="G7" s="24">
        <v>0</v>
      </c>
      <c r="H7" s="24">
        <v>0</v>
      </c>
      <c r="I7" s="32">
        <v>0</v>
      </c>
      <c r="J7" s="24">
        <v>23</v>
      </c>
      <c r="K7" s="24">
        <v>23</v>
      </c>
      <c r="L7" s="37">
        <v>759</v>
      </c>
      <c r="M7" s="37">
        <v>39594.5</v>
      </c>
    </row>
    <row r="8" spans="1:17" ht="13" x14ac:dyDescent="0.3">
      <c r="A8" s="23"/>
      <c r="B8" s="23"/>
      <c r="C8" s="23"/>
      <c r="D8" s="23"/>
      <c r="E8" s="23"/>
      <c r="F8" s="24"/>
      <c r="G8" s="24"/>
      <c r="H8" s="24"/>
      <c r="I8" s="32"/>
      <c r="J8" s="24"/>
      <c r="K8" s="24"/>
      <c r="L8" s="24"/>
      <c r="M8" s="24"/>
      <c r="O8" s="48" t="s">
        <v>232</v>
      </c>
      <c r="Q8" s="40" t="s">
        <v>233</v>
      </c>
    </row>
    <row r="9" spans="1:17" x14ac:dyDescent="0.25">
      <c r="A9" s="23"/>
      <c r="B9" s="23"/>
      <c r="C9" s="23"/>
      <c r="D9" s="23"/>
      <c r="E9" s="23"/>
      <c r="F9" s="24"/>
      <c r="G9" s="24"/>
      <c r="H9" s="24"/>
      <c r="I9" s="32"/>
      <c r="J9" s="24"/>
      <c r="K9" s="24"/>
      <c r="L9" s="24"/>
      <c r="M9" s="24"/>
      <c r="O9" s="213" t="s">
        <v>142</v>
      </c>
      <c r="P9" s="214"/>
      <c r="Q9" s="131">
        <f>SUM(L3:L7)</f>
        <v>2106.5</v>
      </c>
    </row>
    <row r="10" spans="1:17" x14ac:dyDescent="0.25">
      <c r="A10" s="23"/>
      <c r="B10" s="23"/>
      <c r="C10" s="23"/>
      <c r="D10" s="23"/>
      <c r="E10" s="23"/>
      <c r="F10" s="24"/>
      <c r="G10" s="24"/>
      <c r="H10" s="24"/>
      <c r="I10" s="32"/>
      <c r="J10" s="24"/>
      <c r="K10" s="24"/>
      <c r="L10" s="24"/>
      <c r="M10" s="24"/>
      <c r="O10" s="213" t="s">
        <v>143</v>
      </c>
      <c r="P10" s="214"/>
      <c r="Q10" s="131">
        <f>SUM(M3:M7)</f>
        <v>109873.5</v>
      </c>
    </row>
    <row r="11" spans="1:17" x14ac:dyDescent="0.25">
      <c r="A11" s="23"/>
      <c r="B11" s="23"/>
      <c r="C11" s="23"/>
      <c r="D11" s="23"/>
      <c r="E11" s="23"/>
      <c r="F11" s="24"/>
      <c r="G11" s="24"/>
      <c r="H11" s="24"/>
      <c r="I11" s="32"/>
      <c r="J11" s="24"/>
      <c r="K11" s="24"/>
      <c r="L11" s="24"/>
      <c r="M11" s="24"/>
    </row>
    <row r="12" spans="1:17" ht="13" x14ac:dyDescent="0.3">
      <c r="A12" s="23"/>
      <c r="B12" s="23"/>
      <c r="C12" s="23"/>
      <c r="D12" s="23"/>
      <c r="E12" s="23"/>
      <c r="F12" s="24"/>
      <c r="G12" s="24"/>
      <c r="H12" s="24"/>
      <c r="I12" s="32"/>
      <c r="J12" s="24"/>
      <c r="K12" s="24"/>
      <c r="L12" s="24"/>
      <c r="M12" s="24"/>
      <c r="O12" s="55"/>
      <c r="P12" s="54"/>
      <c r="Q12" s="56"/>
    </row>
    <row r="13" spans="1:17" x14ac:dyDescent="0.25">
      <c r="A13" s="23"/>
      <c r="B13" s="23"/>
      <c r="C13" s="23"/>
      <c r="D13" s="23"/>
      <c r="E13" s="23"/>
      <c r="F13" s="24"/>
      <c r="G13" s="24"/>
      <c r="H13" s="24"/>
      <c r="I13" s="32"/>
      <c r="J13" s="24"/>
      <c r="K13" s="24"/>
      <c r="L13" s="24"/>
      <c r="M13" s="24"/>
      <c r="O13" s="90"/>
      <c r="P13" s="57"/>
      <c r="Q13" s="58"/>
    </row>
    <row r="14" spans="1:17" x14ac:dyDescent="0.25">
      <c r="A14" s="23"/>
      <c r="B14" s="23"/>
      <c r="C14" s="23"/>
      <c r="D14" s="23"/>
      <c r="E14" s="23"/>
      <c r="F14" s="24"/>
      <c r="G14" s="24"/>
      <c r="H14" s="24"/>
      <c r="I14" s="32"/>
      <c r="J14" s="24"/>
      <c r="K14" s="24"/>
      <c r="L14" s="24"/>
      <c r="M14" s="24"/>
      <c r="O14" s="90"/>
      <c r="P14" s="57"/>
      <c r="Q14" s="58"/>
    </row>
    <row r="15" spans="1:17" x14ac:dyDescent="0.25">
      <c r="A15" s="23"/>
      <c r="B15" s="23"/>
      <c r="C15" s="23"/>
      <c r="D15" s="23"/>
      <c r="E15" s="23"/>
      <c r="F15" s="24"/>
      <c r="G15" s="24"/>
      <c r="H15" s="24"/>
      <c r="I15" s="32"/>
      <c r="J15" s="24"/>
      <c r="K15" s="24"/>
      <c r="L15" s="24"/>
      <c r="M15" s="24"/>
      <c r="O15" s="89"/>
      <c r="P15" s="89"/>
      <c r="Q15" s="60"/>
    </row>
    <row r="16" spans="1:17" x14ac:dyDescent="0.25">
      <c r="A16" s="23"/>
      <c r="B16" s="23"/>
      <c r="C16" s="23"/>
      <c r="D16" s="23"/>
      <c r="E16" s="23"/>
      <c r="F16" s="24"/>
      <c r="G16" s="24"/>
      <c r="H16" s="24"/>
      <c r="I16" s="32"/>
      <c r="J16" s="24"/>
      <c r="K16" s="24"/>
      <c r="L16" s="24"/>
      <c r="M16" s="24"/>
      <c r="O16" s="89"/>
      <c r="P16" s="89"/>
      <c r="Q16" s="60"/>
    </row>
    <row r="17" spans="1:13" x14ac:dyDescent="0.25">
      <c r="A17" s="23"/>
      <c r="B17" s="23"/>
      <c r="C17" s="23"/>
      <c r="D17" s="23"/>
      <c r="E17" s="23"/>
      <c r="F17" s="24"/>
      <c r="G17" s="24"/>
      <c r="H17" s="24"/>
      <c r="I17" s="32"/>
      <c r="J17" s="24"/>
      <c r="K17" s="24"/>
      <c r="L17" s="24"/>
      <c r="M17" s="24"/>
    </row>
    <row r="18" spans="1:13" x14ac:dyDescent="0.25">
      <c r="A18" s="23"/>
      <c r="B18" s="23"/>
      <c r="C18" s="23"/>
      <c r="D18" s="23"/>
      <c r="E18" s="23"/>
      <c r="F18" s="24"/>
      <c r="G18" s="24"/>
      <c r="H18" s="24"/>
      <c r="I18" s="32"/>
      <c r="J18" s="24"/>
      <c r="K18" s="24"/>
      <c r="L18" s="24"/>
      <c r="M18" s="24"/>
    </row>
    <row r="19" spans="1:13" x14ac:dyDescent="0.25">
      <c r="A19" s="23"/>
      <c r="B19" s="23"/>
      <c r="C19" s="23"/>
      <c r="D19" s="23"/>
      <c r="E19" s="23"/>
      <c r="F19" s="24"/>
      <c r="G19" s="24"/>
      <c r="H19" s="24"/>
      <c r="I19" s="32"/>
      <c r="J19" s="24"/>
      <c r="K19" s="24"/>
      <c r="L19" s="24"/>
      <c r="M19" s="24"/>
    </row>
    <row r="20" spans="1:13" x14ac:dyDescent="0.25">
      <c r="A20" s="23"/>
      <c r="B20" s="23"/>
      <c r="C20" s="23"/>
      <c r="D20" s="23"/>
      <c r="E20" s="23"/>
      <c r="F20" s="24"/>
      <c r="G20" s="24"/>
      <c r="H20" s="24"/>
      <c r="I20" s="32"/>
      <c r="J20" s="24"/>
      <c r="K20" s="24"/>
      <c r="L20" s="24"/>
      <c r="M20" s="24"/>
    </row>
    <row r="21" spans="1:13" x14ac:dyDescent="0.25">
      <c r="A21" s="23"/>
      <c r="B21" s="23"/>
      <c r="C21" s="23"/>
      <c r="D21" s="23"/>
      <c r="E21" s="23"/>
      <c r="F21" s="24"/>
      <c r="G21" s="24"/>
      <c r="H21" s="24"/>
      <c r="I21" s="32"/>
      <c r="J21" s="24"/>
      <c r="K21" s="24"/>
      <c r="L21" s="24"/>
      <c r="M21" s="24"/>
    </row>
    <row r="22" spans="1:13" x14ac:dyDescent="0.25">
      <c r="A22" s="23"/>
      <c r="B22" s="23"/>
      <c r="C22" s="23"/>
      <c r="D22" s="23"/>
      <c r="E22" s="23"/>
      <c r="F22" s="24"/>
      <c r="G22" s="24"/>
      <c r="H22" s="24"/>
      <c r="I22" s="32"/>
      <c r="J22" s="24"/>
      <c r="K22" s="24"/>
      <c r="L22" s="24"/>
      <c r="M22" s="24"/>
    </row>
    <row r="23" spans="1:13" x14ac:dyDescent="0.25">
      <c r="A23" s="23"/>
      <c r="B23" s="23"/>
      <c r="C23" s="23"/>
      <c r="D23" s="23"/>
      <c r="E23" s="23"/>
      <c r="F23" s="24"/>
      <c r="G23" s="24"/>
      <c r="H23" s="24"/>
      <c r="I23" s="32"/>
      <c r="J23" s="24"/>
      <c r="K23" s="24"/>
      <c r="L23" s="24"/>
      <c r="M23" s="24"/>
    </row>
    <row r="24" spans="1:13" x14ac:dyDescent="0.25">
      <c r="A24" s="23"/>
      <c r="B24" s="23"/>
      <c r="C24" s="23"/>
      <c r="D24" s="23"/>
      <c r="E24" s="23"/>
      <c r="F24" s="24"/>
      <c r="G24" s="24"/>
      <c r="H24" s="24"/>
      <c r="I24" s="32"/>
      <c r="J24" s="24"/>
      <c r="K24" s="24"/>
      <c r="L24" s="24"/>
      <c r="M24" s="24"/>
    </row>
    <row r="25" spans="1:13" x14ac:dyDescent="0.25">
      <c r="A25" s="23"/>
      <c r="B25" s="23"/>
      <c r="C25" s="23"/>
      <c r="D25" s="23"/>
      <c r="E25" s="23"/>
      <c r="F25" s="24"/>
      <c r="G25" s="24"/>
      <c r="H25" s="24"/>
      <c r="I25" s="32"/>
      <c r="J25" s="24"/>
      <c r="K25" s="24"/>
      <c r="L25" s="24"/>
      <c r="M25" s="24"/>
    </row>
    <row r="26" spans="1:13" x14ac:dyDescent="0.25">
      <c r="A26" s="23"/>
      <c r="B26" s="23"/>
      <c r="C26" s="23"/>
      <c r="D26" s="23"/>
      <c r="E26" s="23"/>
      <c r="F26" s="24"/>
      <c r="G26" s="24"/>
      <c r="H26" s="24"/>
      <c r="I26" s="32"/>
      <c r="J26" s="24"/>
      <c r="K26" s="24"/>
      <c r="L26" s="24"/>
      <c r="M26" s="24"/>
    </row>
    <row r="27" spans="1:13" x14ac:dyDescent="0.25">
      <c r="A27" s="23"/>
      <c r="B27" s="23"/>
      <c r="C27" s="23"/>
      <c r="D27" s="23"/>
      <c r="E27" s="23"/>
      <c r="F27" s="24"/>
      <c r="G27" s="24"/>
      <c r="H27" s="24"/>
      <c r="I27" s="32"/>
      <c r="J27" s="24"/>
      <c r="K27" s="24"/>
      <c r="L27" s="24"/>
      <c r="M27" s="24"/>
    </row>
    <row r="28" spans="1:13" x14ac:dyDescent="0.25">
      <c r="A28" s="23"/>
      <c r="B28" s="23"/>
      <c r="C28" s="23"/>
      <c r="D28" s="23"/>
      <c r="E28" s="23"/>
      <c r="F28" s="24"/>
      <c r="G28" s="24"/>
      <c r="H28" s="24"/>
      <c r="I28" s="32"/>
      <c r="J28" s="24"/>
      <c r="K28" s="24"/>
      <c r="L28" s="24"/>
      <c r="M28" s="24"/>
    </row>
    <row r="29" spans="1:13" x14ac:dyDescent="0.25">
      <c r="A29" s="23"/>
      <c r="B29" s="23"/>
      <c r="C29" s="23"/>
      <c r="D29" s="23"/>
      <c r="E29" s="23"/>
      <c r="F29" s="24"/>
      <c r="G29" s="24"/>
      <c r="H29" s="24"/>
      <c r="I29" s="32"/>
      <c r="J29" s="24"/>
      <c r="K29" s="24"/>
      <c r="L29" s="24"/>
      <c r="M29" s="24"/>
    </row>
    <row r="30" spans="1:13" x14ac:dyDescent="0.25">
      <c r="A30" s="23"/>
      <c r="B30" s="23"/>
      <c r="C30" s="23"/>
      <c r="D30" s="23"/>
      <c r="E30" s="23"/>
      <c r="F30" s="24"/>
      <c r="G30" s="24"/>
      <c r="H30" s="24"/>
      <c r="I30" s="32"/>
      <c r="J30" s="24"/>
      <c r="K30" s="24"/>
      <c r="L30" s="24"/>
      <c r="M30" s="24"/>
    </row>
    <row r="31" spans="1:13" x14ac:dyDescent="0.25">
      <c r="A31" s="23"/>
      <c r="B31" s="23"/>
      <c r="C31" s="23"/>
      <c r="D31" s="23"/>
      <c r="E31" s="23"/>
      <c r="F31" s="24"/>
      <c r="G31" s="24"/>
      <c r="H31" s="24"/>
      <c r="I31" s="32"/>
      <c r="J31" s="24"/>
      <c r="K31" s="24"/>
      <c r="L31" s="24"/>
      <c r="M31" s="24"/>
    </row>
    <row r="32" spans="1:13" x14ac:dyDescent="0.25">
      <c r="A32" s="23"/>
      <c r="B32" s="23"/>
      <c r="C32" s="23"/>
      <c r="D32" s="23"/>
      <c r="E32" s="23"/>
      <c r="F32" s="24"/>
      <c r="G32" s="24"/>
      <c r="H32" s="24"/>
      <c r="I32" s="32"/>
      <c r="J32" s="24"/>
      <c r="K32" s="24"/>
      <c r="L32" s="24"/>
      <c r="M32" s="24"/>
    </row>
    <row r="33" spans="1:13" x14ac:dyDescent="0.25">
      <c r="A33" s="23"/>
      <c r="B33" s="23"/>
      <c r="C33" s="23"/>
      <c r="D33" s="23"/>
      <c r="E33" s="23"/>
      <c r="F33" s="24"/>
      <c r="G33" s="24"/>
      <c r="H33" s="24"/>
      <c r="I33" s="32"/>
      <c r="J33" s="24"/>
      <c r="K33" s="24"/>
      <c r="L33" s="24"/>
      <c r="M33" s="24"/>
    </row>
    <row r="34" spans="1:13" x14ac:dyDescent="0.25">
      <c r="A34" s="23"/>
      <c r="B34" s="23"/>
      <c r="C34" s="23"/>
      <c r="D34" s="23"/>
      <c r="E34" s="23"/>
      <c r="F34" s="24"/>
      <c r="G34" s="24"/>
      <c r="H34" s="24"/>
      <c r="I34" s="32"/>
      <c r="J34" s="24"/>
      <c r="K34" s="24"/>
      <c r="L34" s="24"/>
      <c r="M34" s="24"/>
    </row>
    <row r="35" spans="1:13" x14ac:dyDescent="0.25">
      <c r="A35" s="23"/>
      <c r="B35" s="23"/>
      <c r="C35" s="23"/>
      <c r="D35" s="23"/>
      <c r="E35" s="23"/>
      <c r="F35" s="24"/>
      <c r="G35" s="24"/>
      <c r="H35" s="24"/>
      <c r="I35" s="32"/>
      <c r="J35" s="24"/>
      <c r="K35" s="24"/>
      <c r="L35" s="24"/>
      <c r="M35" s="24"/>
    </row>
    <row r="36" spans="1:13" x14ac:dyDescent="0.25">
      <c r="A36" s="23"/>
      <c r="B36" s="23"/>
      <c r="C36" s="23"/>
      <c r="D36" s="23"/>
      <c r="E36" s="23"/>
      <c r="F36" s="24"/>
      <c r="G36" s="24"/>
      <c r="H36" s="24"/>
      <c r="I36" s="32"/>
      <c r="J36" s="24"/>
      <c r="K36" s="24"/>
      <c r="L36" s="24"/>
      <c r="M36" s="24"/>
    </row>
    <row r="37" spans="1:13" x14ac:dyDescent="0.25">
      <c r="A37" s="23"/>
      <c r="B37" s="23"/>
      <c r="C37" s="23"/>
      <c r="D37" s="23"/>
      <c r="E37" s="23"/>
      <c r="F37" s="24"/>
      <c r="G37" s="24"/>
      <c r="H37" s="24"/>
      <c r="I37" s="32"/>
      <c r="J37" s="24"/>
      <c r="K37" s="24"/>
      <c r="L37" s="24"/>
      <c r="M37" s="24"/>
    </row>
    <row r="38" spans="1:13" x14ac:dyDescent="0.25">
      <c r="A38" s="23"/>
      <c r="B38" s="23"/>
      <c r="C38" s="23"/>
      <c r="D38" s="23"/>
      <c r="E38" s="23"/>
      <c r="F38" s="24"/>
      <c r="G38" s="24"/>
      <c r="H38" s="24"/>
      <c r="I38" s="32"/>
      <c r="J38" s="24"/>
      <c r="K38" s="24"/>
      <c r="L38" s="24"/>
      <c r="M38" s="24"/>
    </row>
    <row r="39" spans="1:13" x14ac:dyDescent="0.25">
      <c r="A39" s="23"/>
      <c r="B39" s="23"/>
      <c r="C39" s="23"/>
      <c r="D39" s="23"/>
      <c r="E39" s="23"/>
      <c r="F39" s="24"/>
      <c r="G39" s="24"/>
      <c r="H39" s="24"/>
      <c r="I39" s="32"/>
      <c r="J39" s="24"/>
      <c r="K39" s="24"/>
      <c r="L39" s="24"/>
      <c r="M39" s="24"/>
    </row>
    <row r="40" spans="1:13" x14ac:dyDescent="0.25">
      <c r="A40" s="23"/>
      <c r="B40" s="23"/>
      <c r="C40" s="23"/>
      <c r="D40" s="23"/>
      <c r="E40" s="23"/>
      <c r="F40" s="24"/>
      <c r="G40" s="24"/>
      <c r="H40" s="24"/>
      <c r="I40" s="32"/>
      <c r="J40" s="24"/>
      <c r="K40" s="24"/>
      <c r="L40" s="24"/>
      <c r="M40" s="24"/>
    </row>
    <row r="41" spans="1:13" x14ac:dyDescent="0.25">
      <c r="A41" s="23"/>
      <c r="B41" s="23"/>
      <c r="C41" s="23"/>
      <c r="D41" s="23"/>
      <c r="E41" s="23"/>
      <c r="F41" s="24"/>
      <c r="G41" s="24"/>
      <c r="H41" s="24"/>
      <c r="I41" s="32"/>
      <c r="J41" s="24"/>
      <c r="K41" s="24"/>
      <c r="L41" s="24"/>
      <c r="M41" s="24"/>
    </row>
    <row r="42" spans="1:13" x14ac:dyDescent="0.25">
      <c r="A42" s="23"/>
      <c r="B42" s="23"/>
      <c r="C42" s="23"/>
      <c r="D42" s="23"/>
      <c r="E42" s="23"/>
      <c r="F42" s="24"/>
      <c r="G42" s="24"/>
      <c r="H42" s="24"/>
      <c r="I42" s="32"/>
      <c r="J42" s="24"/>
      <c r="K42" s="24"/>
      <c r="L42" s="24"/>
      <c r="M42" s="24"/>
    </row>
    <row r="43" spans="1:13" x14ac:dyDescent="0.25">
      <c r="A43" s="23"/>
      <c r="B43" s="23"/>
      <c r="C43" s="23"/>
      <c r="D43" s="23"/>
      <c r="E43" s="23"/>
      <c r="F43" s="24"/>
      <c r="G43" s="24"/>
      <c r="H43" s="24"/>
      <c r="I43" s="32"/>
      <c r="J43" s="24"/>
      <c r="K43" s="24"/>
      <c r="L43" s="24"/>
      <c r="M43" s="24"/>
    </row>
    <row r="44" spans="1:13" x14ac:dyDescent="0.25">
      <c r="A44" s="23"/>
      <c r="B44" s="23"/>
      <c r="C44" s="23"/>
      <c r="D44" s="23"/>
      <c r="E44" s="23"/>
      <c r="F44" s="24"/>
      <c r="G44" s="24"/>
      <c r="H44" s="24"/>
      <c r="I44" s="32"/>
      <c r="J44" s="24"/>
      <c r="K44" s="24"/>
      <c r="L44" s="24"/>
      <c r="M44" s="24"/>
    </row>
    <row r="45" spans="1:13" x14ac:dyDescent="0.25">
      <c r="A45" s="23"/>
      <c r="B45" s="23"/>
      <c r="C45" s="23"/>
      <c r="D45" s="23"/>
      <c r="E45" s="23"/>
      <c r="F45" s="24"/>
      <c r="G45" s="24"/>
      <c r="H45" s="24"/>
      <c r="I45" s="32"/>
      <c r="J45" s="24"/>
      <c r="K45" s="24"/>
      <c r="L45" s="24"/>
      <c r="M45" s="24"/>
    </row>
    <row r="46" spans="1:13" x14ac:dyDescent="0.25">
      <c r="A46" s="23"/>
      <c r="B46" s="23"/>
      <c r="C46" s="23"/>
      <c r="D46" s="23"/>
      <c r="E46" s="23"/>
      <c r="F46" s="24"/>
      <c r="G46" s="24"/>
      <c r="H46" s="24"/>
      <c r="I46" s="32"/>
      <c r="J46" s="24"/>
      <c r="K46" s="24"/>
      <c r="L46" s="24"/>
      <c r="M46" s="24"/>
    </row>
    <row r="47" spans="1:13" x14ac:dyDescent="0.25">
      <c r="A47" s="23"/>
      <c r="B47" s="23"/>
      <c r="C47" s="23"/>
      <c r="D47" s="23"/>
      <c r="E47" s="23"/>
      <c r="F47" s="24"/>
      <c r="G47" s="24"/>
      <c r="H47" s="24"/>
      <c r="I47" s="32"/>
      <c r="J47" s="24"/>
      <c r="K47" s="24"/>
      <c r="L47" s="24"/>
      <c r="M47" s="24"/>
    </row>
    <row r="48" spans="1:13" x14ac:dyDescent="0.25">
      <c r="A48" s="23"/>
      <c r="B48" s="23"/>
      <c r="C48" s="23"/>
      <c r="D48" s="23"/>
      <c r="E48" s="23"/>
      <c r="F48" s="24"/>
      <c r="G48" s="24"/>
      <c r="H48" s="24"/>
      <c r="I48" s="32"/>
      <c r="J48" s="24"/>
      <c r="K48" s="24"/>
      <c r="L48" s="24"/>
      <c r="M48" s="24"/>
    </row>
    <row r="49" spans="1:13" x14ac:dyDescent="0.25">
      <c r="A49" s="23"/>
      <c r="B49" s="23"/>
      <c r="C49" s="23"/>
      <c r="D49" s="23"/>
      <c r="E49" s="23"/>
      <c r="F49" s="24"/>
      <c r="G49" s="24"/>
      <c r="H49" s="24"/>
      <c r="I49" s="32"/>
      <c r="J49" s="24"/>
      <c r="K49" s="24"/>
      <c r="L49" s="24"/>
      <c r="M49" s="24"/>
    </row>
    <row r="50" spans="1:13" x14ac:dyDescent="0.25">
      <c r="A50" s="23"/>
      <c r="B50" s="23"/>
      <c r="C50" s="23"/>
      <c r="D50" s="23"/>
      <c r="E50" s="23"/>
      <c r="F50" s="24"/>
      <c r="G50" s="24"/>
      <c r="H50" s="24"/>
      <c r="I50" s="32"/>
      <c r="J50" s="24"/>
      <c r="K50" s="24"/>
      <c r="L50" s="24"/>
      <c r="M50" s="24"/>
    </row>
    <row r="51" spans="1:13" x14ac:dyDescent="0.25">
      <c r="A51" s="23"/>
      <c r="B51" s="23"/>
      <c r="C51" s="23"/>
      <c r="D51" s="23"/>
      <c r="E51" s="23"/>
      <c r="F51" s="24"/>
      <c r="G51" s="24"/>
      <c r="H51" s="24"/>
      <c r="I51" s="32"/>
      <c r="J51" s="24"/>
      <c r="K51" s="24"/>
      <c r="L51" s="24"/>
      <c r="M51" s="24"/>
    </row>
    <row r="52" spans="1:13" x14ac:dyDescent="0.25">
      <c r="A52" s="23"/>
      <c r="B52" s="23"/>
      <c r="C52" s="23"/>
      <c r="D52" s="23"/>
      <c r="E52" s="23"/>
      <c r="F52" s="24"/>
      <c r="G52" s="24"/>
      <c r="H52" s="24"/>
      <c r="I52" s="32"/>
      <c r="J52" s="24"/>
      <c r="K52" s="24"/>
      <c r="L52" s="24"/>
      <c r="M52" s="24"/>
    </row>
    <row r="53" spans="1:13" x14ac:dyDescent="0.25">
      <c r="A53" s="23"/>
      <c r="B53" s="23"/>
      <c r="C53" s="23"/>
      <c r="D53" s="23"/>
      <c r="E53" s="23"/>
      <c r="F53" s="24"/>
      <c r="G53" s="24"/>
      <c r="H53" s="24"/>
      <c r="I53" s="32"/>
      <c r="J53" s="24"/>
      <c r="K53" s="24"/>
      <c r="L53" s="24"/>
      <c r="M53" s="24"/>
    </row>
    <row r="54" spans="1:13" x14ac:dyDescent="0.25">
      <c r="A54" s="23"/>
      <c r="B54" s="23"/>
      <c r="C54" s="23"/>
      <c r="D54" s="23"/>
      <c r="E54" s="23"/>
      <c r="F54" s="24"/>
      <c r="G54" s="24"/>
      <c r="H54" s="24"/>
      <c r="I54" s="32"/>
      <c r="J54" s="24"/>
      <c r="K54" s="24"/>
      <c r="L54" s="24"/>
      <c r="M54" s="24"/>
    </row>
    <row r="55" spans="1:13" x14ac:dyDescent="0.25">
      <c r="A55" s="23"/>
      <c r="B55" s="23"/>
      <c r="C55" s="23"/>
      <c r="D55" s="23"/>
      <c r="E55" s="23"/>
      <c r="F55" s="24"/>
      <c r="G55" s="24"/>
      <c r="H55" s="24"/>
      <c r="I55" s="32"/>
      <c r="J55" s="24"/>
      <c r="K55" s="24"/>
      <c r="L55" s="24"/>
      <c r="M55" s="24"/>
    </row>
  </sheetData>
  <mergeCells count="6">
    <mergeCell ref="O10:P10"/>
    <mergeCell ref="G1:I1"/>
    <mergeCell ref="J1:K1"/>
    <mergeCell ref="L1:M1"/>
    <mergeCell ref="O3:P3"/>
    <mergeCell ref="O9:P9"/>
  </mergeCells>
  <conditionalFormatting sqref="A1:E1 G1 J1">
    <cfRule type="expression" dxfId="19" priority="8" stopIfTrue="1">
      <formula xml:space="preserve"> #REF!= "YES"</formula>
    </cfRule>
  </conditionalFormatting>
  <conditionalFormatting sqref="A2:H2 J2:K2">
    <cfRule type="expression" dxfId="18" priority="9" stopIfTrue="1">
      <formula xml:space="preserve"> #REF!= "YES"</formula>
    </cfRule>
  </conditionalFormatting>
  <conditionalFormatting sqref="I1:I1048576">
    <cfRule type="colorScale" priority="6">
      <colorScale>
        <cfvo type="num" val="0"/>
        <cfvo type="percentile" val="50"/>
        <cfvo type="num" val="9"/>
        <color theme="9" tint="0.79998168889431442"/>
        <color theme="7" tint="0.59999389629810485"/>
        <color theme="5"/>
      </colorScale>
    </cfRule>
  </conditionalFormatting>
  <conditionalFormatting sqref="I2">
    <cfRule type="cellIs" dxfId="17" priority="7" stopIfTrue="1" operator="equal">
      <formula>8</formula>
    </cfRule>
  </conditionalFormatting>
  <conditionalFormatting sqref="I3:M65516 A3:G65516">
    <cfRule type="expression" dxfId="16" priority="10" stopIfTrue="1">
      <formula xml:space="preserve"> #REF!= "YES"</formula>
    </cfRule>
  </conditionalFormatting>
  <conditionalFormatting sqref="L1:M2">
    <cfRule type="expression" dxfId="15" priority="40" stopIfTrue="1">
      <formula xml:space="preserve"> #REF!= "YES"</formula>
    </cfRule>
  </conditionalFormatting>
  <pageMargins left="0.7" right="0.7" top="0.75" bottom="0.75" header="0.3" footer="0.3"/>
  <pageSetup orientation="portrait" horizontalDpi="300" verticalDpi="0"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21C6-32CF-4D77-A6E4-22375F21C4F3}">
  <sheetPr>
    <tabColor rgb="FFC00000"/>
  </sheetPr>
  <dimension ref="A1:T19"/>
  <sheetViews>
    <sheetView workbookViewId="0">
      <selection activeCell="E11" sqref="E11"/>
    </sheetView>
  </sheetViews>
  <sheetFormatPr defaultRowHeight="12.5" x14ac:dyDescent="0.25"/>
  <cols>
    <col min="1" max="1" width="22.54296875" bestFit="1" customWidth="1"/>
    <col min="2" max="5" width="12.7265625" customWidth="1"/>
    <col min="7" max="7" width="22.7265625" customWidth="1"/>
    <col min="8" max="8" width="10.81640625" customWidth="1"/>
    <col min="9" max="13" width="14.7265625" customWidth="1"/>
    <col min="16" max="16" width="22.7265625" customWidth="1"/>
    <col min="17" max="17" width="12.26953125" bestFit="1" customWidth="1"/>
    <col min="18" max="19" width="14.7265625" customWidth="1"/>
    <col min="20" max="20" width="14" bestFit="1" customWidth="1"/>
  </cols>
  <sheetData>
    <row r="1" spans="1:20" ht="13" x14ac:dyDescent="0.3">
      <c r="G1" s="86" t="s">
        <v>229</v>
      </c>
      <c r="H1" s="87"/>
      <c r="I1" s="5" t="s">
        <v>144</v>
      </c>
      <c r="J1" s="5" t="s">
        <v>145</v>
      </c>
      <c r="K1" s="5" t="s">
        <v>291</v>
      </c>
      <c r="L1" s="36" t="s">
        <v>230</v>
      </c>
      <c r="M1" s="36" t="s">
        <v>231</v>
      </c>
      <c r="P1" s="153" t="s">
        <v>229</v>
      </c>
      <c r="Q1" s="87"/>
      <c r="R1" s="5" t="s">
        <v>144</v>
      </c>
      <c r="S1" s="5" t="s">
        <v>291</v>
      </c>
      <c r="T1" s="36" t="s">
        <v>230</v>
      </c>
    </row>
    <row r="2" spans="1:20" ht="12.75" customHeight="1" x14ac:dyDescent="0.3">
      <c r="A2" s="5"/>
      <c r="B2" s="5" t="s">
        <v>185</v>
      </c>
      <c r="C2" s="5" t="s">
        <v>186</v>
      </c>
      <c r="D2" s="5" t="s">
        <v>184</v>
      </c>
      <c r="E2" s="5" t="s">
        <v>152</v>
      </c>
      <c r="G2" s="84" t="s">
        <v>175</v>
      </c>
      <c r="H2" s="64" t="s">
        <v>129</v>
      </c>
      <c r="I2" s="34">
        <f>Hourly!Y11</f>
        <v>4235.5967741935483</v>
      </c>
      <c r="J2" s="34">
        <f>Hourly!Z11</f>
        <v>3896.7490322580647</v>
      </c>
      <c r="K2" s="34">
        <f>Hourly!AA11</f>
        <v>3818.8140516129033</v>
      </c>
      <c r="L2" s="34">
        <f>Hourly!AB11</f>
        <v>3740.8790709677419</v>
      </c>
      <c r="M2" s="34">
        <f>Hourly!AC11</f>
        <v>3585.0091096774199</v>
      </c>
      <c r="P2" s="230" t="s">
        <v>175</v>
      </c>
      <c r="Q2" s="64" t="s">
        <v>300</v>
      </c>
      <c r="R2" s="34">
        <v>4328.5967741935483</v>
      </c>
      <c r="S2" s="34">
        <v>3902.6628516128999</v>
      </c>
      <c r="T2" s="34">
        <v>3823.0166709677419</v>
      </c>
    </row>
    <row r="3" spans="1:20" ht="12.75" customHeight="1" x14ac:dyDescent="0.3">
      <c r="A3" s="64" t="s">
        <v>242</v>
      </c>
      <c r="B3" s="91">
        <f>SUM(Hourly!F3:F72)</f>
        <v>823</v>
      </c>
      <c r="C3" s="91">
        <f>SUM(Hourly!F73:F76)</f>
        <v>271</v>
      </c>
      <c r="D3" s="91">
        <f>SUM(Hourly!F:F)</f>
        <v>1094</v>
      </c>
      <c r="E3" s="91">
        <v>45</v>
      </c>
      <c r="G3" s="85"/>
      <c r="H3" s="64" t="s">
        <v>130</v>
      </c>
      <c r="I3" s="34">
        <f>Hourly!Y12</f>
        <v>7967.5483870967737</v>
      </c>
      <c r="J3" s="34">
        <f>Hourly!Z12</f>
        <v>7330.1445161290321</v>
      </c>
      <c r="K3" s="34">
        <f>Hourly!AA12</f>
        <v>7183.5416258064515</v>
      </c>
      <c r="L3" s="34">
        <f>Hourly!AB12</f>
        <v>7036.9387354838709</v>
      </c>
      <c r="M3" s="34">
        <f>Hourly!AC12</f>
        <v>6743.7329548387097</v>
      </c>
      <c r="P3" s="231"/>
      <c r="Q3" s="64" t="s">
        <v>300</v>
      </c>
      <c r="R3" s="34">
        <v>8139.5483870967737</v>
      </c>
      <c r="S3" s="34">
        <v>7338.6168258064508</v>
      </c>
      <c r="T3" s="34">
        <v>7188.8491354838707</v>
      </c>
    </row>
    <row r="4" spans="1:20" ht="13" x14ac:dyDescent="0.3">
      <c r="A4" s="64" t="s">
        <v>243</v>
      </c>
      <c r="B4" s="34">
        <f>SUM('Long-Term'!F3:F6)</f>
        <v>31</v>
      </c>
      <c r="C4" s="34">
        <f>SUM('Long-Term'!F7)</f>
        <v>28</v>
      </c>
      <c r="D4" s="34">
        <f>SUM('Long-Term'!F3:F7)</f>
        <v>59</v>
      </c>
      <c r="E4" s="34">
        <v>5</v>
      </c>
      <c r="G4" s="82" t="s">
        <v>235</v>
      </c>
      <c r="H4" s="83"/>
      <c r="I4" s="34" t="str">
        <f>Hourly!Y13</f>
        <v>-</v>
      </c>
      <c r="J4" s="63">
        <f>Hourly!Z13</f>
        <v>26813.889677419356</v>
      </c>
      <c r="K4" s="63">
        <f>Hourly!AA13</f>
        <v>39416.417825806457</v>
      </c>
      <c r="L4" s="63">
        <f>Hourly!AB13</f>
        <v>51482.66818064516</v>
      </c>
      <c r="M4" s="63">
        <f>Hourly!AC13</f>
        <v>74006.335509677418</v>
      </c>
      <c r="P4" s="82" t="s">
        <v>235</v>
      </c>
      <c r="Q4" s="83"/>
      <c r="R4" s="34" t="s">
        <v>262</v>
      </c>
      <c r="S4" s="63">
        <v>40277.896625806447</v>
      </c>
      <c r="T4" s="63">
        <v>52607.864980645158</v>
      </c>
    </row>
    <row r="5" spans="1:20" ht="13" x14ac:dyDescent="0.3">
      <c r="A5" s="92" t="s">
        <v>241</v>
      </c>
      <c r="B5" s="93">
        <f t="shared" ref="B5:C5" si="0">SUM(B3:B4)</f>
        <v>854</v>
      </c>
      <c r="C5" s="93">
        <f t="shared" si="0"/>
        <v>299</v>
      </c>
      <c r="D5" s="93">
        <f>SUM(D3:D4)</f>
        <v>1153</v>
      </c>
      <c r="E5" s="93">
        <v>49</v>
      </c>
      <c r="G5" s="82" t="s">
        <v>236</v>
      </c>
      <c r="H5" s="83"/>
      <c r="I5" s="34" t="str">
        <f>Hourly!Y14</f>
        <v>-</v>
      </c>
      <c r="J5" s="63">
        <f>Hourly!Z14</f>
        <v>1398219.0122580645</v>
      </c>
      <c r="K5" s="63">
        <f>Hourly!AA14</f>
        <v>2055381.9480193548</v>
      </c>
      <c r="L5" s="63">
        <f>Hourly!AB14</f>
        <v>2684580.5035354835</v>
      </c>
      <c r="M5" s="63">
        <f>Hourly!AC14</f>
        <v>3859084.473832258</v>
      </c>
      <c r="P5" s="82" t="s">
        <v>236</v>
      </c>
      <c r="Q5" s="83"/>
      <c r="R5" s="34" t="s">
        <v>262</v>
      </c>
      <c r="S5" s="63">
        <v>2100304.618819355</v>
      </c>
      <c r="T5" s="63">
        <v>2743255.0123354839</v>
      </c>
    </row>
    <row r="7" spans="1:20" ht="13" x14ac:dyDescent="0.3">
      <c r="A7" s="5"/>
      <c r="B7" s="5" t="s">
        <v>185</v>
      </c>
      <c r="C7" s="5" t="s">
        <v>186</v>
      </c>
      <c r="D7" s="5" t="s">
        <v>184</v>
      </c>
      <c r="E7" s="5" t="s">
        <v>152</v>
      </c>
      <c r="I7" s="80"/>
      <c r="J7" s="80"/>
      <c r="K7" s="80"/>
      <c r="L7" s="80"/>
      <c r="M7" s="80"/>
    </row>
    <row r="8" spans="1:20" ht="13" x14ac:dyDescent="0.3">
      <c r="A8" s="64" t="s">
        <v>247</v>
      </c>
      <c r="B8" s="91">
        <f>SUM('Hourly (Reduction)'!F3:F72)</f>
        <v>773.4</v>
      </c>
      <c r="C8" s="91">
        <f>SUM('Hourly (Reduction)'!F73:F77)</f>
        <v>271</v>
      </c>
      <c r="D8" s="91">
        <f>SUM('Hourly (Reduction)'!F:F)</f>
        <v>1044.4000000000001</v>
      </c>
      <c r="E8" s="91">
        <v>45</v>
      </c>
      <c r="G8" s="99" t="s">
        <v>234</v>
      </c>
      <c r="H8" s="100"/>
      <c r="I8" s="5" t="s">
        <v>233</v>
      </c>
      <c r="J8" s="80"/>
      <c r="K8" s="80"/>
      <c r="L8" s="80"/>
      <c r="M8" s="80"/>
    </row>
    <row r="9" spans="1:20" ht="13" x14ac:dyDescent="0.3">
      <c r="A9" s="64" t="s">
        <v>243</v>
      </c>
      <c r="B9" s="34">
        <f>SUM('Long-Term'!F3:F6)</f>
        <v>31</v>
      </c>
      <c r="C9" s="34">
        <f>SUM('Long-Term'!F7)</f>
        <v>28</v>
      </c>
      <c r="D9" s="34">
        <f>SUM('Long-Term'!F3:F7)</f>
        <v>59</v>
      </c>
      <c r="E9" s="34">
        <v>4</v>
      </c>
      <c r="G9" s="101" t="s">
        <v>141</v>
      </c>
      <c r="H9" s="64" t="s">
        <v>129</v>
      </c>
      <c r="I9" s="34">
        <f>'Long-Term'!Q4</f>
        <v>61</v>
      </c>
      <c r="J9" s="81"/>
      <c r="K9" s="81"/>
      <c r="L9" s="81"/>
      <c r="M9" s="81"/>
    </row>
    <row r="10" spans="1:20" ht="13" x14ac:dyDescent="0.3">
      <c r="A10" s="92" t="s">
        <v>241</v>
      </c>
      <c r="B10" s="93">
        <f t="shared" ref="B10" si="1">SUM(B8:B9)</f>
        <v>804.4</v>
      </c>
      <c r="C10" s="93">
        <f t="shared" ref="C10" si="2">SUM(C8:C9)</f>
        <v>299</v>
      </c>
      <c r="D10" s="93">
        <f>SUM(D8:D9)</f>
        <v>1103.4000000000001</v>
      </c>
      <c r="E10" s="93">
        <v>49</v>
      </c>
      <c r="G10" s="102"/>
      <c r="H10" s="64" t="s">
        <v>130</v>
      </c>
      <c r="I10" s="34">
        <f>'Long-Term'!Q5</f>
        <v>78</v>
      </c>
      <c r="J10" s="81"/>
      <c r="K10" s="81"/>
      <c r="L10" s="81"/>
      <c r="M10" s="81"/>
    </row>
    <row r="11" spans="1:20" ht="13" x14ac:dyDescent="0.3">
      <c r="G11" s="97" t="s">
        <v>142</v>
      </c>
      <c r="H11" s="98"/>
      <c r="I11" s="63">
        <f>'Long-Term'!Q9</f>
        <v>2106.5</v>
      </c>
    </row>
    <row r="12" spans="1:20" ht="13" x14ac:dyDescent="0.3">
      <c r="G12" s="97" t="s">
        <v>143</v>
      </c>
      <c r="H12" s="98"/>
      <c r="I12" s="63">
        <f>'Long-Term'!Q10</f>
        <v>109873.5</v>
      </c>
    </row>
    <row r="15" spans="1:20" ht="13" x14ac:dyDescent="0.3">
      <c r="G15" s="226" t="s">
        <v>245</v>
      </c>
      <c r="H15" s="227"/>
      <c r="I15" s="5" t="s">
        <v>144</v>
      </c>
      <c r="J15" s="5" t="s">
        <v>145</v>
      </c>
      <c r="K15" s="5" t="s">
        <v>291</v>
      </c>
      <c r="L15" s="36" t="s">
        <v>230</v>
      </c>
      <c r="M15" s="36" t="s">
        <v>231</v>
      </c>
    </row>
    <row r="16" spans="1:20" x14ac:dyDescent="0.25">
      <c r="G16" s="228" t="s">
        <v>175</v>
      </c>
      <c r="H16" s="64" t="s">
        <v>129</v>
      </c>
      <c r="I16" s="34">
        <f>'Hourly (Reduction)'!Y11</f>
        <v>3922.7967741935481</v>
      </c>
      <c r="J16" s="34">
        <f>'Hourly (Reduction)'!Z11</f>
        <v>3608.9730322580644</v>
      </c>
      <c r="K16" s="34">
        <f>'Hourly (Reduction)'!AA11</f>
        <v>3536.7935716129032</v>
      </c>
      <c r="L16" s="34">
        <f>'Hourly (Reduction)'!AB11</f>
        <v>3464.6141109677419</v>
      </c>
      <c r="M16" s="34">
        <f>'Hourly (Reduction)'!AC11</f>
        <v>3320.2551896774194</v>
      </c>
    </row>
    <row r="17" spans="7:13" x14ac:dyDescent="0.25">
      <c r="G17" s="229"/>
      <c r="H17" s="64" t="s">
        <v>130</v>
      </c>
      <c r="I17" s="34">
        <f>'Hourly (Reduction)'!Y12</f>
        <v>7371.5483870967728</v>
      </c>
      <c r="J17" s="34">
        <f>'Hourly (Reduction)'!Z12</f>
        <v>6781.8245161290315</v>
      </c>
      <c r="K17" s="34">
        <f>'Hourly (Reduction)'!AA12</f>
        <v>6646.1880258064512</v>
      </c>
      <c r="L17" s="34">
        <f>'Hourly (Reduction)'!AB12</f>
        <v>6510.5515354838699</v>
      </c>
      <c r="M17" s="34">
        <f>'Hourly (Reduction)'!AC12</f>
        <v>6239.2785548387092</v>
      </c>
    </row>
    <row r="18" spans="7:13" ht="13" x14ac:dyDescent="0.3">
      <c r="G18" s="224" t="s">
        <v>235</v>
      </c>
      <c r="H18" s="225"/>
      <c r="I18" s="34">
        <f>'Hourly (Reduction)'!Y13</f>
        <v>0</v>
      </c>
      <c r="J18" s="63">
        <f>'Hourly (Reduction)'!Z13</f>
        <v>24826.689677419356</v>
      </c>
      <c r="K18" s="63">
        <f>'Hourly (Reduction)'!AA13</f>
        <v>36495.233825806456</v>
      </c>
      <c r="L18" s="63">
        <f>'Hourly (Reduction)'!AB13</f>
        <v>47667.244180645161</v>
      </c>
      <c r="M18" s="63">
        <f>'Hourly (Reduction)'!AC13</f>
        <v>68521.663509677426</v>
      </c>
    </row>
    <row r="19" spans="7:13" ht="13" x14ac:dyDescent="0.3">
      <c r="G19" s="224" t="s">
        <v>236</v>
      </c>
      <c r="H19" s="225"/>
      <c r="I19" s="34">
        <f>'Hourly (Reduction)'!Y14</f>
        <v>0</v>
      </c>
      <c r="J19" s="63">
        <f>'Hourly (Reduction)'!Z14</f>
        <v>1294596.8362580645</v>
      </c>
      <c r="K19" s="63">
        <f>'Hourly (Reduction)'!AA14</f>
        <v>1903057.3492993549</v>
      </c>
      <c r="L19" s="63">
        <f>'Hourly (Reduction)'!AB14</f>
        <v>2485625.9256154839</v>
      </c>
      <c r="M19" s="63">
        <f>'Hourly (Reduction)'!AC14</f>
        <v>3573087.2680722582</v>
      </c>
    </row>
  </sheetData>
  <mergeCells count="5">
    <mergeCell ref="G19:H19"/>
    <mergeCell ref="G15:H15"/>
    <mergeCell ref="G16:G17"/>
    <mergeCell ref="G18:H18"/>
    <mergeCell ref="P2:P3"/>
  </mergeCells>
  <conditionalFormatting sqref="A5">
    <cfRule type="expression" dxfId="14" priority="14" stopIfTrue="1">
      <formula xml:space="preserve"> #REF!= "YES"</formula>
    </cfRule>
  </conditionalFormatting>
  <conditionalFormatting sqref="A10">
    <cfRule type="expression" dxfId="13" priority="9" stopIfTrue="1">
      <formula xml:space="preserve"> #REF!= "YES"</formula>
    </cfRule>
  </conditionalFormatting>
  <conditionalFormatting sqref="A2:E2 A7:E7">
    <cfRule type="expression" dxfId="12" priority="18" stopIfTrue="1">
      <formula xml:space="preserve"> #REF!= "YES"</formula>
    </cfRule>
  </conditionalFormatting>
  <conditionalFormatting sqref="G1:G2">
    <cfRule type="expression" dxfId="11" priority="39" stopIfTrue="1">
      <formula xml:space="preserve"> #REF!= "YES"</formula>
    </cfRule>
  </conditionalFormatting>
  <conditionalFormatting sqref="G4:G5">
    <cfRule type="expression" dxfId="10" priority="35" stopIfTrue="1">
      <formula xml:space="preserve"> #REF!= "YES"</formula>
    </cfRule>
  </conditionalFormatting>
  <conditionalFormatting sqref="G8:G9">
    <cfRule type="expression" dxfId="9" priority="16" stopIfTrue="1">
      <formula xml:space="preserve"> #REF!= "YES"</formula>
    </cfRule>
  </conditionalFormatting>
  <conditionalFormatting sqref="G11:G12">
    <cfRule type="expression" dxfId="8" priority="17" stopIfTrue="1">
      <formula xml:space="preserve"> #REF!= "YES"</formula>
    </cfRule>
  </conditionalFormatting>
  <conditionalFormatting sqref="G15:G16">
    <cfRule type="expression" dxfId="7" priority="12" stopIfTrue="1">
      <formula xml:space="preserve"> #REF!= "YES"</formula>
    </cfRule>
  </conditionalFormatting>
  <conditionalFormatting sqref="G18:G19">
    <cfRule type="expression" dxfId="6" priority="11" stopIfTrue="1">
      <formula xml:space="preserve"> #REF!= "YES"</formula>
    </cfRule>
  </conditionalFormatting>
  <conditionalFormatting sqref="I8">
    <cfRule type="expression" dxfId="5" priority="19" stopIfTrue="1">
      <formula xml:space="preserve"> #REF!= "YES"</formula>
    </cfRule>
  </conditionalFormatting>
  <conditionalFormatting sqref="I1:M1">
    <cfRule type="expression" dxfId="4" priority="60" stopIfTrue="1">
      <formula xml:space="preserve"> #REF!= "YES"</formula>
    </cfRule>
  </conditionalFormatting>
  <conditionalFormatting sqref="I15:M15">
    <cfRule type="expression" dxfId="3" priority="8" stopIfTrue="1">
      <formula xml:space="preserve"> #REF!= "YES"</formula>
    </cfRule>
  </conditionalFormatting>
  <conditionalFormatting sqref="P1:P2">
    <cfRule type="expression" dxfId="2" priority="3" stopIfTrue="1">
      <formula xml:space="preserve"> #REF!= "YES"</formula>
    </cfRule>
  </conditionalFormatting>
  <conditionalFormatting sqref="P4:P5">
    <cfRule type="expression" dxfId="1" priority="2" stopIfTrue="1">
      <formula xml:space="preserve"> #REF!= "YES"</formula>
    </cfRule>
  </conditionalFormatting>
  <conditionalFormatting sqref="R1:T1">
    <cfRule type="expression" dxfId="0" priority="1" stopIfTrue="1">
      <formula xml:space="preserve"> #REF!= "YES"</formula>
    </cfRule>
  </conditionalFormatting>
  <pageMargins left="0.7" right="0.7" top="0.75" bottom="0.75" header="0.3" footer="0.3"/>
  <pageSetup orientation="portrait" horizontalDpi="300" verticalDpi="0" copies="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A977-8816-44EC-A51A-9244635DBC98}">
  <sheetPr>
    <tabColor rgb="FFC00000"/>
  </sheetPr>
  <dimension ref="A1:AB102"/>
  <sheetViews>
    <sheetView topLeftCell="A4" workbookViewId="0">
      <selection activeCell="T54" sqref="T54"/>
    </sheetView>
  </sheetViews>
  <sheetFormatPr defaultColWidth="9.1796875" defaultRowHeight="12.5" x14ac:dyDescent="0.25"/>
  <cols>
    <col min="1" max="1" width="42.453125" style="54" bestFit="1" customWidth="1"/>
    <col min="2" max="2" width="11.26953125" style="149" customWidth="1"/>
    <col min="3" max="27" width="11.26953125" style="144" customWidth="1"/>
    <col min="28" max="28" width="15.54296875" style="54" bestFit="1" customWidth="1"/>
    <col min="29" max="16384" width="9.1796875" style="54"/>
  </cols>
  <sheetData>
    <row r="1" spans="1:27" x14ac:dyDescent="0.25">
      <c r="B1" s="144"/>
      <c r="C1" s="144" t="s">
        <v>293</v>
      </c>
      <c r="D1" s="144" t="s">
        <v>293</v>
      </c>
      <c r="E1" s="144" t="s">
        <v>293</v>
      </c>
      <c r="F1" s="144" t="s">
        <v>262</v>
      </c>
      <c r="G1" s="144" t="s">
        <v>262</v>
      </c>
      <c r="H1" s="144" t="s">
        <v>262</v>
      </c>
      <c r="I1" s="144" t="s">
        <v>262</v>
      </c>
      <c r="J1" s="144" t="s">
        <v>262</v>
      </c>
      <c r="K1" s="144" t="s">
        <v>262</v>
      </c>
      <c r="L1" s="144" t="s">
        <v>293</v>
      </c>
      <c r="M1" s="144" t="s">
        <v>262</v>
      </c>
      <c r="N1" s="144" t="s">
        <v>262</v>
      </c>
      <c r="O1" s="144" t="s">
        <v>262</v>
      </c>
      <c r="P1" s="144" t="s">
        <v>262</v>
      </c>
      <c r="Q1" s="144" t="s">
        <v>262</v>
      </c>
      <c r="R1" s="144" t="s">
        <v>262</v>
      </c>
      <c r="S1" s="144" t="s">
        <v>262</v>
      </c>
      <c r="T1" s="144" t="s">
        <v>262</v>
      </c>
      <c r="U1" s="144" t="s">
        <v>262</v>
      </c>
      <c r="V1" s="144" t="s">
        <v>293</v>
      </c>
      <c r="W1" s="144" t="s">
        <v>262</v>
      </c>
      <c r="X1" s="144" t="s">
        <v>262</v>
      </c>
      <c r="Y1" s="144" t="s">
        <v>262</v>
      </c>
      <c r="Z1" s="144" t="s">
        <v>262</v>
      </c>
      <c r="AA1" s="144" t="s">
        <v>262</v>
      </c>
    </row>
    <row r="2" spans="1:27" x14ac:dyDescent="0.25">
      <c r="B2" s="144"/>
    </row>
    <row r="3" spans="1:27" s="115" customFormat="1" ht="12" customHeight="1" x14ac:dyDescent="0.3">
      <c r="A3" s="114" t="s">
        <v>292</v>
      </c>
      <c r="B3" s="145">
        <v>2025</v>
      </c>
      <c r="C3" s="146">
        <v>2026</v>
      </c>
      <c r="D3" s="146">
        <v>2027</v>
      </c>
      <c r="E3" s="146">
        <v>2028</v>
      </c>
      <c r="F3" s="146">
        <v>2029</v>
      </c>
      <c r="G3" s="146">
        <v>2030</v>
      </c>
      <c r="H3" s="146">
        <v>2031</v>
      </c>
      <c r="I3" s="146">
        <v>2032</v>
      </c>
      <c r="J3" s="146">
        <v>2033</v>
      </c>
      <c r="K3" s="146">
        <v>2034</v>
      </c>
      <c r="L3" s="146">
        <v>2035</v>
      </c>
      <c r="M3" s="146">
        <v>2036</v>
      </c>
      <c r="N3" s="146">
        <v>2037</v>
      </c>
      <c r="O3" s="146">
        <v>2038</v>
      </c>
      <c r="P3" s="146">
        <v>2039</v>
      </c>
      <c r="Q3" s="146">
        <v>2040</v>
      </c>
      <c r="R3" s="146">
        <v>2041</v>
      </c>
      <c r="S3" s="146">
        <v>2042</v>
      </c>
      <c r="T3" s="146">
        <v>2043</v>
      </c>
      <c r="U3" s="146">
        <v>2044</v>
      </c>
      <c r="V3" s="146">
        <v>2045</v>
      </c>
      <c r="W3" s="146">
        <v>2046</v>
      </c>
      <c r="X3" s="146">
        <v>2047</v>
      </c>
      <c r="Y3" s="146">
        <v>2048</v>
      </c>
      <c r="Z3" s="146">
        <v>2049</v>
      </c>
      <c r="AA3" s="146">
        <v>2050</v>
      </c>
    </row>
    <row r="4" spans="1:27" s="108" customFormat="1" ht="13" x14ac:dyDescent="0.3">
      <c r="A4" s="107" t="s">
        <v>138</v>
      </c>
      <c r="B4" s="117"/>
      <c r="C4" s="118"/>
      <c r="D4" s="118"/>
      <c r="E4" s="118"/>
      <c r="F4" s="118"/>
      <c r="G4" s="118"/>
      <c r="H4" s="118"/>
      <c r="I4" s="118"/>
      <c r="J4" s="118"/>
      <c r="K4" s="118"/>
      <c r="L4" s="118"/>
      <c r="M4" s="118"/>
      <c r="N4" s="118"/>
      <c r="O4" s="118"/>
      <c r="P4" s="118"/>
      <c r="Q4" s="118"/>
      <c r="R4" s="118"/>
      <c r="S4" s="118"/>
      <c r="T4" s="118"/>
      <c r="U4" s="118"/>
      <c r="V4" s="118"/>
      <c r="W4" s="118"/>
      <c r="X4" s="118"/>
      <c r="Y4" s="118"/>
      <c r="Z4" s="118"/>
      <c r="AA4" s="118"/>
    </row>
    <row r="5" spans="1:27" s="108" customFormat="1" x14ac:dyDescent="0.25">
      <c r="A5" s="138" t="s">
        <v>280</v>
      </c>
      <c r="B5" s="117">
        <v>0</v>
      </c>
      <c r="C5" s="118">
        <f>('Space &amp; Elasticitiy'!K5+'Space &amp; Elasticitiy'!I12)*(1.005^(C$3-2024))</f>
        <v>2186962.1338857482</v>
      </c>
      <c r="D5" s="118">
        <f>('Space &amp; Elasticitiy'!K19+'Space &amp; Elasticitiy'!I12)*(1.005^(D$3-2024))</f>
        <v>2043276.0334688982</v>
      </c>
      <c r="E5" s="118">
        <f>$D5*(1.005^(E$3-2027))</f>
        <v>2053492.4136362425</v>
      </c>
      <c r="F5" s="118">
        <f t="shared" ref="F5:K5" si="0">$D5*(1.005^(F$3-2027))</f>
        <v>2063759.8757044233</v>
      </c>
      <c r="G5" s="118">
        <f t="shared" si="0"/>
        <v>2074078.6750829453</v>
      </c>
      <c r="H5" s="118">
        <f t="shared" si="0"/>
        <v>2084449.0684583595</v>
      </c>
      <c r="I5" s="118">
        <f t="shared" si="0"/>
        <v>2094871.3138006509</v>
      </c>
      <c r="J5" s="118">
        <f t="shared" si="0"/>
        <v>2105345.6703696535</v>
      </c>
      <c r="K5" s="118">
        <f t="shared" si="0"/>
        <v>2115872.3987215017</v>
      </c>
      <c r="L5" s="118">
        <f>$K5*(1-0.04*1/3)*(1+1/3)*(1.005^(L$3-2034))</f>
        <v>2797465.4274296546</v>
      </c>
      <c r="M5" s="118">
        <f t="shared" ref="M5:U5" si="1">$K5*(1-0.04*1/3)*(1+1/3)*(1.005^(M$3-2034))</f>
        <v>2811452.7545668022</v>
      </c>
      <c r="N5" s="118">
        <f t="shared" si="1"/>
        <v>2825510.0183396363</v>
      </c>
      <c r="O5" s="118">
        <f t="shared" si="1"/>
        <v>2839637.5684313336</v>
      </c>
      <c r="P5" s="118">
        <f t="shared" si="1"/>
        <v>2853835.7562734894</v>
      </c>
      <c r="Q5" s="118">
        <f t="shared" si="1"/>
        <v>2868104.9350548568</v>
      </c>
      <c r="R5" s="118">
        <f t="shared" si="1"/>
        <v>2882445.4597301306</v>
      </c>
      <c r="S5" s="118">
        <f t="shared" si="1"/>
        <v>2896857.687028781</v>
      </c>
      <c r="T5" s="118">
        <f t="shared" si="1"/>
        <v>2911341.9754639249</v>
      </c>
      <c r="U5" s="118">
        <f t="shared" si="1"/>
        <v>2925898.6853412441</v>
      </c>
      <c r="V5" s="118">
        <f>$U5*(1-0.04*1/4)*(1+1/4)*(1.005^(V$3-2044))</f>
        <v>3638903.621225338</v>
      </c>
      <c r="W5" s="118">
        <f t="shared" ref="W5:AA5" si="2">$U5*(1-0.04*1/4)*(1+1/4)*(1.005^(W$3-2044))</f>
        <v>3657098.1393314642</v>
      </c>
      <c r="X5" s="118">
        <f t="shared" si="2"/>
        <v>3675383.6300281212</v>
      </c>
      <c r="Y5" s="118">
        <f t="shared" si="2"/>
        <v>3693760.5481782607</v>
      </c>
      <c r="Z5" s="118">
        <f t="shared" si="2"/>
        <v>3712229.3509191512</v>
      </c>
      <c r="AA5" s="118">
        <f t="shared" si="2"/>
        <v>3730790.4976737467</v>
      </c>
    </row>
    <row r="6" spans="1:27" s="108" customFormat="1" x14ac:dyDescent="0.25">
      <c r="A6" s="138" t="s">
        <v>299</v>
      </c>
      <c r="B6" s="117">
        <v>0</v>
      </c>
      <c r="C6" s="118"/>
      <c r="D6" s="118">
        <f>$C$6*(1.005^(D$3-2026))</f>
        <v>0</v>
      </c>
      <c r="E6" s="118">
        <f t="shared" ref="E6:AA6" si="3">$C$6*(1.005^(E$3-2026))</f>
        <v>0</v>
      </c>
      <c r="F6" s="118">
        <f t="shared" si="3"/>
        <v>0</v>
      </c>
      <c r="G6" s="118">
        <f t="shared" si="3"/>
        <v>0</v>
      </c>
      <c r="H6" s="118">
        <f t="shared" si="3"/>
        <v>0</v>
      </c>
      <c r="I6" s="118">
        <f t="shared" si="3"/>
        <v>0</v>
      </c>
      <c r="J6" s="118">
        <f t="shared" si="3"/>
        <v>0</v>
      </c>
      <c r="K6" s="118">
        <f t="shared" si="3"/>
        <v>0</v>
      </c>
      <c r="L6" s="118">
        <f t="shared" si="3"/>
        <v>0</v>
      </c>
      <c r="M6" s="118">
        <f t="shared" si="3"/>
        <v>0</v>
      </c>
      <c r="N6" s="118">
        <f t="shared" si="3"/>
        <v>0</v>
      </c>
      <c r="O6" s="118">
        <f t="shared" si="3"/>
        <v>0</v>
      </c>
      <c r="P6" s="118">
        <f t="shared" si="3"/>
        <v>0</v>
      </c>
      <c r="Q6" s="118">
        <f t="shared" si="3"/>
        <v>0</v>
      </c>
      <c r="R6" s="118">
        <f t="shared" si="3"/>
        <v>0</v>
      </c>
      <c r="S6" s="118">
        <f t="shared" si="3"/>
        <v>0</v>
      </c>
      <c r="T6" s="118">
        <f t="shared" si="3"/>
        <v>0</v>
      </c>
      <c r="U6" s="118">
        <f t="shared" si="3"/>
        <v>0</v>
      </c>
      <c r="V6" s="118">
        <f t="shared" si="3"/>
        <v>0</v>
      </c>
      <c r="W6" s="118">
        <f t="shared" si="3"/>
        <v>0</v>
      </c>
      <c r="X6" s="118">
        <f t="shared" si="3"/>
        <v>0</v>
      </c>
      <c r="Y6" s="118">
        <f t="shared" si="3"/>
        <v>0</v>
      </c>
      <c r="Z6" s="118">
        <f t="shared" si="3"/>
        <v>0</v>
      </c>
      <c r="AA6" s="118">
        <f t="shared" si="3"/>
        <v>0</v>
      </c>
    </row>
    <row r="7" spans="1:27" s="107" customFormat="1" ht="13" x14ac:dyDescent="0.3">
      <c r="A7" s="107" t="s">
        <v>281</v>
      </c>
      <c r="B7" s="139">
        <f>B5</f>
        <v>0</v>
      </c>
      <c r="C7" s="140">
        <f>SUM(C5:C6)</f>
        <v>2186962.1338857482</v>
      </c>
      <c r="D7" s="140">
        <f t="shared" ref="D7:AA7" si="4">SUM(D5:D6)</f>
        <v>2043276.0334688982</v>
      </c>
      <c r="E7" s="140">
        <f t="shared" si="4"/>
        <v>2053492.4136362425</v>
      </c>
      <c r="F7" s="140">
        <f t="shared" si="4"/>
        <v>2063759.8757044233</v>
      </c>
      <c r="G7" s="140">
        <f t="shared" si="4"/>
        <v>2074078.6750829453</v>
      </c>
      <c r="H7" s="140">
        <f t="shared" si="4"/>
        <v>2084449.0684583595</v>
      </c>
      <c r="I7" s="140">
        <f t="shared" si="4"/>
        <v>2094871.3138006509</v>
      </c>
      <c r="J7" s="140">
        <f t="shared" si="4"/>
        <v>2105345.6703696535</v>
      </c>
      <c r="K7" s="140">
        <f t="shared" si="4"/>
        <v>2115872.3987215017</v>
      </c>
      <c r="L7" s="140">
        <f t="shared" si="4"/>
        <v>2797465.4274296546</v>
      </c>
      <c r="M7" s="140">
        <f t="shared" si="4"/>
        <v>2811452.7545668022</v>
      </c>
      <c r="N7" s="140">
        <f t="shared" si="4"/>
        <v>2825510.0183396363</v>
      </c>
      <c r="O7" s="140">
        <f t="shared" si="4"/>
        <v>2839637.5684313336</v>
      </c>
      <c r="P7" s="140">
        <f t="shared" si="4"/>
        <v>2853835.7562734894</v>
      </c>
      <c r="Q7" s="140">
        <f t="shared" si="4"/>
        <v>2868104.9350548568</v>
      </c>
      <c r="R7" s="140">
        <f t="shared" si="4"/>
        <v>2882445.4597301306</v>
      </c>
      <c r="S7" s="140">
        <f t="shared" si="4"/>
        <v>2896857.687028781</v>
      </c>
      <c r="T7" s="140">
        <f t="shared" si="4"/>
        <v>2911341.9754639249</v>
      </c>
      <c r="U7" s="140">
        <f t="shared" si="4"/>
        <v>2925898.6853412441</v>
      </c>
      <c r="V7" s="140">
        <f t="shared" si="4"/>
        <v>3638903.621225338</v>
      </c>
      <c r="W7" s="140">
        <f t="shared" si="4"/>
        <v>3657098.1393314642</v>
      </c>
      <c r="X7" s="140">
        <f t="shared" si="4"/>
        <v>3675383.6300281212</v>
      </c>
      <c r="Y7" s="140">
        <f t="shared" si="4"/>
        <v>3693760.5481782607</v>
      </c>
      <c r="Z7" s="140">
        <f t="shared" si="4"/>
        <v>3712229.3509191512</v>
      </c>
      <c r="AA7" s="140">
        <f t="shared" si="4"/>
        <v>3730790.4976737467</v>
      </c>
    </row>
    <row r="8" spans="1:27" x14ac:dyDescent="0.25">
      <c r="B8" s="119"/>
      <c r="C8" s="120"/>
      <c r="D8" s="120"/>
      <c r="E8" s="120"/>
      <c r="F8" s="120"/>
      <c r="G8" s="120"/>
      <c r="H8" s="120"/>
      <c r="I8" s="120"/>
      <c r="J8" s="120"/>
      <c r="K8" s="120"/>
      <c r="L8" s="120"/>
      <c r="M8" s="120"/>
      <c r="N8" s="120"/>
      <c r="O8" s="120"/>
      <c r="P8" s="120"/>
      <c r="Q8" s="120"/>
      <c r="R8" s="120"/>
      <c r="S8" s="120"/>
      <c r="T8" s="120"/>
      <c r="U8" s="120"/>
      <c r="V8" s="120"/>
      <c r="W8" s="120"/>
      <c r="X8" s="120"/>
      <c r="Y8" s="120"/>
      <c r="Z8" s="120"/>
      <c r="AA8" s="120"/>
    </row>
    <row r="9" spans="1:27" s="110" customFormat="1" ht="13" x14ac:dyDescent="0.3">
      <c r="A9" s="109" t="s">
        <v>181</v>
      </c>
      <c r="B9" s="121"/>
      <c r="C9" s="122"/>
      <c r="D9" s="122"/>
      <c r="E9" s="122"/>
      <c r="F9" s="122"/>
      <c r="G9" s="122"/>
      <c r="H9" s="122"/>
      <c r="I9" s="122"/>
      <c r="J9" s="122"/>
      <c r="K9" s="122"/>
      <c r="L9" s="122"/>
      <c r="M9" s="122"/>
      <c r="N9" s="122"/>
      <c r="O9" s="122"/>
      <c r="P9" s="122"/>
      <c r="Q9" s="122"/>
      <c r="R9" s="122"/>
      <c r="S9" s="122"/>
      <c r="T9" s="122"/>
      <c r="U9" s="122"/>
      <c r="V9" s="122"/>
      <c r="W9" s="122"/>
      <c r="X9" s="122"/>
      <c r="Y9" s="122"/>
      <c r="Z9" s="122"/>
      <c r="AA9" s="122"/>
    </row>
    <row r="10" spans="1:27" s="110" customFormat="1" x14ac:dyDescent="0.25">
      <c r="A10" s="111" t="s">
        <v>320</v>
      </c>
      <c r="B10" s="121">
        <f>49*10000</f>
        <v>490000</v>
      </c>
      <c r="C10" s="122">
        <v>0</v>
      </c>
      <c r="D10" s="122">
        <v>0</v>
      </c>
      <c r="E10" s="122">
        <v>0</v>
      </c>
      <c r="F10" s="122">
        <v>0</v>
      </c>
      <c r="G10" s="122">
        <v>0</v>
      </c>
      <c r="H10" s="122">
        <v>0</v>
      </c>
      <c r="I10" s="122">
        <v>0</v>
      </c>
      <c r="J10" s="122">
        <v>0</v>
      </c>
      <c r="K10" s="122">
        <v>0</v>
      </c>
      <c r="L10" s="122">
        <f>$B10*(1.03^(L$3-$B$3))</f>
        <v>658519.02587861964</v>
      </c>
      <c r="M10" s="122">
        <v>0</v>
      </c>
      <c r="N10" s="122">
        <v>0</v>
      </c>
      <c r="O10" s="122">
        <v>0</v>
      </c>
      <c r="P10" s="122">
        <v>0</v>
      </c>
      <c r="Q10" s="122">
        <v>0</v>
      </c>
      <c r="R10" s="122">
        <v>0</v>
      </c>
      <c r="S10" s="122">
        <v>0</v>
      </c>
      <c r="T10" s="122">
        <v>0</v>
      </c>
      <c r="U10" s="122">
        <v>0</v>
      </c>
      <c r="V10" s="122">
        <f>$B10*(1.03^(V$3-$B$3))</f>
        <v>884994.50498801249</v>
      </c>
      <c r="W10" s="122">
        <v>0</v>
      </c>
      <c r="X10" s="122">
        <v>0</v>
      </c>
      <c r="Y10" s="122">
        <v>0</v>
      </c>
      <c r="Z10" s="122">
        <v>0</v>
      </c>
      <c r="AA10" s="122">
        <v>0</v>
      </c>
    </row>
    <row r="11" spans="1:27" s="110" customFormat="1" x14ac:dyDescent="0.25">
      <c r="A11" s="111" t="s">
        <v>155</v>
      </c>
      <c r="B11" s="121">
        <f>176*1000</f>
        <v>176000</v>
      </c>
      <c r="C11" s="122">
        <v>0</v>
      </c>
      <c r="D11" s="122">
        <v>0</v>
      </c>
      <c r="E11" s="122">
        <v>0</v>
      </c>
      <c r="F11" s="122">
        <v>0</v>
      </c>
      <c r="G11" s="122">
        <v>0</v>
      </c>
      <c r="H11" s="122">
        <v>0</v>
      </c>
      <c r="I11" s="122">
        <v>0</v>
      </c>
      <c r="J11" s="122">
        <v>0</v>
      </c>
      <c r="K11" s="122">
        <v>0</v>
      </c>
      <c r="L11" s="122">
        <f t="shared" ref="L11:L12" si="5">$B11*(1.03^(L$3-$B$3))</f>
        <v>236529.28276456543</v>
      </c>
      <c r="M11" s="122">
        <v>0</v>
      </c>
      <c r="N11" s="122">
        <v>0</v>
      </c>
      <c r="O11" s="122">
        <v>0</v>
      </c>
      <c r="P11" s="122">
        <v>0</v>
      </c>
      <c r="Q11" s="122">
        <v>0</v>
      </c>
      <c r="R11" s="122">
        <v>0</v>
      </c>
      <c r="S11" s="122">
        <v>0</v>
      </c>
      <c r="T11" s="122">
        <v>0</v>
      </c>
      <c r="U11" s="122">
        <v>0</v>
      </c>
      <c r="V11" s="122">
        <f t="shared" ref="V11:V12" si="6">$B11*(1.03^(V$3-$B$3))</f>
        <v>317875.57730181672</v>
      </c>
      <c r="W11" s="122">
        <v>0</v>
      </c>
      <c r="X11" s="122">
        <v>0</v>
      </c>
      <c r="Y11" s="122">
        <v>0</v>
      </c>
      <c r="Z11" s="122">
        <v>0</v>
      </c>
      <c r="AA11" s="122">
        <v>0</v>
      </c>
    </row>
    <row r="12" spans="1:27" s="110" customFormat="1" x14ac:dyDescent="0.25">
      <c r="A12" s="111" t="s">
        <v>154</v>
      </c>
      <c r="B12" s="121">
        <f>56*2000</f>
        <v>112000</v>
      </c>
      <c r="C12" s="122">
        <v>0</v>
      </c>
      <c r="D12" s="122">
        <v>0</v>
      </c>
      <c r="E12" s="122">
        <v>0</v>
      </c>
      <c r="F12" s="122">
        <v>0</v>
      </c>
      <c r="G12" s="122">
        <v>0</v>
      </c>
      <c r="H12" s="122">
        <v>0</v>
      </c>
      <c r="I12" s="122">
        <v>0</v>
      </c>
      <c r="J12" s="122">
        <v>0</v>
      </c>
      <c r="K12" s="122">
        <v>0</v>
      </c>
      <c r="L12" s="122">
        <f t="shared" si="5"/>
        <v>150518.63448654165</v>
      </c>
      <c r="M12" s="122">
        <v>0</v>
      </c>
      <c r="N12" s="122">
        <v>0</v>
      </c>
      <c r="O12" s="122">
        <v>0</v>
      </c>
      <c r="P12" s="122">
        <v>0</v>
      </c>
      <c r="Q12" s="122">
        <v>0</v>
      </c>
      <c r="R12" s="122">
        <v>0</v>
      </c>
      <c r="S12" s="122">
        <v>0</v>
      </c>
      <c r="T12" s="122">
        <v>0</v>
      </c>
      <c r="U12" s="122">
        <v>0</v>
      </c>
      <c r="V12" s="122">
        <f t="shared" si="6"/>
        <v>202284.45828297429</v>
      </c>
      <c r="W12" s="122">
        <v>0</v>
      </c>
      <c r="X12" s="122">
        <v>0</v>
      </c>
      <c r="Y12" s="122">
        <v>0</v>
      </c>
      <c r="Z12" s="122">
        <v>0</v>
      </c>
      <c r="AA12" s="122">
        <v>0</v>
      </c>
    </row>
    <row r="13" spans="1:27" s="110" customFormat="1" x14ac:dyDescent="0.25">
      <c r="A13" s="111" t="s">
        <v>279</v>
      </c>
      <c r="B13" s="121">
        <v>0</v>
      </c>
      <c r="C13" s="122">
        <v>750000</v>
      </c>
      <c r="D13" s="122">
        <f>$C13*(1.03^(D$3-$C$3))</f>
        <v>772500</v>
      </c>
      <c r="E13" s="122">
        <f t="shared" ref="E13:AA16" si="7">$C13*(1.03^(E$3-$C$3))</f>
        <v>795675</v>
      </c>
      <c r="F13" s="122">
        <f t="shared" si="7"/>
        <v>819545.25</v>
      </c>
      <c r="G13" s="122">
        <f t="shared" si="7"/>
        <v>844131.60749999993</v>
      </c>
      <c r="H13" s="122">
        <f t="shared" si="7"/>
        <v>869455.55572499987</v>
      </c>
      <c r="I13" s="122">
        <f t="shared" si="7"/>
        <v>895539.22239674989</v>
      </c>
      <c r="J13" s="122">
        <f t="shared" si="7"/>
        <v>922405.39906865254</v>
      </c>
      <c r="K13" s="122">
        <f t="shared" si="7"/>
        <v>950077.56104071194</v>
      </c>
      <c r="L13" s="122">
        <f t="shared" si="7"/>
        <v>978579.88787193329</v>
      </c>
      <c r="M13" s="122">
        <f t="shared" si="7"/>
        <v>1007937.2845080913</v>
      </c>
      <c r="N13" s="122">
        <f t="shared" si="7"/>
        <v>1038175.4030433341</v>
      </c>
      <c r="O13" s="122">
        <f t="shared" si="7"/>
        <v>1069320.6651346339</v>
      </c>
      <c r="P13" s="122">
        <f t="shared" si="7"/>
        <v>1101400.285088673</v>
      </c>
      <c r="Q13" s="122">
        <f t="shared" si="7"/>
        <v>1134442.2936413332</v>
      </c>
      <c r="R13" s="122">
        <f t="shared" si="7"/>
        <v>1168475.5624505733</v>
      </c>
      <c r="S13" s="122">
        <f t="shared" si="7"/>
        <v>1203529.8293240904</v>
      </c>
      <c r="T13" s="122">
        <f t="shared" si="7"/>
        <v>1239635.7242038131</v>
      </c>
      <c r="U13" s="122">
        <f t="shared" si="7"/>
        <v>1276824.7959299274</v>
      </c>
      <c r="V13" s="122">
        <f t="shared" si="7"/>
        <v>1315129.5398078251</v>
      </c>
      <c r="W13" s="122">
        <f t="shared" si="7"/>
        <v>1354583.4260020598</v>
      </c>
      <c r="X13" s="122">
        <f t="shared" si="7"/>
        <v>1395220.9287821215</v>
      </c>
      <c r="Y13" s="122">
        <f t="shared" si="7"/>
        <v>1437077.5566455855</v>
      </c>
      <c r="Z13" s="122">
        <f t="shared" si="7"/>
        <v>1480189.8833449529</v>
      </c>
      <c r="AA13" s="122">
        <f t="shared" si="7"/>
        <v>1524595.5798453013</v>
      </c>
    </row>
    <row r="14" spans="1:27" s="110" customFormat="1" x14ac:dyDescent="0.25">
      <c r="A14" s="111" t="s">
        <v>282</v>
      </c>
      <c r="B14" s="121">
        <v>0</v>
      </c>
      <c r="C14" s="122">
        <v>76000</v>
      </c>
      <c r="D14" s="122">
        <f>$C14*(1.03^(D$3-$C$3))</f>
        <v>78280</v>
      </c>
      <c r="E14" s="122">
        <f t="shared" si="7"/>
        <v>80628.399999999994</v>
      </c>
      <c r="F14" s="122">
        <f t="shared" si="7"/>
        <v>83047.251999999993</v>
      </c>
      <c r="G14" s="122">
        <f t="shared" si="7"/>
        <v>85538.669559999995</v>
      </c>
      <c r="H14" s="122">
        <f t="shared" si="7"/>
        <v>88104.82964679999</v>
      </c>
      <c r="I14" s="122">
        <f t="shared" si="7"/>
        <v>90747.974536203998</v>
      </c>
      <c r="J14" s="122">
        <f t="shared" si="7"/>
        <v>93470.413772290121</v>
      </c>
      <c r="K14" s="122">
        <f t="shared" si="7"/>
        <v>96274.526185458817</v>
      </c>
      <c r="L14" s="122">
        <f t="shared" si="7"/>
        <v>99162.761971022584</v>
      </c>
      <c r="M14" s="122">
        <f t="shared" si="7"/>
        <v>102137.64483015325</v>
      </c>
      <c r="N14" s="122">
        <f>$C14*(1.03^(N$3-$C$3))</f>
        <v>105201.77417505786</v>
      </c>
      <c r="O14" s="122">
        <f t="shared" si="7"/>
        <v>108357.82740030957</v>
      </c>
      <c r="P14" s="122">
        <f t="shared" si="7"/>
        <v>111608.56222231885</v>
      </c>
      <c r="Q14" s="122">
        <f t="shared" si="7"/>
        <v>114956.81908898844</v>
      </c>
      <c r="R14" s="122">
        <f t="shared" si="7"/>
        <v>118405.5236616581</v>
      </c>
      <c r="S14" s="122">
        <f t="shared" si="7"/>
        <v>121957.68937150782</v>
      </c>
      <c r="T14" s="122">
        <f t="shared" si="7"/>
        <v>125616.42005265305</v>
      </c>
      <c r="U14" s="122">
        <f t="shared" si="7"/>
        <v>129384.91265423264</v>
      </c>
      <c r="V14" s="122">
        <f t="shared" si="7"/>
        <v>133266.46003385962</v>
      </c>
      <c r="W14" s="122">
        <f t="shared" si="7"/>
        <v>137264.4538348754</v>
      </c>
      <c r="X14" s="122">
        <f t="shared" si="7"/>
        <v>141382.38744992166</v>
      </c>
      <c r="Y14" s="122">
        <f t="shared" si="7"/>
        <v>145623.85907341933</v>
      </c>
      <c r="Z14" s="122">
        <f t="shared" si="7"/>
        <v>149992.57484562192</v>
      </c>
      <c r="AA14" s="122">
        <f t="shared" si="7"/>
        <v>154492.35209099055</v>
      </c>
    </row>
    <row r="15" spans="1:27" s="110" customFormat="1" x14ac:dyDescent="0.25">
      <c r="A15" s="111" t="s">
        <v>327</v>
      </c>
      <c r="B15" s="121">
        <v>0</v>
      </c>
      <c r="C15" s="122">
        <f>C7*0.03*0.9</f>
        <v>59047.977614915209</v>
      </c>
      <c r="D15" s="122">
        <f t="shared" ref="D15:AA15" si="8">D7*0.03*0.9</f>
        <v>55168.452903660247</v>
      </c>
      <c r="E15" s="122">
        <f t="shared" si="8"/>
        <v>55444.295168178549</v>
      </c>
      <c r="F15" s="122">
        <f t="shared" si="8"/>
        <v>55721.51664401943</v>
      </c>
      <c r="G15" s="122">
        <f t="shared" si="8"/>
        <v>56000.124227239517</v>
      </c>
      <c r="H15" s="122">
        <f t="shared" si="8"/>
        <v>56280.124848375708</v>
      </c>
      <c r="I15" s="122">
        <f t="shared" si="8"/>
        <v>56561.525472617577</v>
      </c>
      <c r="J15" s="122">
        <f t="shared" si="8"/>
        <v>56844.333099980642</v>
      </c>
      <c r="K15" s="122">
        <f t="shared" si="8"/>
        <v>57128.554765480549</v>
      </c>
      <c r="L15" s="122">
        <f t="shared" si="8"/>
        <v>75531.566540600674</v>
      </c>
      <c r="M15" s="122">
        <f t="shared" si="8"/>
        <v>75909.224373303659</v>
      </c>
      <c r="N15" s="122">
        <f t="shared" si="8"/>
        <v>76288.770495170174</v>
      </c>
      <c r="O15" s="122">
        <f t="shared" si="8"/>
        <v>76670.214347646004</v>
      </c>
      <c r="P15" s="122">
        <f t="shared" si="8"/>
        <v>77053.56541938422</v>
      </c>
      <c r="Q15" s="122">
        <f t="shared" si="8"/>
        <v>77438.833246481139</v>
      </c>
      <c r="R15" s="122">
        <f t="shared" si="8"/>
        <v>77826.027412713534</v>
      </c>
      <c r="S15" s="122">
        <f t="shared" si="8"/>
        <v>78215.157549777083</v>
      </c>
      <c r="T15" s="122">
        <f t="shared" si="8"/>
        <v>78606.233337525977</v>
      </c>
      <c r="U15" s="122">
        <f t="shared" si="8"/>
        <v>78999.264504213585</v>
      </c>
      <c r="V15" s="122">
        <f t="shared" si="8"/>
        <v>98250.397773084129</v>
      </c>
      <c r="W15" s="122">
        <f t="shared" si="8"/>
        <v>98741.649761949535</v>
      </c>
      <c r="X15" s="122">
        <f t="shared" si="8"/>
        <v>99235.358010759272</v>
      </c>
      <c r="Y15" s="122">
        <f t="shared" si="8"/>
        <v>99731.534800813024</v>
      </c>
      <c r="Z15" s="122">
        <f t="shared" si="8"/>
        <v>100230.19247481707</v>
      </c>
      <c r="AA15" s="122">
        <f t="shared" si="8"/>
        <v>100731.34343719116</v>
      </c>
    </row>
    <row r="16" spans="1:27" s="106" customFormat="1" x14ac:dyDescent="0.25">
      <c r="A16" s="112" t="s">
        <v>189</v>
      </c>
      <c r="B16" s="121">
        <v>0</v>
      </c>
      <c r="C16" s="122"/>
      <c r="D16" s="122">
        <f>$C16*(1.03^(D$3-$C$3))</f>
        <v>0</v>
      </c>
      <c r="E16" s="122">
        <f t="shared" si="7"/>
        <v>0</v>
      </c>
      <c r="F16" s="122">
        <f>$C16*(1.03^(F$3-$C$3))</f>
        <v>0</v>
      </c>
      <c r="G16" s="122">
        <f t="shared" si="7"/>
        <v>0</v>
      </c>
      <c r="H16" s="122">
        <f t="shared" si="7"/>
        <v>0</v>
      </c>
      <c r="I16" s="122">
        <f t="shared" si="7"/>
        <v>0</v>
      </c>
      <c r="J16" s="122">
        <f t="shared" si="7"/>
        <v>0</v>
      </c>
      <c r="K16" s="122">
        <f t="shared" si="7"/>
        <v>0</v>
      </c>
      <c r="L16" s="122">
        <f t="shared" si="7"/>
        <v>0</v>
      </c>
      <c r="M16" s="122">
        <f t="shared" si="7"/>
        <v>0</v>
      </c>
      <c r="N16" s="122">
        <f t="shared" si="7"/>
        <v>0</v>
      </c>
      <c r="O16" s="122">
        <f t="shared" si="7"/>
        <v>0</v>
      </c>
      <c r="P16" s="122">
        <f t="shared" si="7"/>
        <v>0</v>
      </c>
      <c r="Q16" s="122">
        <f t="shared" si="7"/>
        <v>0</v>
      </c>
      <c r="R16" s="122">
        <f t="shared" si="7"/>
        <v>0</v>
      </c>
      <c r="S16" s="122">
        <f t="shared" si="7"/>
        <v>0</v>
      </c>
      <c r="T16" s="122">
        <f t="shared" si="7"/>
        <v>0</v>
      </c>
      <c r="U16" s="122">
        <f t="shared" si="7"/>
        <v>0</v>
      </c>
      <c r="V16" s="122">
        <f t="shared" si="7"/>
        <v>0</v>
      </c>
      <c r="W16" s="122">
        <f t="shared" si="7"/>
        <v>0</v>
      </c>
      <c r="X16" s="122">
        <f t="shared" si="7"/>
        <v>0</v>
      </c>
      <c r="Y16" s="122">
        <f t="shared" si="7"/>
        <v>0</v>
      </c>
      <c r="Z16" s="122">
        <f t="shared" si="7"/>
        <v>0</v>
      </c>
      <c r="AA16" s="122">
        <f t="shared" si="7"/>
        <v>0</v>
      </c>
    </row>
    <row r="17" spans="1:28" s="110" customFormat="1" ht="13" x14ac:dyDescent="0.3">
      <c r="A17" s="109" t="s">
        <v>257</v>
      </c>
      <c r="B17" s="123">
        <f t="shared" ref="B17:AA17" si="9">SUM(B10:B16)</f>
        <v>778000</v>
      </c>
      <c r="C17" s="124">
        <f t="shared" si="9"/>
        <v>885047.97761491523</v>
      </c>
      <c r="D17" s="124">
        <f t="shared" si="9"/>
        <v>905948.45290366025</v>
      </c>
      <c r="E17" s="124">
        <f t="shared" si="9"/>
        <v>931747.69516817853</v>
      </c>
      <c r="F17" s="124">
        <f t="shared" si="9"/>
        <v>958314.01864401938</v>
      </c>
      <c r="G17" s="124">
        <f t="shared" si="9"/>
        <v>985670.40128723939</v>
      </c>
      <c r="H17" s="124">
        <f t="shared" si="9"/>
        <v>1013840.5102201755</v>
      </c>
      <c r="I17" s="124">
        <f t="shared" si="9"/>
        <v>1042848.7224055715</v>
      </c>
      <c r="J17" s="124">
        <f t="shared" si="9"/>
        <v>1072720.1459409234</v>
      </c>
      <c r="K17" s="124">
        <f t="shared" si="9"/>
        <v>1103480.6419916514</v>
      </c>
      <c r="L17" s="124">
        <f t="shared" si="9"/>
        <v>2198841.1595132831</v>
      </c>
      <c r="M17" s="124">
        <f t="shared" si="9"/>
        <v>1185984.1537115481</v>
      </c>
      <c r="N17" s="124">
        <f t="shared" si="9"/>
        <v>1219665.9477135623</v>
      </c>
      <c r="O17" s="124">
        <f t="shared" si="9"/>
        <v>1254348.7068825895</v>
      </c>
      <c r="P17" s="124">
        <f t="shared" si="9"/>
        <v>1290062.4127303762</v>
      </c>
      <c r="Q17" s="124">
        <f t="shared" si="9"/>
        <v>1326837.9459768028</v>
      </c>
      <c r="R17" s="124">
        <f t="shared" si="9"/>
        <v>1364707.113524945</v>
      </c>
      <c r="S17" s="124">
        <f t="shared" si="9"/>
        <v>1403702.6762453753</v>
      </c>
      <c r="T17" s="124">
        <f t="shared" si="9"/>
        <v>1443858.377593992</v>
      </c>
      <c r="U17" s="124">
        <f t="shared" si="9"/>
        <v>1485208.9730883737</v>
      </c>
      <c r="V17" s="124">
        <f t="shared" si="9"/>
        <v>2951800.9381875726</v>
      </c>
      <c r="W17" s="124">
        <f t="shared" si="9"/>
        <v>1590589.5295988848</v>
      </c>
      <c r="X17" s="124">
        <f t="shared" si="9"/>
        <v>1635838.6742428024</v>
      </c>
      <c r="Y17" s="124">
        <f t="shared" si="9"/>
        <v>1682432.9505198179</v>
      </c>
      <c r="Z17" s="124">
        <f t="shared" si="9"/>
        <v>1730412.6506653919</v>
      </c>
      <c r="AA17" s="124">
        <f t="shared" si="9"/>
        <v>1779819.2753734831</v>
      </c>
    </row>
    <row r="18" spans="1:28" x14ac:dyDescent="0.25">
      <c r="B18" s="119"/>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row>
    <row r="19" spans="1:28" s="113" customFormat="1" ht="13" x14ac:dyDescent="0.3">
      <c r="A19" s="113" t="s">
        <v>182</v>
      </c>
      <c r="B19" s="125">
        <f t="shared" ref="B19:AA19" si="10">B7-B17</f>
        <v>-778000</v>
      </c>
      <c r="C19" s="126">
        <f t="shared" si="10"/>
        <v>1301914.156270833</v>
      </c>
      <c r="D19" s="126">
        <f t="shared" si="10"/>
        <v>1137327.5805652379</v>
      </c>
      <c r="E19" s="126">
        <f t="shared" si="10"/>
        <v>1121744.718468064</v>
      </c>
      <c r="F19" s="126">
        <f t="shared" si="10"/>
        <v>1105445.857060404</v>
      </c>
      <c r="G19" s="126">
        <f t="shared" si="10"/>
        <v>1088408.2737957058</v>
      </c>
      <c r="H19" s="126">
        <f t="shared" si="10"/>
        <v>1070608.5582381841</v>
      </c>
      <c r="I19" s="126">
        <f t="shared" si="10"/>
        <v>1052022.5913950794</v>
      </c>
      <c r="J19" s="126">
        <f t="shared" si="10"/>
        <v>1032625.5244287301</v>
      </c>
      <c r="K19" s="126">
        <f t="shared" si="10"/>
        <v>1012391.7567298503</v>
      </c>
      <c r="L19" s="126">
        <f t="shared" si="10"/>
        <v>598624.26791637158</v>
      </c>
      <c r="M19" s="126">
        <f t="shared" si="10"/>
        <v>1625468.6008552541</v>
      </c>
      <c r="N19" s="126">
        <f t="shared" si="10"/>
        <v>1605844.070626074</v>
      </c>
      <c r="O19" s="126">
        <f t="shared" si="10"/>
        <v>1585288.8615487441</v>
      </c>
      <c r="P19" s="126">
        <f t="shared" si="10"/>
        <v>1563773.3435431132</v>
      </c>
      <c r="Q19" s="126">
        <f t="shared" si="10"/>
        <v>1541266.989078054</v>
      </c>
      <c r="R19" s="126">
        <f t="shared" si="10"/>
        <v>1517738.3462051856</v>
      </c>
      <c r="S19" s="126">
        <f t="shared" si="10"/>
        <v>1493155.0107834057</v>
      </c>
      <c r="T19" s="126">
        <f t="shared" si="10"/>
        <v>1467483.5978699329</v>
      </c>
      <c r="U19" s="126">
        <f t="shared" si="10"/>
        <v>1440689.7122528704</v>
      </c>
      <c r="V19" s="126">
        <f t="shared" si="10"/>
        <v>687102.68303776532</v>
      </c>
      <c r="W19" s="126">
        <f t="shared" si="10"/>
        <v>2066508.6097325794</v>
      </c>
      <c r="X19" s="126">
        <f t="shared" si="10"/>
        <v>2039544.9557853187</v>
      </c>
      <c r="Y19" s="126">
        <f t="shared" si="10"/>
        <v>2011327.5976584428</v>
      </c>
      <c r="Z19" s="126">
        <f t="shared" si="10"/>
        <v>1981816.7002537593</v>
      </c>
      <c r="AA19" s="126">
        <f t="shared" si="10"/>
        <v>1950971.2223002636</v>
      </c>
      <c r="AB19" s="116"/>
    </row>
    <row r="20" spans="1:28" x14ac:dyDescent="0.25">
      <c r="B20" s="144"/>
    </row>
    <row r="21" spans="1:28" x14ac:dyDescent="0.25">
      <c r="B21" s="144"/>
      <c r="C21" s="147"/>
    </row>
    <row r="22" spans="1:28" x14ac:dyDescent="0.25">
      <c r="A22" s="54" t="s">
        <v>294</v>
      </c>
      <c r="B22" s="148">
        <v>2025</v>
      </c>
      <c r="C22" s="148">
        <v>2026</v>
      </c>
      <c r="D22" s="148">
        <v>2027</v>
      </c>
      <c r="E22" s="148">
        <v>2028</v>
      </c>
      <c r="F22" s="148">
        <v>2029</v>
      </c>
      <c r="G22" s="148">
        <v>2030</v>
      </c>
      <c r="H22" s="148">
        <v>2031</v>
      </c>
      <c r="I22" s="148">
        <v>2032</v>
      </c>
      <c r="J22" s="148">
        <v>2033</v>
      </c>
      <c r="K22" s="148">
        <v>2034</v>
      </c>
      <c r="L22" s="148">
        <v>2035</v>
      </c>
      <c r="M22" s="148">
        <v>2036</v>
      </c>
      <c r="N22" s="148">
        <v>2037</v>
      </c>
      <c r="O22" s="148">
        <v>2038</v>
      </c>
      <c r="P22" s="148">
        <v>2039</v>
      </c>
      <c r="Q22" s="148">
        <v>2040</v>
      </c>
      <c r="R22" s="148">
        <v>2041</v>
      </c>
      <c r="S22" s="148">
        <v>2042</v>
      </c>
      <c r="T22" s="148">
        <v>2043</v>
      </c>
      <c r="U22" s="148">
        <v>2044</v>
      </c>
      <c r="V22" s="148">
        <v>2045</v>
      </c>
      <c r="W22" s="148">
        <v>2046</v>
      </c>
      <c r="X22" s="148">
        <v>2047</v>
      </c>
      <c r="Y22" s="148">
        <v>2048</v>
      </c>
      <c r="Z22" s="148">
        <v>2049</v>
      </c>
      <c r="AA22" s="148">
        <v>2050</v>
      </c>
    </row>
    <row r="23" spans="1:28" x14ac:dyDescent="0.25">
      <c r="A23" s="54" t="s">
        <v>138</v>
      </c>
      <c r="B23" s="120">
        <f>B7/(1.03^(B$22-2025))</f>
        <v>0</v>
      </c>
      <c r="C23" s="150">
        <f t="shared" ref="C23:AA23" si="11">C7/(1.03^(C22-2025))</f>
        <v>2123264.2076560664</v>
      </c>
      <c r="D23" s="120">
        <f t="shared" si="11"/>
        <v>1925983.6303788277</v>
      </c>
      <c r="E23" s="120">
        <f t="shared" si="11"/>
        <v>1879236.4548841957</v>
      </c>
      <c r="F23" s="120">
        <f t="shared" si="11"/>
        <v>1833623.9195714723</v>
      </c>
      <c r="G23" s="120">
        <f t="shared" si="11"/>
        <v>1789118.4846304171</v>
      </c>
      <c r="H23" s="120">
        <f t="shared" si="11"/>
        <v>1745693.278692785</v>
      </c>
      <c r="I23" s="120">
        <f t="shared" si="11"/>
        <v>1703322.0826080083</v>
      </c>
      <c r="J23" s="120">
        <f t="shared" si="11"/>
        <v>1661979.3136126681</v>
      </c>
      <c r="K23" s="120">
        <f t="shared" si="11"/>
        <v>1621640.0098842052</v>
      </c>
      <c r="L23" s="120">
        <f t="shared" si="11"/>
        <v>2081577.0016843723</v>
      </c>
      <c r="M23" s="120">
        <f t="shared" si="11"/>
        <v>2031053.288051256</v>
      </c>
      <c r="N23" s="120">
        <f t="shared" si="11"/>
        <v>1981755.8781470996</v>
      </c>
      <c r="O23" s="120">
        <f t="shared" si="11"/>
        <v>1933655.007318286</v>
      </c>
      <c r="P23" s="120">
        <f t="shared" si="11"/>
        <v>1886721.6333542492</v>
      </c>
      <c r="Q23" s="120">
        <f t="shared" si="11"/>
        <v>1840927.4189524469</v>
      </c>
      <c r="R23" s="120">
        <f t="shared" si="11"/>
        <v>1796244.714608941</v>
      </c>
      <c r="S23" s="120">
        <f t="shared" si="11"/>
        <v>1752646.5419242578</v>
      </c>
      <c r="T23" s="120">
        <f t="shared" si="11"/>
        <v>1710106.5773144455</v>
      </c>
      <c r="U23" s="120">
        <f t="shared" si="11"/>
        <v>1668599.1361174928</v>
      </c>
      <c r="V23" s="120">
        <f t="shared" si="11"/>
        <v>2014772.7068933244</v>
      </c>
      <c r="W23" s="120">
        <f t="shared" si="11"/>
        <v>1965870.4567260107</v>
      </c>
      <c r="X23" s="120">
        <f t="shared" si="11"/>
        <v>1918155.1543782917</v>
      </c>
      <c r="Y23" s="120">
        <f t="shared" si="11"/>
        <v>1871597.9904370704</v>
      </c>
      <c r="Z23" s="120">
        <f t="shared" si="11"/>
        <v>1826170.85474685</v>
      </c>
      <c r="AA23" s="120">
        <f t="shared" si="11"/>
        <v>1781846.3194374603</v>
      </c>
    </row>
    <row r="24" spans="1:28" x14ac:dyDescent="0.25">
      <c r="A24" s="143" t="s">
        <v>181</v>
      </c>
      <c r="B24" s="120">
        <f>B17/(1.03^(B$22-2025))</f>
        <v>778000</v>
      </c>
      <c r="C24" s="120">
        <f t="shared" ref="C24:AA24" si="12">C17/(1.03^(C$22-2025))</f>
        <v>859269.88117952936</v>
      </c>
      <c r="D24" s="120">
        <f t="shared" si="12"/>
        <v>853943.30559304391</v>
      </c>
      <c r="E24" s="120">
        <f t="shared" si="12"/>
        <v>852681.13185468875</v>
      </c>
      <c r="F24" s="120">
        <f t="shared" si="12"/>
        <v>851449.59340124531</v>
      </c>
      <c r="G24" s="120">
        <f t="shared" si="12"/>
        <v>850247.94665783679</v>
      </c>
      <c r="H24" s="120">
        <f t="shared" si="12"/>
        <v>849075.46609752066</v>
      </c>
      <c r="I24" s="120">
        <f t="shared" si="12"/>
        <v>847931.4438032317</v>
      </c>
      <c r="J24" s="120">
        <f t="shared" si="12"/>
        <v>846815.18904035771</v>
      </c>
      <c r="K24" s="120">
        <f t="shared" si="12"/>
        <v>845726.02783968905</v>
      </c>
      <c r="L24" s="120">
        <f t="shared" si="12"/>
        <v>1636144.3266182933</v>
      </c>
      <c r="M24" s="120">
        <f t="shared" si="12"/>
        <v>856780.18635019928</v>
      </c>
      <c r="N24" s="120">
        <f t="shared" si="12"/>
        <v>855449.15628278744</v>
      </c>
      <c r="O24" s="120">
        <f t="shared" si="12"/>
        <v>854150.43277040927</v>
      </c>
      <c r="P24" s="120">
        <f t="shared" si="12"/>
        <v>852883.23167338036</v>
      </c>
      <c r="Q24" s="120">
        <f t="shared" si="12"/>
        <v>851646.78788453154</v>
      </c>
      <c r="R24" s="120">
        <f t="shared" si="12"/>
        <v>850440.35486725706</v>
      </c>
      <c r="S24" s="120">
        <f t="shared" si="12"/>
        <v>849263.2042047705</v>
      </c>
      <c r="T24" s="120">
        <f t="shared" si="12"/>
        <v>848114.62516030553</v>
      </c>
      <c r="U24" s="120">
        <f t="shared" si="12"/>
        <v>846993.92424798792</v>
      </c>
      <c r="V24" s="120">
        <f t="shared" si="12"/>
        <v>1634340.6106589355</v>
      </c>
      <c r="W24" s="120">
        <f t="shared" si="12"/>
        <v>855020.2499044179</v>
      </c>
      <c r="X24" s="120">
        <f t="shared" si="12"/>
        <v>853731.93674102926</v>
      </c>
      <c r="Y24" s="120">
        <f t="shared" si="12"/>
        <v>852474.89331461652</v>
      </c>
      <c r="Z24" s="120">
        <f t="shared" si="12"/>
        <v>851248.36065098061</v>
      </c>
      <c r="AA24" s="120">
        <f t="shared" si="12"/>
        <v>850051.598197627</v>
      </c>
    </row>
    <row r="25" spans="1:28" x14ac:dyDescent="0.25">
      <c r="A25" s="151" t="s">
        <v>182</v>
      </c>
      <c r="B25" s="120">
        <f>B19/(1.03^(B$22-2025))</f>
        <v>-778000</v>
      </c>
      <c r="C25" s="120">
        <f t="shared" ref="C25:AA25" si="13">C19/(1.03^(C$22-2025))</f>
        <v>1263994.3264765369</v>
      </c>
      <c r="D25" s="120">
        <f t="shared" si="13"/>
        <v>1072040.3247857837</v>
      </c>
      <c r="E25" s="120">
        <f t="shared" si="13"/>
        <v>1026555.3230295068</v>
      </c>
      <c r="F25" s="120">
        <f t="shared" si="13"/>
        <v>982174.32617022702</v>
      </c>
      <c r="G25" s="120">
        <f t="shared" si="13"/>
        <v>938870.53797258018</v>
      </c>
      <c r="H25" s="120">
        <f t="shared" si="13"/>
        <v>896617.81259526452</v>
      </c>
      <c r="I25" s="120">
        <f t="shared" si="13"/>
        <v>855390.63880477659</v>
      </c>
      <c r="J25" s="120">
        <f t="shared" si="13"/>
        <v>815164.12457231025</v>
      </c>
      <c r="K25" s="120">
        <f t="shared" si="13"/>
        <v>775913.98204451601</v>
      </c>
      <c r="L25" s="120">
        <f t="shared" si="13"/>
        <v>445432.67506607901</v>
      </c>
      <c r="M25" s="120">
        <f t="shared" si="13"/>
        <v>1174273.1017010566</v>
      </c>
      <c r="N25" s="120">
        <f t="shared" si="13"/>
        <v>1126306.7218643122</v>
      </c>
      <c r="O25" s="120">
        <f t="shared" si="13"/>
        <v>1079504.5745478768</v>
      </c>
      <c r="P25" s="120">
        <f t="shared" si="13"/>
        <v>1033838.4016808689</v>
      </c>
      <c r="Q25" s="120">
        <f t="shared" si="13"/>
        <v>989280.63106791535</v>
      </c>
      <c r="R25" s="120">
        <f t="shared" si="13"/>
        <v>945804.35974168382</v>
      </c>
      <c r="S25" s="120">
        <f t="shared" si="13"/>
        <v>903383.33771948714</v>
      </c>
      <c r="T25" s="120">
        <f t="shared" si="13"/>
        <v>861991.9521541401</v>
      </c>
      <c r="U25" s="120">
        <f t="shared" si="13"/>
        <v>821605.211869505</v>
      </c>
      <c r="V25" s="120">
        <f t="shared" si="13"/>
        <v>380432.096234389</v>
      </c>
      <c r="W25" s="120">
        <f t="shared" si="13"/>
        <v>1110850.2068215928</v>
      </c>
      <c r="X25" s="120">
        <f>X19/(1.03^(X$22-2025))</f>
        <v>1064423.2176372623</v>
      </c>
      <c r="Y25" s="120">
        <f t="shared" si="13"/>
        <v>1019123.0971224539</v>
      </c>
      <c r="Z25" s="120">
        <f t="shared" si="13"/>
        <v>974922.49409586948</v>
      </c>
      <c r="AA25" s="120">
        <f t="shared" si="13"/>
        <v>931794.72123983339</v>
      </c>
    </row>
    <row r="26" spans="1:28" x14ac:dyDescent="0.25">
      <c r="A26" s="151"/>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row>
    <row r="27" spans="1:28" x14ac:dyDescent="0.25">
      <c r="B27" s="144"/>
    </row>
    <row r="28" spans="1:28" ht="25.5" customHeight="1" x14ac:dyDescent="0.3">
      <c r="A28" s="103" t="s">
        <v>248</v>
      </c>
      <c r="B28" s="232" t="s">
        <v>275</v>
      </c>
      <c r="C28" s="232"/>
    </row>
    <row r="29" spans="1:28" x14ac:dyDescent="0.25">
      <c r="A29" s="105" t="s">
        <v>187</v>
      </c>
      <c r="B29" s="154">
        <f>SUM(B23:AA23)</f>
        <v>46345562.062010489</v>
      </c>
      <c r="C29" s="154"/>
    </row>
    <row r="30" spans="1:28" x14ac:dyDescent="0.25">
      <c r="A30" s="105" t="s">
        <v>188</v>
      </c>
      <c r="B30" s="154">
        <f>SUM(B24:AA24)</f>
        <v>23633873.864994664</v>
      </c>
      <c r="C30" s="154"/>
    </row>
    <row r="31" spans="1:28" x14ac:dyDescent="0.25">
      <c r="A31" s="105" t="s">
        <v>183</v>
      </c>
      <c r="B31" s="154">
        <f>SUM(B25:AA25)</f>
        <v>22711688.197015833</v>
      </c>
      <c r="C31" s="154"/>
    </row>
    <row r="32" spans="1:28" x14ac:dyDescent="0.25">
      <c r="B32" s="144"/>
    </row>
    <row r="33" spans="2:2" x14ac:dyDescent="0.25">
      <c r="B33" s="144"/>
    </row>
    <row r="34" spans="2:2" x14ac:dyDescent="0.25">
      <c r="B34" s="144"/>
    </row>
    <row r="35" spans="2:2" x14ac:dyDescent="0.25">
      <c r="B35" s="144"/>
    </row>
    <row r="36" spans="2:2" x14ac:dyDescent="0.25">
      <c r="B36" s="144"/>
    </row>
    <row r="37" spans="2:2" x14ac:dyDescent="0.25">
      <c r="B37" s="144"/>
    </row>
    <row r="38" spans="2:2" x14ac:dyDescent="0.25">
      <c r="B38" s="144"/>
    </row>
    <row r="39" spans="2:2" x14ac:dyDescent="0.25">
      <c r="B39" s="144"/>
    </row>
    <row r="40" spans="2:2" x14ac:dyDescent="0.25">
      <c r="B40" s="144"/>
    </row>
    <row r="41" spans="2:2" x14ac:dyDescent="0.25">
      <c r="B41" s="144"/>
    </row>
    <row r="42" spans="2:2" x14ac:dyDescent="0.25">
      <c r="B42" s="144"/>
    </row>
    <row r="43" spans="2:2" x14ac:dyDescent="0.25">
      <c r="B43" s="144"/>
    </row>
    <row r="44" spans="2:2" x14ac:dyDescent="0.25">
      <c r="B44" s="144"/>
    </row>
    <row r="45" spans="2:2" x14ac:dyDescent="0.25">
      <c r="B45" s="144"/>
    </row>
    <row r="46" spans="2:2" x14ac:dyDescent="0.25">
      <c r="B46" s="144"/>
    </row>
    <row r="47" spans="2:2" x14ac:dyDescent="0.25">
      <c r="B47" s="144"/>
    </row>
    <row r="48" spans="2:2" x14ac:dyDescent="0.25">
      <c r="B48" s="144"/>
    </row>
    <row r="49" spans="2:2" x14ac:dyDescent="0.25">
      <c r="B49" s="144"/>
    </row>
    <row r="50" spans="2:2" x14ac:dyDescent="0.25">
      <c r="B50" s="144"/>
    </row>
    <row r="51" spans="2:2" x14ac:dyDescent="0.25">
      <c r="B51" s="144"/>
    </row>
    <row r="52" spans="2:2" x14ac:dyDescent="0.25">
      <c r="B52" s="144"/>
    </row>
    <row r="53" spans="2:2" x14ac:dyDescent="0.25">
      <c r="B53" s="144"/>
    </row>
    <row r="54" spans="2:2" x14ac:dyDescent="0.25">
      <c r="B54" s="144"/>
    </row>
    <row r="55" spans="2:2" x14ac:dyDescent="0.25">
      <c r="B55" s="144"/>
    </row>
    <row r="56" spans="2:2" x14ac:dyDescent="0.25">
      <c r="B56" s="144"/>
    </row>
    <row r="57" spans="2:2" x14ac:dyDescent="0.25">
      <c r="B57" s="144"/>
    </row>
    <row r="58" spans="2:2" x14ac:dyDescent="0.25">
      <c r="B58" s="144"/>
    </row>
    <row r="59" spans="2:2" x14ac:dyDescent="0.25">
      <c r="B59" s="144"/>
    </row>
    <row r="60" spans="2:2" x14ac:dyDescent="0.25">
      <c r="B60" s="144"/>
    </row>
    <row r="61" spans="2:2" x14ac:dyDescent="0.25">
      <c r="B61" s="144"/>
    </row>
    <row r="62" spans="2:2" x14ac:dyDescent="0.25">
      <c r="B62" s="144"/>
    </row>
    <row r="63" spans="2:2" x14ac:dyDescent="0.25">
      <c r="B63" s="144"/>
    </row>
    <row r="64" spans="2:2" x14ac:dyDescent="0.25">
      <c r="B64" s="144"/>
    </row>
    <row r="65" spans="2:2" x14ac:dyDescent="0.25">
      <c r="B65" s="144"/>
    </row>
    <row r="66" spans="2:2" x14ac:dyDescent="0.25">
      <c r="B66" s="144"/>
    </row>
    <row r="67" spans="2:2" x14ac:dyDescent="0.25">
      <c r="B67" s="144"/>
    </row>
    <row r="68" spans="2:2" x14ac:dyDescent="0.25">
      <c r="B68" s="144"/>
    </row>
    <row r="69" spans="2:2" x14ac:dyDescent="0.25">
      <c r="B69" s="144"/>
    </row>
    <row r="70" spans="2:2" x14ac:dyDescent="0.25">
      <c r="B70" s="144"/>
    </row>
    <row r="71" spans="2:2" x14ac:dyDescent="0.25">
      <c r="B71" s="144"/>
    </row>
    <row r="72" spans="2:2" x14ac:dyDescent="0.25">
      <c r="B72" s="144"/>
    </row>
    <row r="73" spans="2:2" x14ac:dyDescent="0.25">
      <c r="B73" s="144"/>
    </row>
    <row r="74" spans="2:2" x14ac:dyDescent="0.25">
      <c r="B74" s="144"/>
    </row>
    <row r="75" spans="2:2" x14ac:dyDescent="0.25">
      <c r="B75" s="144"/>
    </row>
    <row r="76" spans="2:2" x14ac:dyDescent="0.25">
      <c r="B76" s="144"/>
    </row>
    <row r="77" spans="2:2" x14ac:dyDescent="0.25">
      <c r="B77" s="144"/>
    </row>
    <row r="78" spans="2:2" x14ac:dyDescent="0.25">
      <c r="B78" s="144"/>
    </row>
    <row r="79" spans="2:2" x14ac:dyDescent="0.25">
      <c r="B79" s="144"/>
    </row>
    <row r="80" spans="2:2" x14ac:dyDescent="0.25">
      <c r="B80" s="144"/>
    </row>
    <row r="81" spans="2:2" x14ac:dyDescent="0.25">
      <c r="B81" s="144"/>
    </row>
    <row r="82" spans="2:2" x14ac:dyDescent="0.25">
      <c r="B82" s="144"/>
    </row>
    <row r="83" spans="2:2" x14ac:dyDescent="0.25">
      <c r="B83" s="144"/>
    </row>
    <row r="84" spans="2:2" x14ac:dyDescent="0.25">
      <c r="B84" s="144"/>
    </row>
    <row r="85" spans="2:2" x14ac:dyDescent="0.25">
      <c r="B85" s="144"/>
    </row>
    <row r="86" spans="2:2" x14ac:dyDescent="0.25">
      <c r="B86" s="144"/>
    </row>
    <row r="87" spans="2:2" x14ac:dyDescent="0.25">
      <c r="B87" s="144"/>
    </row>
    <row r="88" spans="2:2" x14ac:dyDescent="0.25">
      <c r="B88" s="144"/>
    </row>
    <row r="89" spans="2:2" x14ac:dyDescent="0.25">
      <c r="B89" s="144"/>
    </row>
    <row r="90" spans="2:2" x14ac:dyDescent="0.25">
      <c r="B90" s="144"/>
    </row>
    <row r="91" spans="2:2" x14ac:dyDescent="0.25">
      <c r="B91" s="144"/>
    </row>
    <row r="92" spans="2:2" x14ac:dyDescent="0.25">
      <c r="B92" s="144"/>
    </row>
    <row r="93" spans="2:2" x14ac:dyDescent="0.25">
      <c r="B93" s="144"/>
    </row>
    <row r="94" spans="2:2" x14ac:dyDescent="0.25">
      <c r="B94" s="144"/>
    </row>
    <row r="95" spans="2:2" x14ac:dyDescent="0.25">
      <c r="B95" s="144"/>
    </row>
    <row r="96" spans="2:2" x14ac:dyDescent="0.25">
      <c r="B96" s="144"/>
    </row>
    <row r="97" spans="2:2" x14ac:dyDescent="0.25">
      <c r="B97" s="144"/>
    </row>
    <row r="98" spans="2:2" x14ac:dyDescent="0.25">
      <c r="B98" s="144"/>
    </row>
    <row r="99" spans="2:2" x14ac:dyDescent="0.25">
      <c r="B99" s="144"/>
    </row>
    <row r="100" spans="2:2" x14ac:dyDescent="0.25">
      <c r="B100" s="144"/>
    </row>
    <row r="101" spans="2:2" x14ac:dyDescent="0.25">
      <c r="B101" s="144"/>
    </row>
    <row r="102" spans="2:2" x14ac:dyDescent="0.25">
      <c r="B102" s="144"/>
    </row>
  </sheetData>
  <mergeCells count="1">
    <mergeCell ref="B28:C28"/>
  </mergeCells>
  <pageMargins left="0.7" right="0.7" top="0.75" bottom="0.75" header="0.3" footer="0.3"/>
  <pageSetup orientation="landscape" horizontalDpi="3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62B3-E239-41A8-BC7C-84795544B06E}">
  <sheetPr>
    <tabColor rgb="FFC00000"/>
  </sheetPr>
  <dimension ref="A1:AB101"/>
  <sheetViews>
    <sheetView workbookViewId="0">
      <selection activeCell="C14" sqref="C14"/>
    </sheetView>
  </sheetViews>
  <sheetFormatPr defaultColWidth="9.1796875" defaultRowHeight="12.5" x14ac:dyDescent="0.25"/>
  <cols>
    <col min="1" max="1" width="42.453125" style="54" bestFit="1" customWidth="1"/>
    <col min="2" max="2" width="11.26953125" style="149" customWidth="1"/>
    <col min="3" max="27" width="11.26953125" style="144" customWidth="1"/>
    <col min="28" max="28" width="15.54296875" style="54" bestFit="1" customWidth="1"/>
    <col min="29" max="16384" width="9.1796875" style="54"/>
  </cols>
  <sheetData>
    <row r="1" spans="1:27" x14ac:dyDescent="0.25">
      <c r="B1" s="144"/>
      <c r="C1" s="144" t="s">
        <v>293</v>
      </c>
      <c r="D1" s="144" t="s">
        <v>293</v>
      </c>
      <c r="E1" s="144" t="s">
        <v>293</v>
      </c>
      <c r="F1" s="144" t="s">
        <v>262</v>
      </c>
      <c r="G1" s="144" t="s">
        <v>262</v>
      </c>
      <c r="H1" s="144" t="s">
        <v>262</v>
      </c>
      <c r="I1" s="144" t="s">
        <v>262</v>
      </c>
      <c r="J1" s="144" t="s">
        <v>262</v>
      </c>
      <c r="K1" s="144" t="s">
        <v>262</v>
      </c>
      <c r="L1" s="144" t="s">
        <v>293</v>
      </c>
      <c r="M1" s="144" t="s">
        <v>262</v>
      </c>
      <c r="N1" s="144" t="s">
        <v>262</v>
      </c>
      <c r="O1" s="144" t="s">
        <v>262</v>
      </c>
      <c r="P1" s="144" t="s">
        <v>262</v>
      </c>
      <c r="Q1" s="144" t="s">
        <v>262</v>
      </c>
      <c r="R1" s="144" t="s">
        <v>262</v>
      </c>
      <c r="S1" s="144" t="s">
        <v>262</v>
      </c>
      <c r="T1" s="144" t="s">
        <v>262</v>
      </c>
      <c r="U1" s="144" t="s">
        <v>262</v>
      </c>
      <c r="V1" s="144" t="s">
        <v>293</v>
      </c>
      <c r="W1" s="144" t="s">
        <v>262</v>
      </c>
      <c r="X1" s="144" t="s">
        <v>262</v>
      </c>
      <c r="Y1" s="144" t="s">
        <v>262</v>
      </c>
      <c r="Z1" s="144" t="s">
        <v>262</v>
      </c>
      <c r="AA1" s="144" t="s">
        <v>262</v>
      </c>
    </row>
    <row r="2" spans="1:27" x14ac:dyDescent="0.25">
      <c r="B2" s="144"/>
    </row>
    <row r="3" spans="1:27" s="115" customFormat="1" ht="12" customHeight="1" x14ac:dyDescent="0.3">
      <c r="A3" s="114" t="s">
        <v>292</v>
      </c>
      <c r="B3" s="145">
        <v>2025</v>
      </c>
      <c r="C3" s="146">
        <v>2026</v>
      </c>
      <c r="D3" s="146">
        <v>2027</v>
      </c>
      <c r="E3" s="146">
        <v>2028</v>
      </c>
      <c r="F3" s="146">
        <v>2029</v>
      </c>
      <c r="G3" s="146">
        <v>2030</v>
      </c>
      <c r="H3" s="146">
        <v>2031</v>
      </c>
      <c r="I3" s="146">
        <v>2032</v>
      </c>
      <c r="J3" s="146">
        <v>2033</v>
      </c>
      <c r="K3" s="146">
        <v>2034</v>
      </c>
      <c r="L3" s="146">
        <v>2035</v>
      </c>
      <c r="M3" s="146">
        <v>2036</v>
      </c>
      <c r="N3" s="146">
        <v>2037</v>
      </c>
      <c r="O3" s="146">
        <v>2038</v>
      </c>
      <c r="P3" s="146">
        <v>2039</v>
      </c>
      <c r="Q3" s="146">
        <v>2040</v>
      </c>
      <c r="R3" s="146">
        <v>2041</v>
      </c>
      <c r="S3" s="146">
        <v>2042</v>
      </c>
      <c r="T3" s="146">
        <v>2043</v>
      </c>
      <c r="U3" s="146">
        <v>2044</v>
      </c>
      <c r="V3" s="146">
        <v>2045</v>
      </c>
      <c r="W3" s="146">
        <v>2046</v>
      </c>
      <c r="X3" s="146">
        <v>2047</v>
      </c>
      <c r="Y3" s="146">
        <v>2048</v>
      </c>
      <c r="Z3" s="146">
        <v>2049</v>
      </c>
      <c r="AA3" s="146">
        <v>2050</v>
      </c>
    </row>
    <row r="4" spans="1:27" s="108" customFormat="1" ht="13" x14ac:dyDescent="0.3">
      <c r="A4" s="107" t="s">
        <v>138</v>
      </c>
      <c r="B4" s="117"/>
      <c r="C4" s="118"/>
      <c r="D4" s="118"/>
      <c r="E4" s="118"/>
      <c r="F4" s="118"/>
      <c r="G4" s="118"/>
      <c r="H4" s="118"/>
      <c r="I4" s="118"/>
      <c r="J4" s="118"/>
      <c r="K4" s="118"/>
      <c r="L4" s="118"/>
      <c r="M4" s="118"/>
      <c r="N4" s="118"/>
      <c r="O4" s="118"/>
      <c r="P4" s="118"/>
      <c r="Q4" s="118"/>
      <c r="R4" s="118"/>
      <c r="S4" s="118"/>
      <c r="T4" s="118"/>
      <c r="U4" s="118"/>
      <c r="V4" s="118"/>
      <c r="W4" s="118"/>
      <c r="X4" s="118"/>
      <c r="Y4" s="118"/>
      <c r="Z4" s="118"/>
      <c r="AA4" s="118"/>
    </row>
    <row r="5" spans="1:27" s="108" customFormat="1" x14ac:dyDescent="0.25">
      <c r="A5" s="138" t="s">
        <v>280</v>
      </c>
      <c r="B5" s="117">
        <v>0</v>
      </c>
      <c r="C5" s="118">
        <f>('Space &amp; Elasticitiy'!K5+'Space &amp; Elasticitiy'!I12)*(1.005^(C$3-2024))</f>
        <v>2186962.1338857482</v>
      </c>
      <c r="D5" s="118">
        <f>('Space &amp; Elasticitiy'!K19+'Space &amp; Elasticitiy'!I12)*(1.005^(D$3-2024))</f>
        <v>2043276.0334688982</v>
      </c>
      <c r="E5" s="118">
        <f>$D5*(1.005^(E$3-2027))</f>
        <v>2053492.4136362425</v>
      </c>
      <c r="F5" s="118">
        <f t="shared" ref="F5:K5" si="0">$D5*(1.005^(F$3-2027))</f>
        <v>2063759.8757044233</v>
      </c>
      <c r="G5" s="118">
        <f t="shared" si="0"/>
        <v>2074078.6750829453</v>
      </c>
      <c r="H5" s="118">
        <f t="shared" si="0"/>
        <v>2084449.0684583595</v>
      </c>
      <c r="I5" s="118">
        <f t="shared" si="0"/>
        <v>2094871.3138006509</v>
      </c>
      <c r="J5" s="118">
        <f t="shared" si="0"/>
        <v>2105345.6703696535</v>
      </c>
      <c r="K5" s="118">
        <f t="shared" si="0"/>
        <v>2115872.3987215017</v>
      </c>
      <c r="L5" s="118">
        <f>$K5*(1-0.04*2/3)*(1+2/3)*(1.005^(L$3-2034))</f>
        <v>3449577.3007156211</v>
      </c>
      <c r="M5" s="118">
        <f t="shared" ref="M5:U5" si="1">$K5*(1-0.04*2/3)*(1+2/3)*(1.005^(M$3-2034))</f>
        <v>3466825.1872191988</v>
      </c>
      <c r="N5" s="118">
        <f t="shared" si="1"/>
        <v>3484159.3131552944</v>
      </c>
      <c r="O5" s="118">
        <f t="shared" si="1"/>
        <v>3501580.1097210697</v>
      </c>
      <c r="P5" s="118">
        <f t="shared" si="1"/>
        <v>3519088.0102696745</v>
      </c>
      <c r="Q5" s="118">
        <f t="shared" si="1"/>
        <v>3536683.4503210224</v>
      </c>
      <c r="R5" s="118">
        <f t="shared" si="1"/>
        <v>3554366.867572627</v>
      </c>
      <c r="S5" s="118">
        <f t="shared" si="1"/>
        <v>3572138.7019104897</v>
      </c>
      <c r="T5" s="118">
        <f t="shared" si="1"/>
        <v>3589999.3954200423</v>
      </c>
      <c r="U5" s="118">
        <f t="shared" si="1"/>
        <v>3607949.3923971415</v>
      </c>
      <c r="V5" s="118">
        <f>$U5*(1-0.04*2/5)*(1+2/5)*(1.005^(V$3-2044))</f>
        <v>4995162.6383811338</v>
      </c>
      <c r="W5" s="118">
        <f>$U5*(1-0.04*2/5)*(1+2/5)*(1.005^(W$3-2044))</f>
        <v>5020138.4515730385</v>
      </c>
      <c r="X5" s="118">
        <f t="shared" ref="X5:AA5" si="2">$U5*(1-0.04*2/5)*(1+2/5)*(1.005^(X$3-2044))</f>
        <v>5045239.1438309029</v>
      </c>
      <c r="Y5" s="118">
        <f t="shared" si="2"/>
        <v>5070465.3395500565</v>
      </c>
      <c r="Z5" s="118">
        <f>$U5*(1-0.04*2/5)*(1+2/5)*(1.005^(Z$3-2044))</f>
        <v>5095817.6662478056</v>
      </c>
      <c r="AA5" s="118">
        <f t="shared" si="2"/>
        <v>5121296.7545790439</v>
      </c>
    </row>
    <row r="6" spans="1:27" s="108" customFormat="1" x14ac:dyDescent="0.25">
      <c r="A6" s="138" t="s">
        <v>299</v>
      </c>
      <c r="B6" s="117">
        <v>0</v>
      </c>
      <c r="C6" s="118">
        <v>450000</v>
      </c>
      <c r="D6" s="118">
        <f>$C$6*(1.005^(D$3-2026))</f>
        <v>452249.99999999994</v>
      </c>
      <c r="E6" s="118">
        <f t="shared" ref="E6:AA6" si="3">$C$6*(1.005^(E$3-2026))</f>
        <v>454511.24999999988</v>
      </c>
      <c r="F6" s="118">
        <f t="shared" si="3"/>
        <v>456783.80624999985</v>
      </c>
      <c r="G6" s="118">
        <f t="shared" si="3"/>
        <v>459067.72528124973</v>
      </c>
      <c r="H6" s="118">
        <f t="shared" si="3"/>
        <v>461363.06390765589</v>
      </c>
      <c r="I6" s="118">
        <f t="shared" si="3"/>
        <v>463669.87922719406</v>
      </c>
      <c r="J6" s="118">
        <f t="shared" si="3"/>
        <v>465988.22862333001</v>
      </c>
      <c r="K6" s="118">
        <f t="shared" si="3"/>
        <v>468318.16976644658</v>
      </c>
      <c r="L6" s="118">
        <f t="shared" si="3"/>
        <v>470659.76061527879</v>
      </c>
      <c r="M6" s="118">
        <f t="shared" si="3"/>
        <v>473013.05941835511</v>
      </c>
      <c r="N6" s="118">
        <f t="shared" si="3"/>
        <v>475378.12471544684</v>
      </c>
      <c r="O6" s="118">
        <f t="shared" si="3"/>
        <v>477755.0153390239</v>
      </c>
      <c r="P6" s="118">
        <f t="shared" si="3"/>
        <v>480143.79041571904</v>
      </c>
      <c r="Q6" s="118">
        <f t="shared" si="3"/>
        <v>482544.50936779752</v>
      </c>
      <c r="R6" s="118">
        <f t="shared" si="3"/>
        <v>484957.23191463639</v>
      </c>
      <c r="S6" s="118">
        <f t="shared" si="3"/>
        <v>487382.01807420951</v>
      </c>
      <c r="T6" s="118">
        <f t="shared" si="3"/>
        <v>489818.92816458055</v>
      </c>
      <c r="U6" s="118">
        <f t="shared" si="3"/>
        <v>492268.02280540328</v>
      </c>
      <c r="V6" s="118">
        <f t="shared" si="3"/>
        <v>494729.36291943025</v>
      </c>
      <c r="W6" s="118">
        <f t="shared" si="3"/>
        <v>497203.00973402738</v>
      </c>
      <c r="X6" s="118">
        <f t="shared" si="3"/>
        <v>499689.02478269738</v>
      </c>
      <c r="Y6" s="118">
        <f t="shared" si="3"/>
        <v>502187.46990661079</v>
      </c>
      <c r="Z6" s="118">
        <f t="shared" si="3"/>
        <v>504698.40725614375</v>
      </c>
      <c r="AA6" s="118">
        <f t="shared" si="3"/>
        <v>507221.8992924245</v>
      </c>
    </row>
    <row r="7" spans="1:27" s="107" customFormat="1" ht="13" x14ac:dyDescent="0.3">
      <c r="A7" s="107" t="s">
        <v>281</v>
      </c>
      <c r="B7" s="140">
        <f>SUM(B5:B6)</f>
        <v>0</v>
      </c>
      <c r="C7" s="140">
        <f>SUM(C5:C6)</f>
        <v>2636962.1338857482</v>
      </c>
      <c r="D7" s="140">
        <f t="shared" ref="D7:AA7" si="4">SUM(D5:D6)</f>
        <v>2495526.0334688979</v>
      </c>
      <c r="E7" s="140">
        <f t="shared" si="4"/>
        <v>2508003.6636362425</v>
      </c>
      <c r="F7" s="140">
        <f t="shared" si="4"/>
        <v>2520543.681954423</v>
      </c>
      <c r="G7" s="140">
        <f t="shared" si="4"/>
        <v>2533146.400364195</v>
      </c>
      <c r="H7" s="140">
        <f t="shared" si="4"/>
        <v>2545812.1323660156</v>
      </c>
      <c r="I7" s="140">
        <f t="shared" si="4"/>
        <v>2558541.1930278451</v>
      </c>
      <c r="J7" s="140">
        <f t="shared" si="4"/>
        <v>2571333.8989929836</v>
      </c>
      <c r="K7" s="140">
        <f t="shared" si="4"/>
        <v>2584190.5684879483</v>
      </c>
      <c r="L7" s="140">
        <f t="shared" si="4"/>
        <v>3920237.0613309001</v>
      </c>
      <c r="M7" s="140">
        <f t="shared" si="4"/>
        <v>3939838.2466375539</v>
      </c>
      <c r="N7" s="140">
        <f t="shared" si="4"/>
        <v>3959537.4378707414</v>
      </c>
      <c r="O7" s="140">
        <f t="shared" si="4"/>
        <v>3979335.1250600936</v>
      </c>
      <c r="P7" s="140">
        <f t="shared" si="4"/>
        <v>3999231.8006853936</v>
      </c>
      <c r="Q7" s="140">
        <f t="shared" si="4"/>
        <v>4019227.9596888199</v>
      </c>
      <c r="R7" s="140">
        <f t="shared" si="4"/>
        <v>4039324.0994872632</v>
      </c>
      <c r="S7" s="140">
        <f t="shared" si="4"/>
        <v>4059520.719984699</v>
      </c>
      <c r="T7" s="140">
        <f t="shared" si="4"/>
        <v>4079818.3235846227</v>
      </c>
      <c r="U7" s="140">
        <f t="shared" si="4"/>
        <v>4100217.415202545</v>
      </c>
      <c r="V7" s="140">
        <f t="shared" si="4"/>
        <v>5489892.001300564</v>
      </c>
      <c r="W7" s="140">
        <f t="shared" si="4"/>
        <v>5517341.4613070656</v>
      </c>
      <c r="X7" s="140">
        <f t="shared" si="4"/>
        <v>5544928.1686136005</v>
      </c>
      <c r="Y7" s="140">
        <f t="shared" si="4"/>
        <v>5572652.8094566669</v>
      </c>
      <c r="Z7" s="140">
        <f t="shared" si="4"/>
        <v>5600516.0735039497</v>
      </c>
      <c r="AA7" s="140">
        <f t="shared" si="4"/>
        <v>5628518.6538714683</v>
      </c>
    </row>
    <row r="8" spans="1:27" x14ac:dyDescent="0.25">
      <c r="B8" s="119"/>
      <c r="C8" s="120"/>
      <c r="D8" s="120"/>
      <c r="E8" s="120"/>
      <c r="F8" s="120"/>
      <c r="G8" s="120"/>
      <c r="H8" s="120"/>
      <c r="I8" s="120"/>
      <c r="J8" s="120"/>
      <c r="K8" s="120"/>
      <c r="L8" s="120"/>
      <c r="M8" s="120"/>
      <c r="N8" s="120"/>
      <c r="O8" s="120"/>
      <c r="P8" s="120"/>
      <c r="Q8" s="120"/>
      <c r="R8" s="120"/>
      <c r="S8" s="120"/>
      <c r="T8" s="120"/>
      <c r="U8" s="120"/>
      <c r="V8" s="120"/>
      <c r="W8" s="120"/>
      <c r="X8" s="120"/>
      <c r="Y8" s="120"/>
      <c r="Z8" s="120"/>
      <c r="AA8" s="120"/>
    </row>
    <row r="9" spans="1:27" s="110" customFormat="1" ht="13" x14ac:dyDescent="0.3">
      <c r="A9" s="109" t="s">
        <v>181</v>
      </c>
      <c r="B9" s="121"/>
      <c r="C9" s="122"/>
      <c r="D9" s="122"/>
      <c r="E9" s="122"/>
      <c r="F9" s="122"/>
      <c r="G9" s="122"/>
      <c r="H9" s="122"/>
      <c r="I9" s="122"/>
      <c r="J9" s="122"/>
      <c r="K9" s="122"/>
      <c r="L9" s="122"/>
      <c r="M9" s="122"/>
      <c r="N9" s="122"/>
      <c r="O9" s="122"/>
      <c r="P9" s="122"/>
      <c r="Q9" s="122"/>
      <c r="R9" s="122"/>
      <c r="S9" s="122"/>
      <c r="T9" s="122"/>
      <c r="U9" s="122"/>
      <c r="V9" s="122"/>
      <c r="W9" s="122"/>
      <c r="X9" s="122"/>
      <c r="Y9" s="122"/>
      <c r="Z9" s="122"/>
      <c r="AA9" s="122"/>
    </row>
    <row r="10" spans="1:27" s="110" customFormat="1" x14ac:dyDescent="0.25">
      <c r="A10" s="111" t="s">
        <v>320</v>
      </c>
      <c r="B10" s="121">
        <f>56*10000</f>
        <v>560000</v>
      </c>
      <c r="C10" s="122">
        <v>0</v>
      </c>
      <c r="D10" s="122">
        <v>0</v>
      </c>
      <c r="E10" s="122">
        <v>0</v>
      </c>
      <c r="F10" s="122">
        <v>0</v>
      </c>
      <c r="G10" s="122">
        <v>0</v>
      </c>
      <c r="H10" s="122">
        <v>0</v>
      </c>
      <c r="I10" s="122">
        <v>0</v>
      </c>
      <c r="J10" s="122">
        <v>0</v>
      </c>
      <c r="K10" s="122">
        <v>0</v>
      </c>
      <c r="L10" s="122">
        <f>$B10*(1.03^(L$3-$B$3))</f>
        <v>752593.1724327082</v>
      </c>
      <c r="M10" s="122">
        <v>0</v>
      </c>
      <c r="N10" s="122">
        <v>0</v>
      </c>
      <c r="O10" s="122">
        <v>0</v>
      </c>
      <c r="P10" s="122">
        <v>0</v>
      </c>
      <c r="Q10" s="122">
        <v>0</v>
      </c>
      <c r="R10" s="122">
        <v>0</v>
      </c>
      <c r="S10" s="122">
        <v>0</v>
      </c>
      <c r="T10" s="122">
        <v>0</v>
      </c>
      <c r="U10" s="122">
        <v>0</v>
      </c>
      <c r="V10" s="122">
        <f>$B10*(1.03^(V$3-$B$3))</f>
        <v>1011422.2914148715</v>
      </c>
      <c r="W10" s="122">
        <v>0</v>
      </c>
      <c r="X10" s="122">
        <v>0</v>
      </c>
      <c r="Y10" s="122">
        <v>0</v>
      </c>
      <c r="Z10" s="122">
        <v>0</v>
      </c>
      <c r="AA10" s="122">
        <v>0</v>
      </c>
    </row>
    <row r="11" spans="1:27" s="110" customFormat="1" x14ac:dyDescent="0.25">
      <c r="A11" s="111" t="s">
        <v>155</v>
      </c>
      <c r="B11" s="121">
        <f>176*1000</f>
        <v>176000</v>
      </c>
      <c r="C11" s="122">
        <v>0</v>
      </c>
      <c r="D11" s="122">
        <v>0</v>
      </c>
      <c r="E11" s="122">
        <v>0</v>
      </c>
      <c r="F11" s="122">
        <v>0</v>
      </c>
      <c r="G11" s="122">
        <v>0</v>
      </c>
      <c r="H11" s="122">
        <v>0</v>
      </c>
      <c r="I11" s="122">
        <v>0</v>
      </c>
      <c r="J11" s="122">
        <v>0</v>
      </c>
      <c r="K11" s="122">
        <v>0</v>
      </c>
      <c r="L11" s="122">
        <f t="shared" ref="L11:L12" si="5">$B11*(1.03^(L$3-$B$3))</f>
        <v>236529.28276456543</v>
      </c>
      <c r="M11" s="122">
        <v>0</v>
      </c>
      <c r="N11" s="122">
        <v>0</v>
      </c>
      <c r="O11" s="122">
        <v>0</v>
      </c>
      <c r="P11" s="122">
        <v>0</v>
      </c>
      <c r="Q11" s="122">
        <v>0</v>
      </c>
      <c r="R11" s="122">
        <v>0</v>
      </c>
      <c r="S11" s="122">
        <v>0</v>
      </c>
      <c r="T11" s="122">
        <v>0</v>
      </c>
      <c r="U11" s="122">
        <v>0</v>
      </c>
      <c r="V11" s="122">
        <f t="shared" ref="V11:V12" si="6">$B11*(1.03^(V$3-$B$3))</f>
        <v>317875.57730181672</v>
      </c>
      <c r="W11" s="122">
        <v>0</v>
      </c>
      <c r="X11" s="122">
        <v>0</v>
      </c>
      <c r="Y11" s="122">
        <v>0</v>
      </c>
      <c r="Z11" s="122">
        <v>0</v>
      </c>
      <c r="AA11" s="122">
        <v>0</v>
      </c>
    </row>
    <row r="12" spans="1:27" s="110" customFormat="1" x14ac:dyDescent="0.25">
      <c r="A12" s="111" t="s">
        <v>154</v>
      </c>
      <c r="B12" s="121">
        <f>56*2000</f>
        <v>112000</v>
      </c>
      <c r="C12" s="122">
        <v>0</v>
      </c>
      <c r="D12" s="122">
        <v>0</v>
      </c>
      <c r="E12" s="122">
        <v>0</v>
      </c>
      <c r="F12" s="122">
        <v>0</v>
      </c>
      <c r="G12" s="122">
        <v>0</v>
      </c>
      <c r="H12" s="122">
        <v>0</v>
      </c>
      <c r="I12" s="122">
        <v>0</v>
      </c>
      <c r="J12" s="122">
        <v>0</v>
      </c>
      <c r="K12" s="122">
        <v>0</v>
      </c>
      <c r="L12" s="122">
        <f t="shared" si="5"/>
        <v>150518.63448654165</v>
      </c>
      <c r="M12" s="122">
        <v>0</v>
      </c>
      <c r="N12" s="122">
        <v>0</v>
      </c>
      <c r="O12" s="122">
        <v>0</v>
      </c>
      <c r="P12" s="122">
        <v>0</v>
      </c>
      <c r="Q12" s="122">
        <v>0</v>
      </c>
      <c r="R12" s="122">
        <v>0</v>
      </c>
      <c r="S12" s="122">
        <v>0</v>
      </c>
      <c r="T12" s="122">
        <v>0</v>
      </c>
      <c r="U12" s="122">
        <v>0</v>
      </c>
      <c r="V12" s="122">
        <f t="shared" si="6"/>
        <v>202284.45828297429</v>
      </c>
      <c r="W12" s="122">
        <v>0</v>
      </c>
      <c r="X12" s="122">
        <v>0</v>
      </c>
      <c r="Y12" s="122">
        <v>0</v>
      </c>
      <c r="Z12" s="122">
        <v>0</v>
      </c>
      <c r="AA12" s="122">
        <v>0</v>
      </c>
    </row>
    <row r="13" spans="1:27" s="110" customFormat="1" x14ac:dyDescent="0.25">
      <c r="A13" s="111" t="s">
        <v>279</v>
      </c>
      <c r="B13" s="121">
        <v>0</v>
      </c>
      <c r="C13" s="122">
        <v>750000</v>
      </c>
      <c r="D13" s="122">
        <f>$C13*(1.03^(D$3-$C$3))</f>
        <v>772500</v>
      </c>
      <c r="E13" s="122">
        <f t="shared" ref="E13:AA16" si="7">$C13*(1.03^(E$3-$C$3))</f>
        <v>795675</v>
      </c>
      <c r="F13" s="122">
        <f t="shared" si="7"/>
        <v>819545.25</v>
      </c>
      <c r="G13" s="122">
        <f t="shared" si="7"/>
        <v>844131.60749999993</v>
      </c>
      <c r="H13" s="122">
        <f t="shared" si="7"/>
        <v>869455.55572499987</v>
      </c>
      <c r="I13" s="122">
        <f t="shared" si="7"/>
        <v>895539.22239674989</v>
      </c>
      <c r="J13" s="122">
        <f t="shared" si="7"/>
        <v>922405.39906865254</v>
      </c>
      <c r="K13" s="122">
        <f t="shared" si="7"/>
        <v>950077.56104071194</v>
      </c>
      <c r="L13" s="122">
        <f t="shared" si="7"/>
        <v>978579.88787193329</v>
      </c>
      <c r="M13" s="122">
        <f t="shared" si="7"/>
        <v>1007937.2845080913</v>
      </c>
      <c r="N13" s="122">
        <f t="shared" si="7"/>
        <v>1038175.4030433341</v>
      </c>
      <c r="O13" s="122">
        <f t="shared" si="7"/>
        <v>1069320.6651346339</v>
      </c>
      <c r="P13" s="122">
        <f t="shared" si="7"/>
        <v>1101400.285088673</v>
      </c>
      <c r="Q13" s="122">
        <f t="shared" si="7"/>
        <v>1134442.2936413332</v>
      </c>
      <c r="R13" s="122">
        <f t="shared" si="7"/>
        <v>1168475.5624505733</v>
      </c>
      <c r="S13" s="122">
        <f t="shared" si="7"/>
        <v>1203529.8293240904</v>
      </c>
      <c r="T13" s="122">
        <f t="shared" si="7"/>
        <v>1239635.7242038131</v>
      </c>
      <c r="U13" s="122">
        <f t="shared" si="7"/>
        <v>1276824.7959299274</v>
      </c>
      <c r="V13" s="122">
        <f t="shared" si="7"/>
        <v>1315129.5398078251</v>
      </c>
      <c r="W13" s="122">
        <f t="shared" si="7"/>
        <v>1354583.4260020598</v>
      </c>
      <c r="X13" s="122">
        <f t="shared" si="7"/>
        <v>1395220.9287821215</v>
      </c>
      <c r="Y13" s="122">
        <f t="shared" si="7"/>
        <v>1437077.5566455855</v>
      </c>
      <c r="Z13" s="122">
        <f t="shared" si="7"/>
        <v>1480189.8833449529</v>
      </c>
      <c r="AA13" s="122">
        <f t="shared" si="7"/>
        <v>1524595.5798453013</v>
      </c>
    </row>
    <row r="14" spans="1:27" s="110" customFormat="1" x14ac:dyDescent="0.25">
      <c r="A14" s="111" t="s">
        <v>282</v>
      </c>
      <c r="B14" s="121">
        <v>0</v>
      </c>
      <c r="C14" s="122">
        <v>76000</v>
      </c>
      <c r="D14" s="122">
        <f>$C14*(1.03^(D$3-$C$3))</f>
        <v>78280</v>
      </c>
      <c r="E14" s="122">
        <f t="shared" si="7"/>
        <v>80628.399999999994</v>
      </c>
      <c r="F14" s="122">
        <f t="shared" si="7"/>
        <v>83047.251999999993</v>
      </c>
      <c r="G14" s="122">
        <f t="shared" si="7"/>
        <v>85538.669559999995</v>
      </c>
      <c r="H14" s="122">
        <f t="shared" si="7"/>
        <v>88104.82964679999</v>
      </c>
      <c r="I14" s="122">
        <f t="shared" si="7"/>
        <v>90747.974536203998</v>
      </c>
      <c r="J14" s="122">
        <f t="shared" si="7"/>
        <v>93470.413772290121</v>
      </c>
      <c r="K14" s="122">
        <f t="shared" si="7"/>
        <v>96274.526185458817</v>
      </c>
      <c r="L14" s="122">
        <f t="shared" si="7"/>
        <v>99162.761971022584</v>
      </c>
      <c r="M14" s="122">
        <f t="shared" si="7"/>
        <v>102137.64483015325</v>
      </c>
      <c r="N14" s="122">
        <f>$C14*(1.03^(N$3-$C$3))</f>
        <v>105201.77417505786</v>
      </c>
      <c r="O14" s="122">
        <f t="shared" si="7"/>
        <v>108357.82740030957</v>
      </c>
      <c r="P14" s="122">
        <f t="shared" si="7"/>
        <v>111608.56222231885</v>
      </c>
      <c r="Q14" s="122">
        <f t="shared" si="7"/>
        <v>114956.81908898844</v>
      </c>
      <c r="R14" s="122">
        <f t="shared" si="7"/>
        <v>118405.5236616581</v>
      </c>
      <c r="S14" s="122">
        <f t="shared" si="7"/>
        <v>121957.68937150782</v>
      </c>
      <c r="T14" s="122">
        <f t="shared" si="7"/>
        <v>125616.42005265305</v>
      </c>
      <c r="U14" s="122">
        <f t="shared" si="7"/>
        <v>129384.91265423264</v>
      </c>
      <c r="V14" s="122">
        <f t="shared" si="7"/>
        <v>133266.46003385962</v>
      </c>
      <c r="W14" s="122">
        <f t="shared" si="7"/>
        <v>137264.4538348754</v>
      </c>
      <c r="X14" s="122">
        <f t="shared" si="7"/>
        <v>141382.38744992166</v>
      </c>
      <c r="Y14" s="122">
        <f t="shared" si="7"/>
        <v>145623.85907341933</v>
      </c>
      <c r="Z14" s="122">
        <f t="shared" si="7"/>
        <v>149992.57484562192</v>
      </c>
      <c r="AA14" s="122">
        <f t="shared" si="7"/>
        <v>154492.35209099055</v>
      </c>
    </row>
    <row r="15" spans="1:27" s="110" customFormat="1" x14ac:dyDescent="0.25">
      <c r="A15" s="111" t="s">
        <v>327</v>
      </c>
      <c r="B15" s="121">
        <v>0</v>
      </c>
      <c r="C15" s="122">
        <f>C7*0.03*0.9</f>
        <v>71197.977614915202</v>
      </c>
      <c r="D15" s="122">
        <f t="shared" ref="D15:AA15" si="8">D7*0.03*0.9</f>
        <v>67379.202903660233</v>
      </c>
      <c r="E15" s="122">
        <f t="shared" si="8"/>
        <v>67716.098918178555</v>
      </c>
      <c r="F15" s="122">
        <f t="shared" si="8"/>
        <v>68054.679412769416</v>
      </c>
      <c r="G15" s="122">
        <f t="shared" si="8"/>
        <v>68394.952809833267</v>
      </c>
      <c r="H15" s="122">
        <f t="shared" si="8"/>
        <v>68736.927573882422</v>
      </c>
      <c r="I15" s="122">
        <f t="shared" si="8"/>
        <v>69080.61221175181</v>
      </c>
      <c r="J15" s="122">
        <f t="shared" si="8"/>
        <v>69426.01527281056</v>
      </c>
      <c r="K15" s="122">
        <f t="shared" si="8"/>
        <v>69773.145349174607</v>
      </c>
      <c r="L15" s="122">
        <f t="shared" si="8"/>
        <v>105846.4006559343</v>
      </c>
      <c r="M15" s="122">
        <f t="shared" si="8"/>
        <v>106375.63265921395</v>
      </c>
      <c r="N15" s="122">
        <f t="shared" si="8"/>
        <v>106907.51082251001</v>
      </c>
      <c r="O15" s="122">
        <f t="shared" si="8"/>
        <v>107442.04837662252</v>
      </c>
      <c r="P15" s="122">
        <f t="shared" si="8"/>
        <v>107979.25861850563</v>
      </c>
      <c r="Q15" s="122">
        <f t="shared" si="8"/>
        <v>108519.15491159813</v>
      </c>
      <c r="R15" s="122">
        <f t="shared" si="8"/>
        <v>109061.75068615611</v>
      </c>
      <c r="S15" s="122">
        <f t="shared" si="8"/>
        <v>109607.05943958688</v>
      </c>
      <c r="T15" s="122">
        <f t="shared" si="8"/>
        <v>110155.09473678481</v>
      </c>
      <c r="U15" s="122">
        <f t="shared" si="8"/>
        <v>110705.87021046871</v>
      </c>
      <c r="V15" s="122">
        <f t="shared" si="8"/>
        <v>148227.08403511523</v>
      </c>
      <c r="W15" s="122">
        <f t="shared" si="8"/>
        <v>148968.21945529076</v>
      </c>
      <c r="X15" s="122">
        <f t="shared" si="8"/>
        <v>149713.06055256721</v>
      </c>
      <c r="Y15" s="122">
        <f t="shared" si="8"/>
        <v>150461.62585533</v>
      </c>
      <c r="Z15" s="122">
        <f t="shared" si="8"/>
        <v>151213.93398460664</v>
      </c>
      <c r="AA15" s="122">
        <f t="shared" si="8"/>
        <v>151970.00365452966</v>
      </c>
    </row>
    <row r="16" spans="1:27" s="106" customFormat="1" x14ac:dyDescent="0.25">
      <c r="A16" s="112" t="s">
        <v>189</v>
      </c>
      <c r="B16" s="121">
        <v>0</v>
      </c>
      <c r="C16" s="122">
        <v>250000</v>
      </c>
      <c r="D16" s="122">
        <f>$C16*(1.03^(D$3-$C$3))</f>
        <v>257500</v>
      </c>
      <c r="E16" s="122">
        <f t="shared" si="7"/>
        <v>265225</v>
      </c>
      <c r="F16" s="122">
        <f t="shared" si="7"/>
        <v>273181.75</v>
      </c>
      <c r="G16" s="122">
        <f t="shared" si="7"/>
        <v>281377.20249999996</v>
      </c>
      <c r="H16" s="122">
        <f t="shared" si="7"/>
        <v>289818.51857499994</v>
      </c>
      <c r="I16" s="122">
        <f t="shared" si="7"/>
        <v>298513.07413224998</v>
      </c>
      <c r="J16" s="122">
        <f t="shared" si="7"/>
        <v>307468.46635621751</v>
      </c>
      <c r="K16" s="122">
        <f t="shared" si="7"/>
        <v>316692.520346904</v>
      </c>
      <c r="L16" s="122">
        <f t="shared" si="7"/>
        <v>326193.29595731111</v>
      </c>
      <c r="M16" s="122">
        <f t="shared" si="7"/>
        <v>335979.09483603045</v>
      </c>
      <c r="N16" s="122">
        <f t="shared" si="7"/>
        <v>346058.46768111136</v>
      </c>
      <c r="O16" s="122">
        <f t="shared" si="7"/>
        <v>356440.22171154467</v>
      </c>
      <c r="P16" s="122">
        <f t="shared" si="7"/>
        <v>367133.42836289096</v>
      </c>
      <c r="Q16" s="122">
        <f t="shared" si="7"/>
        <v>378147.43121377775</v>
      </c>
      <c r="R16" s="122">
        <f t="shared" si="7"/>
        <v>389491.85415019112</v>
      </c>
      <c r="S16" s="122">
        <f t="shared" si="7"/>
        <v>401176.60977469676</v>
      </c>
      <c r="T16" s="122">
        <f t="shared" si="7"/>
        <v>413211.90806793765</v>
      </c>
      <c r="U16" s="122">
        <f t="shared" si="7"/>
        <v>425608.26530997583</v>
      </c>
      <c r="V16" s="122">
        <f t="shared" si="7"/>
        <v>438376.51326927508</v>
      </c>
      <c r="W16" s="122">
        <f t="shared" si="7"/>
        <v>451527.8086673533</v>
      </c>
      <c r="X16" s="122">
        <f t="shared" si="7"/>
        <v>465073.64292737388</v>
      </c>
      <c r="Y16" s="122">
        <f t="shared" si="7"/>
        <v>479025.85221519513</v>
      </c>
      <c r="Z16" s="122">
        <f t="shared" si="7"/>
        <v>493396.62778165098</v>
      </c>
      <c r="AA16" s="122">
        <f t="shared" si="7"/>
        <v>508198.52661510045</v>
      </c>
    </row>
    <row r="17" spans="1:28" s="110" customFormat="1" ht="13" x14ac:dyDescent="0.3">
      <c r="A17" s="109" t="s">
        <v>257</v>
      </c>
      <c r="B17" s="123">
        <f t="shared" ref="B17:AA17" si="9">SUM(B10:B16)</f>
        <v>848000</v>
      </c>
      <c r="C17" s="124">
        <f t="shared" si="9"/>
        <v>1147197.9776149152</v>
      </c>
      <c r="D17" s="124">
        <f t="shared" si="9"/>
        <v>1175659.2029036602</v>
      </c>
      <c r="E17" s="124">
        <f t="shared" si="9"/>
        <v>1209244.4989181785</v>
      </c>
      <c r="F17" s="124">
        <f t="shared" si="9"/>
        <v>1243828.9314127695</v>
      </c>
      <c r="G17" s="124">
        <f t="shared" si="9"/>
        <v>1279442.4323698331</v>
      </c>
      <c r="H17" s="124">
        <f t="shared" si="9"/>
        <v>1316115.8315206822</v>
      </c>
      <c r="I17" s="124">
        <f t="shared" si="9"/>
        <v>1353880.8832769557</v>
      </c>
      <c r="J17" s="124">
        <f t="shared" si="9"/>
        <v>1392770.2944699707</v>
      </c>
      <c r="K17" s="124">
        <f t="shared" si="9"/>
        <v>1432817.7529222493</v>
      </c>
      <c r="L17" s="124">
        <f t="shared" si="9"/>
        <v>2649423.4361400162</v>
      </c>
      <c r="M17" s="124">
        <f t="shared" si="9"/>
        <v>1552429.6568334887</v>
      </c>
      <c r="N17" s="124">
        <f t="shared" si="9"/>
        <v>1596343.1557220134</v>
      </c>
      <c r="O17" s="124">
        <f t="shared" si="9"/>
        <v>1641560.7626231108</v>
      </c>
      <c r="P17" s="124">
        <f t="shared" si="9"/>
        <v>1688121.5342923887</v>
      </c>
      <c r="Q17" s="124">
        <f t="shared" si="9"/>
        <v>1736065.6988556976</v>
      </c>
      <c r="R17" s="124">
        <f t="shared" si="9"/>
        <v>1785434.6909485788</v>
      </c>
      <c r="S17" s="124">
        <f t="shared" si="9"/>
        <v>1836271.1879098821</v>
      </c>
      <c r="T17" s="124">
        <f t="shared" si="9"/>
        <v>1888619.1470611885</v>
      </c>
      <c r="U17" s="124">
        <f t="shared" si="9"/>
        <v>1942523.8441046048</v>
      </c>
      <c r="V17" s="124">
        <f t="shared" si="9"/>
        <v>3566581.9241457377</v>
      </c>
      <c r="W17" s="124">
        <f t="shared" si="9"/>
        <v>2092343.9079595795</v>
      </c>
      <c r="X17" s="124">
        <f t="shared" si="9"/>
        <v>2151390.0197119843</v>
      </c>
      <c r="Y17" s="124">
        <f t="shared" si="9"/>
        <v>2212188.8937895298</v>
      </c>
      <c r="Z17" s="124">
        <f t="shared" si="9"/>
        <v>2274793.0199568323</v>
      </c>
      <c r="AA17" s="124">
        <f t="shared" si="9"/>
        <v>2339256.4622059222</v>
      </c>
    </row>
    <row r="18" spans="1:28" x14ac:dyDescent="0.25">
      <c r="B18" s="119"/>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row>
    <row r="19" spans="1:28" s="113" customFormat="1" ht="13" x14ac:dyDescent="0.3">
      <c r="A19" s="113" t="s">
        <v>182</v>
      </c>
      <c r="B19" s="125">
        <f t="shared" ref="B19:AA19" si="10">B7-B17</f>
        <v>-848000</v>
      </c>
      <c r="C19" s="126">
        <f t="shared" si="10"/>
        <v>1489764.156270833</v>
      </c>
      <c r="D19" s="126">
        <f t="shared" si="10"/>
        <v>1319866.8305652377</v>
      </c>
      <c r="E19" s="126">
        <f t="shared" si="10"/>
        <v>1298759.164718064</v>
      </c>
      <c r="F19" s="126">
        <f t="shared" si="10"/>
        <v>1276714.7505416535</v>
      </c>
      <c r="G19" s="126">
        <f t="shared" si="10"/>
        <v>1253703.9679943619</v>
      </c>
      <c r="H19" s="126">
        <f t="shared" si="10"/>
        <v>1229696.3008453334</v>
      </c>
      <c r="I19" s="126">
        <f t="shared" si="10"/>
        <v>1204660.3097508894</v>
      </c>
      <c r="J19" s="126">
        <f t="shared" si="10"/>
        <v>1178563.6045230129</v>
      </c>
      <c r="K19" s="126">
        <f t="shared" si="10"/>
        <v>1151372.815565699</v>
      </c>
      <c r="L19" s="126">
        <f t="shared" si="10"/>
        <v>1270813.6251908839</v>
      </c>
      <c r="M19" s="126">
        <f t="shared" si="10"/>
        <v>2387408.5898040654</v>
      </c>
      <c r="N19" s="126">
        <f t="shared" si="10"/>
        <v>2363194.2821487281</v>
      </c>
      <c r="O19" s="126">
        <f t="shared" si="10"/>
        <v>2337774.3624369828</v>
      </c>
      <c r="P19" s="126">
        <f t="shared" si="10"/>
        <v>2311110.2663930049</v>
      </c>
      <c r="Q19" s="126">
        <f t="shared" si="10"/>
        <v>2283162.2608331223</v>
      </c>
      <c r="R19" s="126">
        <f t="shared" si="10"/>
        <v>2253889.4085386842</v>
      </c>
      <c r="S19" s="126">
        <f t="shared" si="10"/>
        <v>2223249.532074817</v>
      </c>
      <c r="T19" s="126">
        <f t="shared" si="10"/>
        <v>2191199.176523434</v>
      </c>
      <c r="U19" s="126">
        <f t="shared" si="10"/>
        <v>2157693.5710979402</v>
      </c>
      <c r="V19" s="126">
        <f t="shared" si="10"/>
        <v>1923310.0771548264</v>
      </c>
      <c r="W19" s="126">
        <f t="shared" si="10"/>
        <v>3424997.5533474861</v>
      </c>
      <c r="X19" s="126">
        <f t="shared" si="10"/>
        <v>3393538.1489016162</v>
      </c>
      <c r="Y19" s="126">
        <f t="shared" si="10"/>
        <v>3360463.9156671371</v>
      </c>
      <c r="Z19" s="126">
        <f t="shared" si="10"/>
        <v>3325723.0535471174</v>
      </c>
      <c r="AA19" s="126">
        <f t="shared" si="10"/>
        <v>3289262.191665546</v>
      </c>
      <c r="AB19" s="116"/>
    </row>
    <row r="20" spans="1:28" x14ac:dyDescent="0.25">
      <c r="B20" s="144"/>
    </row>
    <row r="21" spans="1:28" x14ac:dyDescent="0.25">
      <c r="B21" s="144"/>
      <c r="C21" s="147"/>
    </row>
    <row r="22" spans="1:28" x14ac:dyDescent="0.25">
      <c r="A22" s="54" t="s">
        <v>294</v>
      </c>
      <c r="B22" s="148">
        <v>2025</v>
      </c>
      <c r="C22" s="148">
        <v>2026</v>
      </c>
      <c r="D22" s="148">
        <v>2027</v>
      </c>
      <c r="E22" s="148">
        <v>2028</v>
      </c>
      <c r="F22" s="148">
        <v>2029</v>
      </c>
      <c r="G22" s="148">
        <v>2030</v>
      </c>
      <c r="H22" s="148">
        <v>2031</v>
      </c>
      <c r="I22" s="148">
        <v>2032</v>
      </c>
      <c r="J22" s="148">
        <v>2033</v>
      </c>
      <c r="K22" s="148">
        <v>2034</v>
      </c>
      <c r="L22" s="148">
        <v>2035</v>
      </c>
      <c r="M22" s="148">
        <v>2036</v>
      </c>
      <c r="N22" s="148">
        <v>2037</v>
      </c>
      <c r="O22" s="148">
        <v>2038</v>
      </c>
      <c r="P22" s="148">
        <v>2039</v>
      </c>
      <c r="Q22" s="148">
        <v>2040</v>
      </c>
      <c r="R22" s="148">
        <v>2041</v>
      </c>
      <c r="S22" s="148">
        <v>2042</v>
      </c>
      <c r="T22" s="148">
        <v>2043</v>
      </c>
      <c r="U22" s="148">
        <v>2044</v>
      </c>
      <c r="V22" s="148">
        <v>2045</v>
      </c>
      <c r="W22" s="148">
        <v>2046</v>
      </c>
      <c r="X22" s="148">
        <v>2047</v>
      </c>
      <c r="Y22" s="148">
        <v>2048</v>
      </c>
      <c r="Z22" s="148">
        <v>2049</v>
      </c>
      <c r="AA22" s="148">
        <v>2050</v>
      </c>
    </row>
    <row r="23" spans="1:28" x14ac:dyDescent="0.25">
      <c r="A23" s="54" t="s">
        <v>138</v>
      </c>
      <c r="B23" s="120">
        <f>B7/(1.03^(B$22-2025))</f>
        <v>0</v>
      </c>
      <c r="C23" s="150">
        <f t="shared" ref="C23:AA23" si="11">C7/(1.03^(C22-2025))</f>
        <v>2560157.4115395611</v>
      </c>
      <c r="D23" s="120">
        <f t="shared" si="11"/>
        <v>2352272.6302845678</v>
      </c>
      <c r="E23" s="120">
        <f t="shared" si="11"/>
        <v>2295178.6344038746</v>
      </c>
      <c r="F23" s="120">
        <f t="shared" si="11"/>
        <v>2239470.4151222263</v>
      </c>
      <c r="G23" s="120">
        <f t="shared" si="11"/>
        <v>2185114.3370852792</v>
      </c>
      <c r="H23" s="120">
        <f t="shared" si="11"/>
        <v>2132077.5813307818</v>
      </c>
      <c r="I23" s="120">
        <f t="shared" si="11"/>
        <v>2080328.1254732381</v>
      </c>
      <c r="J23" s="120">
        <f t="shared" si="11"/>
        <v>2029834.7243695182</v>
      </c>
      <c r="K23" s="120">
        <f t="shared" si="11"/>
        <v>1980566.8912537531</v>
      </c>
      <c r="L23" s="120">
        <f t="shared" si="11"/>
        <v>2917024.5422889427</v>
      </c>
      <c r="M23" s="120">
        <f t="shared" si="11"/>
        <v>2846222.9757285309</v>
      </c>
      <c r="N23" s="120">
        <f t="shared" si="11"/>
        <v>2777139.8937933724</v>
      </c>
      <c r="O23" s="120">
        <f t="shared" si="11"/>
        <v>2709733.5856915908</v>
      </c>
      <c r="P23" s="120">
        <f t="shared" si="11"/>
        <v>2643963.3530291729</v>
      </c>
      <c r="Q23" s="120">
        <f t="shared" si="11"/>
        <v>2579789.4852372021</v>
      </c>
      <c r="R23" s="120">
        <f t="shared" si="11"/>
        <v>2517173.2355955224</v>
      </c>
      <c r="S23" s="120">
        <f t="shared" si="11"/>
        <v>2456076.7978383494</v>
      </c>
      <c r="T23" s="120">
        <f t="shared" si="11"/>
        <v>2396463.2833277099</v>
      </c>
      <c r="U23" s="120">
        <f t="shared" si="11"/>
        <v>2338296.6987809204</v>
      </c>
      <c r="V23" s="120">
        <f t="shared" si="11"/>
        <v>3039620.0942216176</v>
      </c>
      <c r="W23" s="120">
        <f t="shared" si="11"/>
        <v>2965842.9074686654</v>
      </c>
      <c r="X23" s="120">
        <f t="shared" si="11"/>
        <v>2893856.4291320466</v>
      </c>
      <c r="Y23" s="120">
        <f t="shared" si="11"/>
        <v>2823617.1954152486</v>
      </c>
      <c r="Z23" s="120">
        <f t="shared" si="11"/>
        <v>2755082.7974682767</v>
      </c>
      <c r="AA23" s="120">
        <f t="shared" si="11"/>
        <v>2688211.8557821531</v>
      </c>
    </row>
    <row r="24" spans="1:28" x14ac:dyDescent="0.25">
      <c r="A24" s="143" t="s">
        <v>181</v>
      </c>
      <c r="B24" s="120">
        <f>B17/(1.03^(B$22-2025))</f>
        <v>848000</v>
      </c>
      <c r="C24" s="120">
        <f t="shared" ref="C24:AA24" si="12">C17/(1.03^(C$22-2025))</f>
        <v>1113784.4442863255</v>
      </c>
      <c r="D24" s="120">
        <f t="shared" si="12"/>
        <v>1108171.5551924407</v>
      </c>
      <c r="E24" s="120">
        <f t="shared" si="12"/>
        <v>1106630.0173036619</v>
      </c>
      <c r="F24" s="120">
        <f t="shared" si="12"/>
        <v>1105125.8953830574</v>
      </c>
      <c r="G24" s="120">
        <f t="shared" si="12"/>
        <v>1103658.2812760598</v>
      </c>
      <c r="H24" s="120">
        <f t="shared" si="12"/>
        <v>1102226.2888706883</v>
      </c>
      <c r="I24" s="120">
        <f t="shared" si="12"/>
        <v>1100829.0535625345</v>
      </c>
      <c r="J24" s="120">
        <f t="shared" si="12"/>
        <v>1099465.7317327345</v>
      </c>
      <c r="K24" s="120">
        <f t="shared" si="12"/>
        <v>1098135.5002386086</v>
      </c>
      <c r="L24" s="120">
        <f t="shared" si="12"/>
        <v>1971419.8568165584</v>
      </c>
      <c r="M24" s="120">
        <f t="shared" si="12"/>
        <v>1121508.2145194274</v>
      </c>
      <c r="N24" s="120">
        <f t="shared" si="12"/>
        <v>1119642.9713071785</v>
      </c>
      <c r="O24" s="120">
        <f t="shared" si="12"/>
        <v>1117823.0009884303</v>
      </c>
      <c r="P24" s="120">
        <f t="shared" si="12"/>
        <v>1116047.204706545</v>
      </c>
      <c r="Q24" s="120">
        <f t="shared" si="12"/>
        <v>1114314.5102761618</v>
      </c>
      <c r="R24" s="120">
        <f t="shared" si="12"/>
        <v>1112623.8715358367</v>
      </c>
      <c r="S24" s="120">
        <f t="shared" si="12"/>
        <v>1110974.2677163929</v>
      </c>
      <c r="T24" s="120">
        <f t="shared" si="12"/>
        <v>1109364.7028246054</v>
      </c>
      <c r="U24" s="120">
        <f t="shared" si="12"/>
        <v>1107794.2050418423</v>
      </c>
      <c r="V24" s="120">
        <f t="shared" si="12"/>
        <v>1974729.936718741</v>
      </c>
      <c r="W24" s="120">
        <f t="shared" si="12"/>
        <v>1124737.9526764115</v>
      </c>
      <c r="X24" s="120">
        <f t="shared" si="12"/>
        <v>1122794.3177613225</v>
      </c>
      <c r="Y24" s="120">
        <f t="shared" si="12"/>
        <v>1120897.858450969</v>
      </c>
      <c r="Z24" s="120">
        <f t="shared" si="12"/>
        <v>1119047.4297064007</v>
      </c>
      <c r="AA24" s="120">
        <f t="shared" si="12"/>
        <v>1117241.9142808756</v>
      </c>
    </row>
    <row r="25" spans="1:28" x14ac:dyDescent="0.25">
      <c r="A25" s="151" t="s">
        <v>182</v>
      </c>
      <c r="B25" s="120">
        <f>B19/(1.03^(B$22-2025))</f>
        <v>-848000</v>
      </c>
      <c r="C25" s="120">
        <f t="shared" ref="C25:AA25" si="13">C19/(1.03^(C$22-2025))</f>
        <v>1446372.9672532359</v>
      </c>
      <c r="D25" s="120">
        <f t="shared" si="13"/>
        <v>1244101.0750921271</v>
      </c>
      <c r="E25" s="120">
        <f t="shared" si="13"/>
        <v>1188548.6171002125</v>
      </c>
      <c r="F25" s="120">
        <f t="shared" si="13"/>
        <v>1134344.5197391689</v>
      </c>
      <c r="G25" s="120">
        <f t="shared" si="13"/>
        <v>1081456.0558092194</v>
      </c>
      <c r="H25" s="120">
        <f t="shared" si="13"/>
        <v>1029851.2924600935</v>
      </c>
      <c r="I25" s="120">
        <f t="shared" si="13"/>
        <v>979499.07191070332</v>
      </c>
      <c r="J25" s="120">
        <f t="shared" si="13"/>
        <v>930368.99263678386</v>
      </c>
      <c r="K25" s="120">
        <f t="shared" si="13"/>
        <v>882431.39101514453</v>
      </c>
      <c r="L25" s="120">
        <f t="shared" si="13"/>
        <v>945604.68547238433</v>
      </c>
      <c r="M25" s="120">
        <f t="shared" si="13"/>
        <v>1724714.7612091037</v>
      </c>
      <c r="N25" s="120">
        <f t="shared" si="13"/>
        <v>1657496.9224861942</v>
      </c>
      <c r="O25" s="120">
        <f t="shared" si="13"/>
        <v>1591910.5847031607</v>
      </c>
      <c r="P25" s="120">
        <f t="shared" si="13"/>
        <v>1527916.1483226281</v>
      </c>
      <c r="Q25" s="120">
        <f t="shared" si="13"/>
        <v>1465474.9749610405</v>
      </c>
      <c r="R25" s="120">
        <f t="shared" si="13"/>
        <v>1404549.3640596857</v>
      </c>
      <c r="S25" s="120">
        <f t="shared" si="13"/>
        <v>1345102.5301219565</v>
      </c>
      <c r="T25" s="120">
        <f t="shared" si="13"/>
        <v>1287098.5805031043</v>
      </c>
      <c r="U25" s="120">
        <f t="shared" si="13"/>
        <v>1230502.4937390781</v>
      </c>
      <c r="V25" s="120">
        <f t="shared" si="13"/>
        <v>1064890.1575028766</v>
      </c>
      <c r="W25" s="120">
        <f t="shared" si="13"/>
        <v>1841104.9547922539</v>
      </c>
      <c r="X25" s="120">
        <f>X19/(1.03^(X$22-2025))</f>
        <v>1771062.1113707244</v>
      </c>
      <c r="Y25" s="120">
        <f t="shared" si="13"/>
        <v>1702719.3369642796</v>
      </c>
      <c r="Z25" s="120">
        <f t="shared" si="13"/>
        <v>1636035.367761876</v>
      </c>
      <c r="AA25" s="120">
        <f t="shared" si="13"/>
        <v>1570969.9415012775</v>
      </c>
    </row>
    <row r="26" spans="1:28" x14ac:dyDescent="0.25">
      <c r="B26" s="144"/>
    </row>
    <row r="27" spans="1:28" ht="25.5" customHeight="1" x14ac:dyDescent="0.3">
      <c r="A27" s="103" t="s">
        <v>248</v>
      </c>
      <c r="B27" s="232" t="s">
        <v>275</v>
      </c>
      <c r="C27" s="232"/>
    </row>
    <row r="28" spans="1:28" x14ac:dyDescent="0.25">
      <c r="A28" s="105" t="s">
        <v>187</v>
      </c>
      <c r="B28" s="233">
        <f>SUM(B23:AA23)</f>
        <v>63203115.881662123</v>
      </c>
      <c r="C28" s="234"/>
    </row>
    <row r="29" spans="1:28" x14ac:dyDescent="0.25">
      <c r="A29" s="105" t="s">
        <v>188</v>
      </c>
      <c r="B29" s="233">
        <f>SUM(B24:AA24)</f>
        <v>30366988.983173806</v>
      </c>
      <c r="C29" s="234"/>
    </row>
    <row r="30" spans="1:28" x14ac:dyDescent="0.25">
      <c r="A30" s="105" t="s">
        <v>183</v>
      </c>
      <c r="B30" s="233">
        <f>SUM(B25:AA25)</f>
        <v>32836126.898488317</v>
      </c>
      <c r="C30" s="234"/>
    </row>
    <row r="31" spans="1:28" x14ac:dyDescent="0.25">
      <c r="B31" s="144"/>
    </row>
    <row r="32" spans="1:28" x14ac:dyDescent="0.25">
      <c r="B32" s="144"/>
    </row>
    <row r="33" spans="2:2" x14ac:dyDescent="0.25">
      <c r="B33" s="144"/>
    </row>
    <row r="34" spans="2:2" x14ac:dyDescent="0.25">
      <c r="B34" s="144"/>
    </row>
    <row r="35" spans="2:2" x14ac:dyDescent="0.25">
      <c r="B35" s="144"/>
    </row>
    <row r="36" spans="2:2" x14ac:dyDescent="0.25">
      <c r="B36" s="144"/>
    </row>
    <row r="37" spans="2:2" x14ac:dyDescent="0.25">
      <c r="B37" s="144"/>
    </row>
    <row r="38" spans="2:2" x14ac:dyDescent="0.25">
      <c r="B38" s="144"/>
    </row>
    <row r="39" spans="2:2" x14ac:dyDescent="0.25">
      <c r="B39" s="144"/>
    </row>
    <row r="40" spans="2:2" x14ac:dyDescent="0.25">
      <c r="B40" s="144"/>
    </row>
    <row r="41" spans="2:2" x14ac:dyDescent="0.25">
      <c r="B41" s="144"/>
    </row>
    <row r="42" spans="2:2" x14ac:dyDescent="0.25">
      <c r="B42" s="144"/>
    </row>
    <row r="43" spans="2:2" x14ac:dyDescent="0.25">
      <c r="B43" s="144"/>
    </row>
    <row r="44" spans="2:2" x14ac:dyDescent="0.25">
      <c r="B44" s="144"/>
    </row>
    <row r="45" spans="2:2" x14ac:dyDescent="0.25">
      <c r="B45" s="144"/>
    </row>
    <row r="46" spans="2:2" x14ac:dyDescent="0.25">
      <c r="B46" s="144"/>
    </row>
    <row r="47" spans="2:2" x14ac:dyDescent="0.25">
      <c r="B47" s="144"/>
    </row>
    <row r="48" spans="2:2" x14ac:dyDescent="0.25">
      <c r="B48" s="144"/>
    </row>
    <row r="49" spans="2:2" x14ac:dyDescent="0.25">
      <c r="B49" s="144"/>
    </row>
    <row r="50" spans="2:2" x14ac:dyDescent="0.25">
      <c r="B50" s="144"/>
    </row>
    <row r="51" spans="2:2" x14ac:dyDescent="0.25">
      <c r="B51" s="144"/>
    </row>
    <row r="52" spans="2:2" x14ac:dyDescent="0.25">
      <c r="B52" s="144"/>
    </row>
    <row r="53" spans="2:2" x14ac:dyDescent="0.25">
      <c r="B53" s="144"/>
    </row>
    <row r="54" spans="2:2" x14ac:dyDescent="0.25">
      <c r="B54" s="144"/>
    </row>
    <row r="55" spans="2:2" x14ac:dyDescent="0.25">
      <c r="B55" s="144"/>
    </row>
    <row r="56" spans="2:2" x14ac:dyDescent="0.25">
      <c r="B56" s="144"/>
    </row>
    <row r="57" spans="2:2" x14ac:dyDescent="0.25">
      <c r="B57" s="144"/>
    </row>
    <row r="58" spans="2:2" x14ac:dyDescent="0.25">
      <c r="B58" s="144"/>
    </row>
    <row r="59" spans="2:2" x14ac:dyDescent="0.25">
      <c r="B59" s="144"/>
    </row>
    <row r="60" spans="2:2" x14ac:dyDescent="0.25">
      <c r="B60" s="144"/>
    </row>
    <row r="61" spans="2:2" x14ac:dyDescent="0.25">
      <c r="B61" s="144"/>
    </row>
    <row r="62" spans="2:2" x14ac:dyDescent="0.25">
      <c r="B62" s="144"/>
    </row>
    <row r="63" spans="2:2" x14ac:dyDescent="0.25">
      <c r="B63" s="144"/>
    </row>
    <row r="64" spans="2:2" x14ac:dyDescent="0.25">
      <c r="B64" s="144"/>
    </row>
    <row r="65" spans="2:2" x14ac:dyDescent="0.25">
      <c r="B65" s="144"/>
    </row>
    <row r="66" spans="2:2" x14ac:dyDescent="0.25">
      <c r="B66" s="144"/>
    </row>
    <row r="67" spans="2:2" x14ac:dyDescent="0.25">
      <c r="B67" s="144"/>
    </row>
    <row r="68" spans="2:2" x14ac:dyDescent="0.25">
      <c r="B68" s="144"/>
    </row>
    <row r="69" spans="2:2" x14ac:dyDescent="0.25">
      <c r="B69" s="144"/>
    </row>
    <row r="70" spans="2:2" x14ac:dyDescent="0.25">
      <c r="B70" s="144"/>
    </row>
    <row r="71" spans="2:2" x14ac:dyDescent="0.25">
      <c r="B71" s="144"/>
    </row>
    <row r="72" spans="2:2" x14ac:dyDescent="0.25">
      <c r="B72" s="144"/>
    </row>
    <row r="73" spans="2:2" x14ac:dyDescent="0.25">
      <c r="B73" s="144"/>
    </row>
    <row r="74" spans="2:2" x14ac:dyDescent="0.25">
      <c r="B74" s="144"/>
    </row>
    <row r="75" spans="2:2" x14ac:dyDescent="0.25">
      <c r="B75" s="144"/>
    </row>
    <row r="76" spans="2:2" x14ac:dyDescent="0.25">
      <c r="B76" s="144"/>
    </row>
    <row r="77" spans="2:2" x14ac:dyDescent="0.25">
      <c r="B77" s="144"/>
    </row>
    <row r="78" spans="2:2" x14ac:dyDescent="0.25">
      <c r="B78" s="144"/>
    </row>
    <row r="79" spans="2:2" x14ac:dyDescent="0.25">
      <c r="B79" s="144"/>
    </row>
    <row r="80" spans="2:2" x14ac:dyDescent="0.25">
      <c r="B80" s="144"/>
    </row>
    <row r="81" spans="2:2" x14ac:dyDescent="0.25">
      <c r="B81" s="144"/>
    </row>
    <row r="82" spans="2:2" x14ac:dyDescent="0.25">
      <c r="B82" s="144"/>
    </row>
    <row r="83" spans="2:2" x14ac:dyDescent="0.25">
      <c r="B83" s="144"/>
    </row>
    <row r="84" spans="2:2" x14ac:dyDescent="0.25">
      <c r="B84" s="144"/>
    </row>
    <row r="85" spans="2:2" x14ac:dyDescent="0.25">
      <c r="B85" s="144"/>
    </row>
    <row r="86" spans="2:2" x14ac:dyDescent="0.25">
      <c r="B86" s="144"/>
    </row>
    <row r="87" spans="2:2" x14ac:dyDescent="0.25">
      <c r="B87" s="144"/>
    </row>
    <row r="88" spans="2:2" x14ac:dyDescent="0.25">
      <c r="B88" s="144"/>
    </row>
    <row r="89" spans="2:2" x14ac:dyDescent="0.25">
      <c r="B89" s="144"/>
    </row>
    <row r="90" spans="2:2" x14ac:dyDescent="0.25">
      <c r="B90" s="144"/>
    </row>
    <row r="91" spans="2:2" x14ac:dyDescent="0.25">
      <c r="B91" s="144"/>
    </row>
    <row r="92" spans="2:2" x14ac:dyDescent="0.25">
      <c r="B92" s="144"/>
    </row>
    <row r="93" spans="2:2" x14ac:dyDescent="0.25">
      <c r="B93" s="144"/>
    </row>
    <row r="94" spans="2:2" x14ac:dyDescent="0.25">
      <c r="B94" s="144"/>
    </row>
    <row r="95" spans="2:2" x14ac:dyDescent="0.25">
      <c r="B95" s="144"/>
    </row>
    <row r="96" spans="2:2" x14ac:dyDescent="0.25">
      <c r="B96" s="144"/>
    </row>
    <row r="97" spans="2:2" x14ac:dyDescent="0.25">
      <c r="B97" s="144"/>
    </row>
    <row r="98" spans="2:2" x14ac:dyDescent="0.25">
      <c r="B98" s="144"/>
    </row>
    <row r="99" spans="2:2" x14ac:dyDescent="0.25">
      <c r="B99" s="144"/>
    </row>
    <row r="100" spans="2:2" x14ac:dyDescent="0.25">
      <c r="B100" s="144"/>
    </row>
    <row r="101" spans="2:2" x14ac:dyDescent="0.25">
      <c r="B101" s="144"/>
    </row>
  </sheetData>
  <mergeCells count="4">
    <mergeCell ref="B27:C27"/>
    <mergeCell ref="B28:C28"/>
    <mergeCell ref="B29:C29"/>
    <mergeCell ref="B30:C30"/>
  </mergeCells>
  <pageMargins left="0.7" right="0.7" top="0.75" bottom="0.75" header="0.3" footer="0.3"/>
  <pageSetup orientation="landscape" horizontalDpi="3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00DD-5FE8-4630-A76F-719ADB7DE918}">
  <sheetPr>
    <tabColor rgb="FFC00000"/>
  </sheetPr>
  <dimension ref="A1:AB101"/>
  <sheetViews>
    <sheetView workbookViewId="0">
      <selection activeCell="C14" sqref="C14"/>
    </sheetView>
  </sheetViews>
  <sheetFormatPr defaultColWidth="9.1796875" defaultRowHeight="12.5" x14ac:dyDescent="0.25"/>
  <cols>
    <col min="1" max="1" width="42.453125" style="54" bestFit="1" customWidth="1"/>
    <col min="2" max="2" width="11.26953125" style="149" customWidth="1"/>
    <col min="3" max="27" width="11.26953125" style="144" customWidth="1"/>
    <col min="28" max="28" width="15.54296875" style="54" bestFit="1" customWidth="1"/>
    <col min="29" max="16384" width="9.1796875" style="54"/>
  </cols>
  <sheetData>
    <row r="1" spans="1:27" x14ac:dyDescent="0.25">
      <c r="B1" s="144"/>
      <c r="C1" s="144" t="s">
        <v>293</v>
      </c>
      <c r="D1" s="144" t="s">
        <v>293</v>
      </c>
      <c r="E1" s="144" t="s">
        <v>293</v>
      </c>
      <c r="F1" s="144" t="s">
        <v>262</v>
      </c>
      <c r="G1" s="144" t="s">
        <v>262</v>
      </c>
      <c r="H1" s="144" t="s">
        <v>262</v>
      </c>
      <c r="I1" s="144" t="s">
        <v>262</v>
      </c>
      <c r="J1" s="144" t="s">
        <v>262</v>
      </c>
      <c r="K1" s="144" t="s">
        <v>262</v>
      </c>
      <c r="L1" s="144" t="s">
        <v>293</v>
      </c>
      <c r="M1" s="144" t="s">
        <v>262</v>
      </c>
      <c r="N1" s="144" t="s">
        <v>262</v>
      </c>
      <c r="O1" s="144" t="s">
        <v>262</v>
      </c>
      <c r="P1" s="144" t="s">
        <v>262</v>
      </c>
      <c r="Q1" s="144" t="s">
        <v>262</v>
      </c>
      <c r="R1" s="144" t="s">
        <v>262</v>
      </c>
      <c r="S1" s="144" t="s">
        <v>262</v>
      </c>
      <c r="T1" s="144" t="s">
        <v>262</v>
      </c>
      <c r="U1" s="144" t="s">
        <v>262</v>
      </c>
      <c r="V1" s="144" t="s">
        <v>293</v>
      </c>
      <c r="W1" s="144" t="s">
        <v>262</v>
      </c>
      <c r="X1" s="144" t="s">
        <v>262</v>
      </c>
      <c r="Y1" s="144" t="s">
        <v>262</v>
      </c>
      <c r="Z1" s="144" t="s">
        <v>262</v>
      </c>
      <c r="AA1" s="144" t="s">
        <v>262</v>
      </c>
    </row>
    <row r="2" spans="1:27" x14ac:dyDescent="0.25">
      <c r="B2" s="144"/>
    </row>
    <row r="3" spans="1:27" s="115" customFormat="1" ht="12" customHeight="1" x14ac:dyDescent="0.3">
      <c r="A3" s="114" t="s">
        <v>292</v>
      </c>
      <c r="B3" s="145">
        <v>2025</v>
      </c>
      <c r="C3" s="146">
        <v>2026</v>
      </c>
      <c r="D3" s="146">
        <v>2027</v>
      </c>
      <c r="E3" s="146">
        <v>2028</v>
      </c>
      <c r="F3" s="146">
        <v>2029</v>
      </c>
      <c r="G3" s="146">
        <v>2030</v>
      </c>
      <c r="H3" s="146">
        <v>2031</v>
      </c>
      <c r="I3" s="146">
        <v>2032</v>
      </c>
      <c r="J3" s="146">
        <v>2033</v>
      </c>
      <c r="K3" s="146">
        <v>2034</v>
      </c>
      <c r="L3" s="146">
        <v>2035</v>
      </c>
      <c r="M3" s="146">
        <v>2036</v>
      </c>
      <c r="N3" s="146">
        <v>2037</v>
      </c>
      <c r="O3" s="146">
        <v>2038</v>
      </c>
      <c r="P3" s="146">
        <v>2039</v>
      </c>
      <c r="Q3" s="146">
        <v>2040</v>
      </c>
      <c r="R3" s="146">
        <v>2041</v>
      </c>
      <c r="S3" s="146">
        <v>2042</v>
      </c>
      <c r="T3" s="146">
        <v>2043</v>
      </c>
      <c r="U3" s="146">
        <v>2044</v>
      </c>
      <c r="V3" s="146">
        <v>2045</v>
      </c>
      <c r="W3" s="146">
        <v>2046</v>
      </c>
      <c r="X3" s="146">
        <v>2047</v>
      </c>
      <c r="Y3" s="146">
        <v>2048</v>
      </c>
      <c r="Z3" s="146">
        <v>2049</v>
      </c>
      <c r="AA3" s="146">
        <v>2050</v>
      </c>
    </row>
    <row r="4" spans="1:27" s="108" customFormat="1" ht="13" x14ac:dyDescent="0.3">
      <c r="A4" s="107" t="s">
        <v>138</v>
      </c>
      <c r="B4" s="117"/>
      <c r="C4" s="118"/>
      <c r="D4" s="118"/>
      <c r="E4" s="118"/>
      <c r="F4" s="118"/>
      <c r="G4" s="118"/>
      <c r="H4" s="118"/>
      <c r="I4" s="118"/>
      <c r="J4" s="118"/>
      <c r="K4" s="118"/>
      <c r="L4" s="118"/>
      <c r="M4" s="118"/>
      <c r="N4" s="118"/>
      <c r="O4" s="118"/>
      <c r="P4" s="118"/>
      <c r="Q4" s="118"/>
      <c r="R4" s="118"/>
      <c r="S4" s="118"/>
      <c r="T4" s="118"/>
      <c r="U4" s="118"/>
      <c r="V4" s="118"/>
      <c r="W4" s="118"/>
      <c r="X4" s="118"/>
      <c r="Y4" s="118"/>
      <c r="Z4" s="118"/>
      <c r="AA4" s="118"/>
    </row>
    <row r="5" spans="1:27" s="108" customFormat="1" x14ac:dyDescent="0.25">
      <c r="A5" s="138" t="s">
        <v>280</v>
      </c>
      <c r="B5" s="117">
        <v>0</v>
      </c>
      <c r="C5" s="118">
        <f>('Space &amp; Elasticitiy'!L5+'Space &amp; Elasticitiy'!I12)*(1.005^(C$3-2024))</f>
        <v>2822468.4049209259</v>
      </c>
      <c r="D5" s="118">
        <f>('Space &amp; Elasticitiy'!L19+'Space &amp; Elasticitiy'!I12)*(1.005^(D$3-2024))</f>
        <v>2634626.9038940645</v>
      </c>
      <c r="E5" s="118">
        <f>$D5*(1.005^(E$3-2027))</f>
        <v>2647800.0384135344</v>
      </c>
      <c r="F5" s="118">
        <f t="shared" ref="F5:K5" si="0">$D5*(1.005^(F$3-2027))</f>
        <v>2661039.038605602</v>
      </c>
      <c r="G5" s="118">
        <f t="shared" si="0"/>
        <v>2674344.2337986296</v>
      </c>
      <c r="H5" s="118">
        <f t="shared" si="0"/>
        <v>2687715.9549676217</v>
      </c>
      <c r="I5" s="118">
        <f t="shared" si="0"/>
        <v>2701154.5347424597</v>
      </c>
      <c r="J5" s="118">
        <f t="shared" si="0"/>
        <v>2714660.3074161713</v>
      </c>
      <c r="K5" s="118">
        <f t="shared" si="0"/>
        <v>2728233.608953252</v>
      </c>
      <c r="L5" s="118">
        <f>$K5*(1-0.04*1/4)*(1+1/4)*(1.005^(L$3-2034))</f>
        <v>3393070.0365350475</v>
      </c>
      <c r="M5" s="118">
        <f t="shared" ref="M5:U5" si="1">$K5*(1-0.04*1/4)*(1+1/4)*(1.005^(M$3-2034))</f>
        <v>3410035.3867177223</v>
      </c>
      <c r="N5" s="118">
        <f t="shared" si="1"/>
        <v>3427085.5636513103</v>
      </c>
      <c r="O5" s="118">
        <f t="shared" si="1"/>
        <v>3444220.9914695658</v>
      </c>
      <c r="P5" s="118">
        <f t="shared" si="1"/>
        <v>3461442.096426913</v>
      </c>
      <c r="Q5" s="118">
        <f t="shared" si="1"/>
        <v>3478749.3069090471</v>
      </c>
      <c r="R5" s="118">
        <f t="shared" si="1"/>
        <v>3496143.053443592</v>
      </c>
      <c r="S5" s="118">
        <f t="shared" si="1"/>
        <v>3513623.7687108098</v>
      </c>
      <c r="T5" s="118">
        <f t="shared" si="1"/>
        <v>3531191.8875543633</v>
      </c>
      <c r="U5" s="118">
        <f t="shared" si="1"/>
        <v>3548847.8469921346</v>
      </c>
      <c r="V5" s="118">
        <f>$U5*(1-0.04*1/5)*(1+1/5)*(1.005^(V$3-2044))</f>
        <v>4245671.219444734</v>
      </c>
      <c r="W5" s="118">
        <f t="shared" ref="W5:AA5" si="2">$U5*(1-0.04*1/5)*(1+1/5)*(1.005^(W$3-2044))</f>
        <v>4266899.5755419564</v>
      </c>
      <c r="X5" s="118">
        <f t="shared" si="2"/>
        <v>4288234.0734196659</v>
      </c>
      <c r="Y5" s="118">
        <f t="shared" si="2"/>
        <v>4309675.2437867634</v>
      </c>
      <c r="Z5" s="118">
        <f t="shared" si="2"/>
        <v>4331223.6200056961</v>
      </c>
      <c r="AA5" s="118">
        <f t="shared" si="2"/>
        <v>4352879.7381057236</v>
      </c>
    </row>
    <row r="6" spans="1:27" s="108" customFormat="1" x14ac:dyDescent="0.25">
      <c r="A6" s="138" t="s">
        <v>299</v>
      </c>
      <c r="B6" s="117">
        <v>0</v>
      </c>
      <c r="C6" s="118">
        <v>450000</v>
      </c>
      <c r="D6" s="118">
        <f>$C$6*(1.005^(D$3-2026))</f>
        <v>452249.99999999994</v>
      </c>
      <c r="E6" s="118">
        <f t="shared" ref="E6:AA6" si="3">$C$6*(1.005^(E$3-2026))</f>
        <v>454511.24999999988</v>
      </c>
      <c r="F6" s="118">
        <f t="shared" si="3"/>
        <v>456783.80624999985</v>
      </c>
      <c r="G6" s="118">
        <f t="shared" si="3"/>
        <v>459067.72528124973</v>
      </c>
      <c r="H6" s="118">
        <f t="shared" si="3"/>
        <v>461363.06390765589</v>
      </c>
      <c r="I6" s="118">
        <f t="shared" si="3"/>
        <v>463669.87922719406</v>
      </c>
      <c r="J6" s="118">
        <f t="shared" si="3"/>
        <v>465988.22862333001</v>
      </c>
      <c r="K6" s="118">
        <f t="shared" si="3"/>
        <v>468318.16976644658</v>
      </c>
      <c r="L6" s="118">
        <f t="shared" si="3"/>
        <v>470659.76061527879</v>
      </c>
      <c r="M6" s="118">
        <f t="shared" si="3"/>
        <v>473013.05941835511</v>
      </c>
      <c r="N6" s="118">
        <f t="shared" si="3"/>
        <v>475378.12471544684</v>
      </c>
      <c r="O6" s="118">
        <f t="shared" si="3"/>
        <v>477755.0153390239</v>
      </c>
      <c r="P6" s="118">
        <f t="shared" si="3"/>
        <v>480143.79041571904</v>
      </c>
      <c r="Q6" s="118">
        <f t="shared" si="3"/>
        <v>482544.50936779752</v>
      </c>
      <c r="R6" s="118">
        <f t="shared" si="3"/>
        <v>484957.23191463639</v>
      </c>
      <c r="S6" s="118">
        <f t="shared" si="3"/>
        <v>487382.01807420951</v>
      </c>
      <c r="T6" s="118">
        <f t="shared" si="3"/>
        <v>489818.92816458055</v>
      </c>
      <c r="U6" s="118">
        <f t="shared" si="3"/>
        <v>492268.02280540328</v>
      </c>
      <c r="V6" s="118">
        <f t="shared" si="3"/>
        <v>494729.36291943025</v>
      </c>
      <c r="W6" s="118">
        <f t="shared" si="3"/>
        <v>497203.00973402738</v>
      </c>
      <c r="X6" s="118">
        <f t="shared" si="3"/>
        <v>499689.02478269738</v>
      </c>
      <c r="Y6" s="118">
        <f t="shared" si="3"/>
        <v>502187.46990661079</v>
      </c>
      <c r="Z6" s="118">
        <f t="shared" si="3"/>
        <v>504698.40725614375</v>
      </c>
      <c r="AA6" s="118">
        <f t="shared" si="3"/>
        <v>507221.8992924245</v>
      </c>
    </row>
    <row r="7" spans="1:27" s="107" customFormat="1" ht="13" x14ac:dyDescent="0.3">
      <c r="A7" s="107" t="s">
        <v>281</v>
      </c>
      <c r="B7" s="140">
        <f>SUM(B5:B6)</f>
        <v>0</v>
      </c>
      <c r="C7" s="140">
        <f>SUM(C5:C6)</f>
        <v>3272468.4049209259</v>
      </c>
      <c r="D7" s="140">
        <f t="shared" ref="D7:AA7" si="4">SUM(D5:D6)</f>
        <v>3086876.9038940645</v>
      </c>
      <c r="E7" s="140">
        <f t="shared" si="4"/>
        <v>3102311.2884135344</v>
      </c>
      <c r="F7" s="140">
        <f t="shared" si="4"/>
        <v>3117822.8448556019</v>
      </c>
      <c r="G7" s="140">
        <f t="shared" si="4"/>
        <v>3133411.9590798793</v>
      </c>
      <c r="H7" s="140">
        <f t="shared" si="4"/>
        <v>3149079.0188752776</v>
      </c>
      <c r="I7" s="140">
        <f t="shared" si="4"/>
        <v>3164824.4139696537</v>
      </c>
      <c r="J7" s="140">
        <f t="shared" si="4"/>
        <v>3180648.5360395014</v>
      </c>
      <c r="K7" s="140">
        <f t="shared" si="4"/>
        <v>3196551.7787196985</v>
      </c>
      <c r="L7" s="140">
        <f t="shared" si="4"/>
        <v>3863729.7971503264</v>
      </c>
      <c r="M7" s="140">
        <f t="shared" si="4"/>
        <v>3883048.4461360774</v>
      </c>
      <c r="N7" s="140">
        <f t="shared" si="4"/>
        <v>3902463.6883667572</v>
      </c>
      <c r="O7" s="140">
        <f t="shared" si="4"/>
        <v>3921976.0068085897</v>
      </c>
      <c r="P7" s="140">
        <f t="shared" si="4"/>
        <v>3941585.8868426322</v>
      </c>
      <c r="Q7" s="140">
        <f t="shared" si="4"/>
        <v>3961293.8162768446</v>
      </c>
      <c r="R7" s="140">
        <f t="shared" si="4"/>
        <v>3981100.2853582283</v>
      </c>
      <c r="S7" s="140">
        <f t="shared" si="4"/>
        <v>4001005.7867850191</v>
      </c>
      <c r="T7" s="140">
        <f t="shared" si="4"/>
        <v>4021010.8157189437</v>
      </c>
      <c r="U7" s="140">
        <f t="shared" si="4"/>
        <v>4041115.869797538</v>
      </c>
      <c r="V7" s="140">
        <f t="shared" si="4"/>
        <v>4740400.5823641643</v>
      </c>
      <c r="W7" s="140">
        <f t="shared" si="4"/>
        <v>4764102.5852759834</v>
      </c>
      <c r="X7" s="140">
        <f t="shared" si="4"/>
        <v>4787923.0982023636</v>
      </c>
      <c r="Y7" s="140">
        <f t="shared" si="4"/>
        <v>4811862.7136933738</v>
      </c>
      <c r="Z7" s="140">
        <f t="shared" si="4"/>
        <v>4835922.0272618402</v>
      </c>
      <c r="AA7" s="140">
        <f t="shared" si="4"/>
        <v>4860101.637398148</v>
      </c>
    </row>
    <row r="8" spans="1:27" x14ac:dyDescent="0.25">
      <c r="B8" s="119"/>
      <c r="C8" s="120"/>
      <c r="D8" s="120"/>
      <c r="E8" s="120"/>
      <c r="F8" s="120"/>
      <c r="G8" s="120"/>
      <c r="H8" s="120"/>
      <c r="I8" s="120"/>
      <c r="J8" s="120"/>
      <c r="K8" s="120"/>
      <c r="L8" s="120"/>
      <c r="M8" s="120"/>
      <c r="N8" s="120"/>
      <c r="O8" s="120"/>
      <c r="P8" s="120"/>
      <c r="Q8" s="120"/>
      <c r="R8" s="120"/>
      <c r="S8" s="120"/>
      <c r="T8" s="120"/>
      <c r="U8" s="120"/>
      <c r="V8" s="120"/>
      <c r="W8" s="120"/>
      <c r="X8" s="120"/>
      <c r="Y8" s="120"/>
      <c r="Z8" s="120"/>
      <c r="AA8" s="120"/>
    </row>
    <row r="9" spans="1:27" s="110" customFormat="1" ht="13" x14ac:dyDescent="0.3">
      <c r="A9" s="109" t="s">
        <v>181</v>
      </c>
      <c r="B9" s="121"/>
      <c r="C9" s="122"/>
      <c r="D9" s="122"/>
      <c r="E9" s="122"/>
      <c r="F9" s="122"/>
      <c r="G9" s="122"/>
      <c r="H9" s="122"/>
      <c r="I9" s="122"/>
      <c r="J9" s="122"/>
      <c r="K9" s="122"/>
      <c r="L9" s="122"/>
      <c r="M9" s="122"/>
      <c r="N9" s="122"/>
      <c r="O9" s="122"/>
      <c r="P9" s="122"/>
      <c r="Q9" s="122"/>
      <c r="R9" s="122"/>
      <c r="S9" s="122"/>
      <c r="T9" s="122"/>
      <c r="U9" s="122"/>
      <c r="V9" s="122"/>
      <c r="W9" s="122"/>
      <c r="X9" s="122"/>
      <c r="Y9" s="122"/>
      <c r="Z9" s="122"/>
      <c r="AA9" s="122"/>
    </row>
    <row r="10" spans="1:27" s="110" customFormat="1" x14ac:dyDescent="0.25">
      <c r="A10" s="111" t="s">
        <v>320</v>
      </c>
      <c r="B10" s="121">
        <f>56*10000</f>
        <v>560000</v>
      </c>
      <c r="C10" s="122">
        <v>0</v>
      </c>
      <c r="D10" s="122">
        <v>0</v>
      </c>
      <c r="E10" s="122">
        <v>0</v>
      </c>
      <c r="F10" s="122">
        <v>0</v>
      </c>
      <c r="G10" s="122">
        <v>0</v>
      </c>
      <c r="H10" s="122">
        <v>0</v>
      </c>
      <c r="I10" s="122">
        <v>0</v>
      </c>
      <c r="J10" s="122">
        <v>0</v>
      </c>
      <c r="K10" s="122">
        <v>0</v>
      </c>
      <c r="L10" s="122">
        <f>$B10*(1.03^(L$3-$B$3))</f>
        <v>752593.1724327082</v>
      </c>
      <c r="M10" s="122">
        <v>0</v>
      </c>
      <c r="N10" s="122">
        <v>0</v>
      </c>
      <c r="O10" s="122">
        <v>0</v>
      </c>
      <c r="P10" s="122">
        <v>0</v>
      </c>
      <c r="Q10" s="122">
        <v>0</v>
      </c>
      <c r="R10" s="122">
        <v>0</v>
      </c>
      <c r="S10" s="122">
        <v>0</v>
      </c>
      <c r="T10" s="122">
        <v>0</v>
      </c>
      <c r="U10" s="122">
        <v>0</v>
      </c>
      <c r="V10" s="122">
        <f>$B10*(1.03^(V$3-$B$3))</f>
        <v>1011422.2914148715</v>
      </c>
      <c r="W10" s="122">
        <v>0</v>
      </c>
      <c r="X10" s="122">
        <v>0</v>
      </c>
      <c r="Y10" s="122">
        <v>0</v>
      </c>
      <c r="Z10" s="122">
        <v>0</v>
      </c>
      <c r="AA10" s="122">
        <v>0</v>
      </c>
    </row>
    <row r="11" spans="1:27" s="110" customFormat="1" x14ac:dyDescent="0.25">
      <c r="A11" s="111" t="s">
        <v>155</v>
      </c>
      <c r="B11" s="121">
        <f>176*1000</f>
        <v>176000</v>
      </c>
      <c r="C11" s="122">
        <v>0</v>
      </c>
      <c r="D11" s="122">
        <v>0</v>
      </c>
      <c r="E11" s="122">
        <v>0</v>
      </c>
      <c r="F11" s="122">
        <v>0</v>
      </c>
      <c r="G11" s="122">
        <v>0</v>
      </c>
      <c r="H11" s="122">
        <v>0</v>
      </c>
      <c r="I11" s="122">
        <v>0</v>
      </c>
      <c r="J11" s="122">
        <v>0</v>
      </c>
      <c r="K11" s="122">
        <v>0</v>
      </c>
      <c r="L11" s="122">
        <f t="shared" ref="L11:L12" si="5">$B11*(1.03^(L$3-$B$3))</f>
        <v>236529.28276456543</v>
      </c>
      <c r="M11" s="122">
        <v>0</v>
      </c>
      <c r="N11" s="122">
        <v>0</v>
      </c>
      <c r="O11" s="122">
        <v>0</v>
      </c>
      <c r="P11" s="122">
        <v>0</v>
      </c>
      <c r="Q11" s="122">
        <v>0</v>
      </c>
      <c r="R11" s="122">
        <v>0</v>
      </c>
      <c r="S11" s="122">
        <v>0</v>
      </c>
      <c r="T11" s="122">
        <v>0</v>
      </c>
      <c r="U11" s="122">
        <v>0</v>
      </c>
      <c r="V11" s="122">
        <f t="shared" ref="V11:V12" si="6">$B11*(1.03^(V$3-$B$3))</f>
        <v>317875.57730181672</v>
      </c>
      <c r="W11" s="122">
        <v>0</v>
      </c>
      <c r="X11" s="122">
        <v>0</v>
      </c>
      <c r="Y11" s="122">
        <v>0</v>
      </c>
      <c r="Z11" s="122">
        <v>0</v>
      </c>
      <c r="AA11" s="122">
        <v>0</v>
      </c>
    </row>
    <row r="12" spans="1:27" s="110" customFormat="1" x14ac:dyDescent="0.25">
      <c r="A12" s="111" t="s">
        <v>154</v>
      </c>
      <c r="B12" s="121">
        <f>56*2000</f>
        <v>112000</v>
      </c>
      <c r="C12" s="122">
        <v>0</v>
      </c>
      <c r="D12" s="122">
        <v>0</v>
      </c>
      <c r="E12" s="122">
        <v>0</v>
      </c>
      <c r="F12" s="122">
        <v>0</v>
      </c>
      <c r="G12" s="122">
        <v>0</v>
      </c>
      <c r="H12" s="122">
        <v>0</v>
      </c>
      <c r="I12" s="122">
        <v>0</v>
      </c>
      <c r="J12" s="122">
        <v>0</v>
      </c>
      <c r="K12" s="122">
        <v>0</v>
      </c>
      <c r="L12" s="122">
        <f t="shared" si="5"/>
        <v>150518.63448654165</v>
      </c>
      <c r="M12" s="122">
        <v>0</v>
      </c>
      <c r="N12" s="122">
        <v>0</v>
      </c>
      <c r="O12" s="122">
        <v>0</v>
      </c>
      <c r="P12" s="122">
        <v>0</v>
      </c>
      <c r="Q12" s="122">
        <v>0</v>
      </c>
      <c r="R12" s="122">
        <v>0</v>
      </c>
      <c r="S12" s="122">
        <v>0</v>
      </c>
      <c r="T12" s="122">
        <v>0</v>
      </c>
      <c r="U12" s="122">
        <v>0</v>
      </c>
      <c r="V12" s="122">
        <f t="shared" si="6"/>
        <v>202284.45828297429</v>
      </c>
      <c r="W12" s="122">
        <v>0</v>
      </c>
      <c r="X12" s="122">
        <v>0</v>
      </c>
      <c r="Y12" s="122">
        <v>0</v>
      </c>
      <c r="Z12" s="122">
        <v>0</v>
      </c>
      <c r="AA12" s="122">
        <v>0</v>
      </c>
    </row>
    <row r="13" spans="1:27" s="110" customFormat="1" x14ac:dyDescent="0.25">
      <c r="A13" s="111" t="s">
        <v>279</v>
      </c>
      <c r="B13" s="121">
        <v>0</v>
      </c>
      <c r="C13" s="122">
        <v>750000</v>
      </c>
      <c r="D13" s="122">
        <f>$C13*(1.03^(D$3-$C$3))</f>
        <v>772500</v>
      </c>
      <c r="E13" s="122">
        <f t="shared" ref="E13:AA16" si="7">$C13*(1.03^(E$3-$C$3))</f>
        <v>795675</v>
      </c>
      <c r="F13" s="122">
        <f t="shared" si="7"/>
        <v>819545.25</v>
      </c>
      <c r="G13" s="122">
        <f t="shared" si="7"/>
        <v>844131.60749999993</v>
      </c>
      <c r="H13" s="122">
        <f t="shared" si="7"/>
        <v>869455.55572499987</v>
      </c>
      <c r="I13" s="122">
        <f t="shared" si="7"/>
        <v>895539.22239674989</v>
      </c>
      <c r="J13" s="122">
        <f t="shared" si="7"/>
        <v>922405.39906865254</v>
      </c>
      <c r="K13" s="122">
        <f t="shared" si="7"/>
        <v>950077.56104071194</v>
      </c>
      <c r="L13" s="122">
        <f t="shared" si="7"/>
        <v>978579.88787193329</v>
      </c>
      <c r="M13" s="122">
        <f t="shared" si="7"/>
        <v>1007937.2845080913</v>
      </c>
      <c r="N13" s="122">
        <f t="shared" si="7"/>
        <v>1038175.4030433341</v>
      </c>
      <c r="O13" s="122">
        <f t="shared" si="7"/>
        <v>1069320.6651346339</v>
      </c>
      <c r="P13" s="122">
        <f t="shared" si="7"/>
        <v>1101400.285088673</v>
      </c>
      <c r="Q13" s="122">
        <f t="shared" si="7"/>
        <v>1134442.2936413332</v>
      </c>
      <c r="R13" s="122">
        <f t="shared" si="7"/>
        <v>1168475.5624505733</v>
      </c>
      <c r="S13" s="122">
        <f t="shared" si="7"/>
        <v>1203529.8293240904</v>
      </c>
      <c r="T13" s="122">
        <f t="shared" si="7"/>
        <v>1239635.7242038131</v>
      </c>
      <c r="U13" s="122">
        <f t="shared" si="7"/>
        <v>1276824.7959299274</v>
      </c>
      <c r="V13" s="122">
        <f t="shared" si="7"/>
        <v>1315129.5398078251</v>
      </c>
      <c r="W13" s="122">
        <f t="shared" si="7"/>
        <v>1354583.4260020598</v>
      </c>
      <c r="X13" s="122">
        <f t="shared" si="7"/>
        <v>1395220.9287821215</v>
      </c>
      <c r="Y13" s="122">
        <f t="shared" si="7"/>
        <v>1437077.5566455855</v>
      </c>
      <c r="Z13" s="122">
        <f t="shared" si="7"/>
        <v>1480189.8833449529</v>
      </c>
      <c r="AA13" s="122">
        <f t="shared" si="7"/>
        <v>1524595.5798453013</v>
      </c>
    </row>
    <row r="14" spans="1:27" s="110" customFormat="1" x14ac:dyDescent="0.25">
      <c r="A14" s="111" t="s">
        <v>282</v>
      </c>
      <c r="B14" s="121">
        <v>0</v>
      </c>
      <c r="C14" s="122">
        <v>76000</v>
      </c>
      <c r="D14" s="122">
        <f>$C14*(1.03^(D$3-$C$3))</f>
        <v>78280</v>
      </c>
      <c r="E14" s="122">
        <f t="shared" si="7"/>
        <v>80628.399999999994</v>
      </c>
      <c r="F14" s="122">
        <f t="shared" si="7"/>
        <v>83047.251999999993</v>
      </c>
      <c r="G14" s="122">
        <f t="shared" si="7"/>
        <v>85538.669559999995</v>
      </c>
      <c r="H14" s="122">
        <f t="shared" si="7"/>
        <v>88104.82964679999</v>
      </c>
      <c r="I14" s="122">
        <f t="shared" si="7"/>
        <v>90747.974536203998</v>
      </c>
      <c r="J14" s="122">
        <f t="shared" si="7"/>
        <v>93470.413772290121</v>
      </c>
      <c r="K14" s="122">
        <f t="shared" si="7"/>
        <v>96274.526185458817</v>
      </c>
      <c r="L14" s="122">
        <f t="shared" si="7"/>
        <v>99162.761971022584</v>
      </c>
      <c r="M14" s="122">
        <f t="shared" si="7"/>
        <v>102137.64483015325</v>
      </c>
      <c r="N14" s="122">
        <f>$C14*(1.03^(N$3-$C$3))</f>
        <v>105201.77417505786</v>
      </c>
      <c r="O14" s="122">
        <f t="shared" si="7"/>
        <v>108357.82740030957</v>
      </c>
      <c r="P14" s="122">
        <f t="shared" si="7"/>
        <v>111608.56222231885</v>
      </c>
      <c r="Q14" s="122">
        <f t="shared" si="7"/>
        <v>114956.81908898844</v>
      </c>
      <c r="R14" s="122">
        <f t="shared" si="7"/>
        <v>118405.5236616581</v>
      </c>
      <c r="S14" s="122">
        <f t="shared" si="7"/>
        <v>121957.68937150782</v>
      </c>
      <c r="T14" s="122">
        <f t="shared" si="7"/>
        <v>125616.42005265305</v>
      </c>
      <c r="U14" s="122">
        <f t="shared" si="7"/>
        <v>129384.91265423264</v>
      </c>
      <c r="V14" s="122">
        <f t="shared" si="7"/>
        <v>133266.46003385962</v>
      </c>
      <c r="W14" s="122">
        <f t="shared" si="7"/>
        <v>137264.4538348754</v>
      </c>
      <c r="X14" s="122">
        <f t="shared" si="7"/>
        <v>141382.38744992166</v>
      </c>
      <c r="Y14" s="122">
        <f t="shared" si="7"/>
        <v>145623.85907341933</v>
      </c>
      <c r="Z14" s="122">
        <f t="shared" si="7"/>
        <v>149992.57484562192</v>
      </c>
      <c r="AA14" s="122">
        <f t="shared" si="7"/>
        <v>154492.35209099055</v>
      </c>
    </row>
    <row r="15" spans="1:27" s="110" customFormat="1" x14ac:dyDescent="0.25">
      <c r="A15" s="111" t="s">
        <v>327</v>
      </c>
      <c r="B15" s="121">
        <v>0</v>
      </c>
      <c r="C15" s="122">
        <f>C7*0.03*0.9</f>
        <v>88356.646932864998</v>
      </c>
      <c r="D15" s="122">
        <f t="shared" ref="D15:AA15" si="8">D7*0.03*0.9</f>
        <v>83345.676405139748</v>
      </c>
      <c r="E15" s="122">
        <f t="shared" si="8"/>
        <v>83762.404787165433</v>
      </c>
      <c r="F15" s="122">
        <f t="shared" si="8"/>
        <v>84181.216811101258</v>
      </c>
      <c r="G15" s="122">
        <f t="shared" si="8"/>
        <v>84602.122895156732</v>
      </c>
      <c r="H15" s="122">
        <f t="shared" si="8"/>
        <v>85025.133509632491</v>
      </c>
      <c r="I15" s="122">
        <f t="shared" si="8"/>
        <v>85450.259177180647</v>
      </c>
      <c r="J15" s="122">
        <f t="shared" si="8"/>
        <v>85877.510473066533</v>
      </c>
      <c r="K15" s="122">
        <f t="shared" si="8"/>
        <v>86306.898025431859</v>
      </c>
      <c r="L15" s="122">
        <f t="shared" si="8"/>
        <v>104320.70452305881</v>
      </c>
      <c r="M15" s="122">
        <f t="shared" si="8"/>
        <v>104842.30804567409</v>
      </c>
      <c r="N15" s="122">
        <f t="shared" si="8"/>
        <v>105366.51958590245</v>
      </c>
      <c r="O15" s="122">
        <f t="shared" si="8"/>
        <v>105893.35218383191</v>
      </c>
      <c r="P15" s="122">
        <f t="shared" si="8"/>
        <v>106422.81894475107</v>
      </c>
      <c r="Q15" s="122">
        <f t="shared" si="8"/>
        <v>106954.9330394748</v>
      </c>
      <c r="R15" s="122">
        <f t="shared" si="8"/>
        <v>107489.70770467217</v>
      </c>
      <c r="S15" s="122">
        <f t="shared" si="8"/>
        <v>108027.15624319552</v>
      </c>
      <c r="T15" s="122">
        <f t="shared" si="8"/>
        <v>108567.29202441148</v>
      </c>
      <c r="U15" s="122">
        <f t="shared" si="8"/>
        <v>109110.12848453352</v>
      </c>
      <c r="V15" s="122">
        <f t="shared" si="8"/>
        <v>127990.81572383242</v>
      </c>
      <c r="W15" s="122">
        <f t="shared" si="8"/>
        <v>128630.76980245156</v>
      </c>
      <c r="X15" s="122">
        <f t="shared" si="8"/>
        <v>129273.9236514638</v>
      </c>
      <c r="Y15" s="122">
        <f t="shared" si="8"/>
        <v>129920.29326972108</v>
      </c>
      <c r="Z15" s="122">
        <f t="shared" si="8"/>
        <v>130569.89473606969</v>
      </c>
      <c r="AA15" s="122">
        <f t="shared" si="8"/>
        <v>131222.74420975</v>
      </c>
    </row>
    <row r="16" spans="1:27" s="106" customFormat="1" x14ac:dyDescent="0.25">
      <c r="A16" s="112" t="s">
        <v>189</v>
      </c>
      <c r="B16" s="121">
        <v>0</v>
      </c>
      <c r="C16" s="122">
        <v>250000</v>
      </c>
      <c r="D16" s="122">
        <f>$C16*(1.03^(D$3-$C$3))</f>
        <v>257500</v>
      </c>
      <c r="E16" s="122">
        <f t="shared" si="7"/>
        <v>265225</v>
      </c>
      <c r="F16" s="122">
        <f t="shared" si="7"/>
        <v>273181.75</v>
      </c>
      <c r="G16" s="122">
        <f t="shared" si="7"/>
        <v>281377.20249999996</v>
      </c>
      <c r="H16" s="122">
        <f t="shared" si="7"/>
        <v>289818.51857499994</v>
      </c>
      <c r="I16" s="122">
        <f t="shared" si="7"/>
        <v>298513.07413224998</v>
      </c>
      <c r="J16" s="122">
        <f t="shared" si="7"/>
        <v>307468.46635621751</v>
      </c>
      <c r="K16" s="122">
        <f t="shared" si="7"/>
        <v>316692.520346904</v>
      </c>
      <c r="L16" s="122">
        <f t="shared" si="7"/>
        <v>326193.29595731111</v>
      </c>
      <c r="M16" s="122">
        <f t="shared" si="7"/>
        <v>335979.09483603045</v>
      </c>
      <c r="N16" s="122">
        <f t="shared" si="7"/>
        <v>346058.46768111136</v>
      </c>
      <c r="O16" s="122">
        <f t="shared" si="7"/>
        <v>356440.22171154467</v>
      </c>
      <c r="P16" s="122">
        <f t="shared" si="7"/>
        <v>367133.42836289096</v>
      </c>
      <c r="Q16" s="122">
        <f t="shared" si="7"/>
        <v>378147.43121377775</v>
      </c>
      <c r="R16" s="122">
        <f t="shared" si="7"/>
        <v>389491.85415019112</v>
      </c>
      <c r="S16" s="122">
        <f t="shared" si="7"/>
        <v>401176.60977469676</v>
      </c>
      <c r="T16" s="122">
        <f t="shared" si="7"/>
        <v>413211.90806793765</v>
      </c>
      <c r="U16" s="122">
        <f t="shared" si="7"/>
        <v>425608.26530997583</v>
      </c>
      <c r="V16" s="122">
        <f t="shared" si="7"/>
        <v>438376.51326927508</v>
      </c>
      <c r="W16" s="122">
        <f t="shared" si="7"/>
        <v>451527.8086673533</v>
      </c>
      <c r="X16" s="122">
        <f t="shared" si="7"/>
        <v>465073.64292737388</v>
      </c>
      <c r="Y16" s="122">
        <f t="shared" si="7"/>
        <v>479025.85221519513</v>
      </c>
      <c r="Z16" s="122">
        <f t="shared" si="7"/>
        <v>493396.62778165098</v>
      </c>
      <c r="AA16" s="122">
        <f t="shared" si="7"/>
        <v>508198.52661510045</v>
      </c>
    </row>
    <row r="17" spans="1:28" s="110" customFormat="1" ht="13" x14ac:dyDescent="0.3">
      <c r="A17" s="109" t="s">
        <v>257</v>
      </c>
      <c r="B17" s="123">
        <f t="shared" ref="B17:AA17" si="9">SUM(B10:B16)</f>
        <v>848000</v>
      </c>
      <c r="C17" s="124">
        <f t="shared" si="9"/>
        <v>1164356.646932865</v>
      </c>
      <c r="D17" s="124">
        <f t="shared" si="9"/>
        <v>1191625.6764051397</v>
      </c>
      <c r="E17" s="124">
        <f t="shared" si="9"/>
        <v>1225290.8047871655</v>
      </c>
      <c r="F17" s="124">
        <f t="shared" si="9"/>
        <v>1259955.4688111013</v>
      </c>
      <c r="G17" s="124">
        <f t="shared" si="9"/>
        <v>1295649.6024551566</v>
      </c>
      <c r="H17" s="124">
        <f t="shared" si="9"/>
        <v>1332404.0374564321</v>
      </c>
      <c r="I17" s="124">
        <f t="shared" si="9"/>
        <v>1370250.5302423844</v>
      </c>
      <c r="J17" s="124">
        <f t="shared" si="9"/>
        <v>1409221.7896702266</v>
      </c>
      <c r="K17" s="124">
        <f t="shared" si="9"/>
        <v>1449351.5055985067</v>
      </c>
      <c r="L17" s="124">
        <f t="shared" si="9"/>
        <v>2647897.7400071407</v>
      </c>
      <c r="M17" s="124">
        <f t="shared" si="9"/>
        <v>1550896.332219949</v>
      </c>
      <c r="N17" s="124">
        <f t="shared" si="9"/>
        <v>1594802.1644854057</v>
      </c>
      <c r="O17" s="124">
        <f t="shared" si="9"/>
        <v>1640012.06643032</v>
      </c>
      <c r="P17" s="124">
        <f t="shared" si="9"/>
        <v>1686565.0946186339</v>
      </c>
      <c r="Q17" s="124">
        <f t="shared" si="9"/>
        <v>1734501.4769835742</v>
      </c>
      <c r="R17" s="124">
        <f t="shared" si="9"/>
        <v>1783862.6479670948</v>
      </c>
      <c r="S17" s="124">
        <f t="shared" si="9"/>
        <v>1834691.2847134904</v>
      </c>
      <c r="T17" s="124">
        <f t="shared" si="9"/>
        <v>1887031.3443488153</v>
      </c>
      <c r="U17" s="124">
        <f t="shared" si="9"/>
        <v>1940928.1023786697</v>
      </c>
      <c r="V17" s="124">
        <f t="shared" si="9"/>
        <v>3546345.6558344546</v>
      </c>
      <c r="W17" s="124">
        <f t="shared" si="9"/>
        <v>2072006.4583067403</v>
      </c>
      <c r="X17" s="124">
        <f t="shared" si="9"/>
        <v>2130950.8828108809</v>
      </c>
      <c r="Y17" s="124">
        <f t="shared" si="9"/>
        <v>2191647.5612039212</v>
      </c>
      <c r="Z17" s="124">
        <f t="shared" si="9"/>
        <v>2254148.9807082955</v>
      </c>
      <c r="AA17" s="124">
        <f t="shared" si="9"/>
        <v>2318509.2027611425</v>
      </c>
    </row>
    <row r="18" spans="1:28" x14ac:dyDescent="0.25">
      <c r="B18" s="119"/>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row>
    <row r="19" spans="1:28" s="113" customFormat="1" ht="13" x14ac:dyDescent="0.3">
      <c r="A19" s="113" t="s">
        <v>182</v>
      </c>
      <c r="B19" s="125">
        <f t="shared" ref="B19:AA19" si="10">B7-B17</f>
        <v>-848000</v>
      </c>
      <c r="C19" s="126">
        <f t="shared" si="10"/>
        <v>2108111.7579880608</v>
      </c>
      <c r="D19" s="126">
        <f t="shared" si="10"/>
        <v>1895251.2274889247</v>
      </c>
      <c r="E19" s="126">
        <f t="shared" si="10"/>
        <v>1877020.4836263689</v>
      </c>
      <c r="F19" s="126">
        <f t="shared" si="10"/>
        <v>1857867.3760445006</v>
      </c>
      <c r="G19" s="126">
        <f t="shared" si="10"/>
        <v>1837762.3566247227</v>
      </c>
      <c r="H19" s="126">
        <f t="shared" si="10"/>
        <v>1816674.9814188455</v>
      </c>
      <c r="I19" s="126">
        <f t="shared" si="10"/>
        <v>1794573.8837272692</v>
      </c>
      <c r="J19" s="126">
        <f t="shared" si="10"/>
        <v>1771426.7463692748</v>
      </c>
      <c r="K19" s="126">
        <f t="shared" si="10"/>
        <v>1747200.2731211919</v>
      </c>
      <c r="L19" s="126">
        <f t="shared" si="10"/>
        <v>1215832.0571431858</v>
      </c>
      <c r="M19" s="126">
        <f t="shared" si="10"/>
        <v>2332152.1139161284</v>
      </c>
      <c r="N19" s="126">
        <f t="shared" si="10"/>
        <v>2307661.5238813516</v>
      </c>
      <c r="O19" s="126">
        <f t="shared" si="10"/>
        <v>2281963.9403782696</v>
      </c>
      <c r="P19" s="126">
        <f t="shared" si="10"/>
        <v>2255020.7922239983</v>
      </c>
      <c r="Q19" s="126">
        <f t="shared" si="10"/>
        <v>2226792.3392932704</v>
      </c>
      <c r="R19" s="126">
        <f t="shared" si="10"/>
        <v>2197237.6373911332</v>
      </c>
      <c r="S19" s="126">
        <f t="shared" si="10"/>
        <v>2166314.5020715287</v>
      </c>
      <c r="T19" s="126">
        <f t="shared" si="10"/>
        <v>2133979.4713701284</v>
      </c>
      <c r="U19" s="126">
        <f t="shared" si="10"/>
        <v>2100187.7674188684</v>
      </c>
      <c r="V19" s="126">
        <f t="shared" si="10"/>
        <v>1194054.9265297097</v>
      </c>
      <c r="W19" s="126">
        <f t="shared" si="10"/>
        <v>2692096.1269692434</v>
      </c>
      <c r="X19" s="126">
        <f t="shared" si="10"/>
        <v>2656972.2153914827</v>
      </c>
      <c r="Y19" s="126">
        <f t="shared" si="10"/>
        <v>2620215.1524894526</v>
      </c>
      <c r="Z19" s="126">
        <f t="shared" si="10"/>
        <v>2581773.0465535447</v>
      </c>
      <c r="AA19" s="126">
        <f t="shared" si="10"/>
        <v>2541592.4346370054</v>
      </c>
      <c r="AB19" s="116"/>
    </row>
    <row r="20" spans="1:28" x14ac:dyDescent="0.25">
      <c r="B20" s="144"/>
    </row>
    <row r="21" spans="1:28" x14ac:dyDescent="0.25">
      <c r="B21" s="144"/>
      <c r="C21" s="147"/>
    </row>
    <row r="22" spans="1:28" x14ac:dyDescent="0.25">
      <c r="A22" s="54" t="s">
        <v>294</v>
      </c>
      <c r="B22" s="148">
        <v>2025</v>
      </c>
      <c r="C22" s="148">
        <v>2026</v>
      </c>
      <c r="D22" s="148">
        <v>2027</v>
      </c>
      <c r="E22" s="148">
        <v>2028</v>
      </c>
      <c r="F22" s="148">
        <v>2029</v>
      </c>
      <c r="G22" s="148">
        <v>2030</v>
      </c>
      <c r="H22" s="148">
        <v>2031</v>
      </c>
      <c r="I22" s="148">
        <v>2032</v>
      </c>
      <c r="J22" s="148">
        <v>2033</v>
      </c>
      <c r="K22" s="148">
        <v>2034</v>
      </c>
      <c r="L22" s="148">
        <v>2035</v>
      </c>
      <c r="M22" s="148">
        <v>2036</v>
      </c>
      <c r="N22" s="148">
        <v>2037</v>
      </c>
      <c r="O22" s="148">
        <v>2038</v>
      </c>
      <c r="P22" s="148">
        <v>2039</v>
      </c>
      <c r="Q22" s="148">
        <v>2040</v>
      </c>
      <c r="R22" s="148">
        <v>2041</v>
      </c>
      <c r="S22" s="148">
        <v>2042</v>
      </c>
      <c r="T22" s="148">
        <v>2043</v>
      </c>
      <c r="U22" s="148">
        <v>2044</v>
      </c>
      <c r="V22" s="148">
        <v>2045</v>
      </c>
      <c r="W22" s="148">
        <v>2046</v>
      </c>
      <c r="X22" s="148">
        <v>2047</v>
      </c>
      <c r="Y22" s="148">
        <v>2048</v>
      </c>
      <c r="Z22" s="148">
        <v>2049</v>
      </c>
      <c r="AA22" s="148">
        <v>2050</v>
      </c>
    </row>
    <row r="23" spans="1:28" x14ac:dyDescent="0.25">
      <c r="A23" s="54" t="s">
        <v>138</v>
      </c>
      <c r="B23" s="120">
        <f>B7/(1.03^(B$22-2025))</f>
        <v>0</v>
      </c>
      <c r="C23" s="150">
        <f t="shared" ref="C23:AA23" si="11">C7/(1.03^(C22-2025))</f>
        <v>3177153.7911853646</v>
      </c>
      <c r="D23" s="120">
        <f t="shared" si="11"/>
        <v>2909677.5416100146</v>
      </c>
      <c r="E23" s="120">
        <f t="shared" si="11"/>
        <v>2839054.3003088003</v>
      </c>
      <c r="F23" s="120">
        <f t="shared" si="11"/>
        <v>2770145.2153498488</v>
      </c>
      <c r="G23" s="120">
        <f t="shared" si="11"/>
        <v>2702908.6809966969</v>
      </c>
      <c r="H23" s="120">
        <f t="shared" si="11"/>
        <v>2637304.1013608538</v>
      </c>
      <c r="I23" s="120">
        <f t="shared" si="11"/>
        <v>2573291.8658909295</v>
      </c>
      <c r="J23" s="120">
        <f t="shared" si="11"/>
        <v>2510833.3254566835</v>
      </c>
      <c r="K23" s="120">
        <f t="shared" si="11"/>
        <v>2449890.7690135599</v>
      </c>
      <c r="L23" s="120">
        <f t="shared" si="11"/>
        <v>2874977.8308647163</v>
      </c>
      <c r="M23" s="120">
        <f t="shared" si="11"/>
        <v>2805196.8155524652</v>
      </c>
      <c r="N23" s="120">
        <f t="shared" si="11"/>
        <v>2737109.5142041044</v>
      </c>
      <c r="O23" s="120">
        <f t="shared" si="11"/>
        <v>2670674.817257402</v>
      </c>
      <c r="P23" s="120">
        <f t="shared" si="11"/>
        <v>2605852.6129550375</v>
      </c>
      <c r="Q23" s="120">
        <f t="shared" si="11"/>
        <v>2542603.763126031</v>
      </c>
      <c r="R23" s="120">
        <f t="shared" si="11"/>
        <v>2480890.0795550109</v>
      </c>
      <c r="S23" s="120">
        <f t="shared" si="11"/>
        <v>2420674.300925035</v>
      </c>
      <c r="T23" s="120">
        <f t="shared" si="11"/>
        <v>2361920.0703200581</v>
      </c>
      <c r="U23" s="120">
        <f t="shared" si="11"/>
        <v>2304591.9132734546</v>
      </c>
      <c r="V23" s="120">
        <f t="shared" si="11"/>
        <v>2624644.8675858201</v>
      </c>
      <c r="W23" s="120">
        <f t="shared" si="11"/>
        <v>2560939.8950716006</v>
      </c>
      <c r="X23" s="120">
        <f t="shared" si="11"/>
        <v>2498781.1597543289</v>
      </c>
      <c r="Y23" s="120">
        <f t="shared" si="11"/>
        <v>2438131.1316049509</v>
      </c>
      <c r="Z23" s="120">
        <f t="shared" si="11"/>
        <v>2378953.1915174522</v>
      </c>
      <c r="AA23" s="120">
        <f t="shared" si="11"/>
        <v>2321211.6091990666</v>
      </c>
    </row>
    <row r="24" spans="1:28" x14ac:dyDescent="0.25">
      <c r="A24" s="143" t="s">
        <v>181</v>
      </c>
      <c r="B24" s="120">
        <f>B17/(1.03^(B$22-2025))</f>
        <v>848000</v>
      </c>
      <c r="C24" s="120">
        <f t="shared" ref="C24:AA24" si="12">C17/(1.03^(C$22-2025))</f>
        <v>1130443.3465367621</v>
      </c>
      <c r="D24" s="120">
        <f t="shared" si="12"/>
        <v>1123221.4877982277</v>
      </c>
      <c r="E24" s="120">
        <f t="shared" si="12"/>
        <v>1121314.660283095</v>
      </c>
      <c r="F24" s="120">
        <f t="shared" si="12"/>
        <v>1119454.1149892034</v>
      </c>
      <c r="G24" s="120">
        <f t="shared" si="12"/>
        <v>1117638.7285616682</v>
      </c>
      <c r="H24" s="120">
        <f t="shared" si="12"/>
        <v>1115867.4049115002</v>
      </c>
      <c r="I24" s="120">
        <f t="shared" si="12"/>
        <v>1114139.0745538122</v>
      </c>
      <c r="J24" s="120">
        <f t="shared" si="12"/>
        <v>1112452.6939620879</v>
      </c>
      <c r="K24" s="120">
        <f t="shared" si="12"/>
        <v>1110807.2449381235</v>
      </c>
      <c r="L24" s="120">
        <f t="shared" si="12"/>
        <v>1970284.5956081043</v>
      </c>
      <c r="M24" s="120">
        <f t="shared" si="12"/>
        <v>1120400.5081946738</v>
      </c>
      <c r="N24" s="120">
        <f t="shared" si="12"/>
        <v>1118562.1510582683</v>
      </c>
      <c r="O24" s="120">
        <f t="shared" si="12"/>
        <v>1116768.4142407072</v>
      </c>
      <c r="P24" s="120">
        <f t="shared" si="12"/>
        <v>1115018.2147245433</v>
      </c>
      <c r="Q24" s="120">
        <f t="shared" si="12"/>
        <v>1113310.4957791599</v>
      </c>
      <c r="R24" s="120">
        <f t="shared" si="12"/>
        <v>1111644.2263227429</v>
      </c>
      <c r="S24" s="120">
        <f t="shared" si="12"/>
        <v>1110018.4002997333</v>
      </c>
      <c r="T24" s="120">
        <f t="shared" si="12"/>
        <v>1108432.0360733988</v>
      </c>
      <c r="U24" s="120">
        <f t="shared" si="12"/>
        <v>1106884.1758331407</v>
      </c>
      <c r="V24" s="120">
        <f t="shared" si="12"/>
        <v>1963525.6055995743</v>
      </c>
      <c r="W24" s="120">
        <f t="shared" si="12"/>
        <v>1113805.5713416906</v>
      </c>
      <c r="X24" s="120">
        <f t="shared" si="12"/>
        <v>1112127.285488124</v>
      </c>
      <c r="Y24" s="120">
        <f t="shared" si="12"/>
        <v>1110489.7347280912</v>
      </c>
      <c r="Z24" s="120">
        <f t="shared" si="12"/>
        <v>1108891.9303457285</v>
      </c>
      <c r="AA24" s="120">
        <f t="shared" si="12"/>
        <v>1107332.9076231322</v>
      </c>
    </row>
    <row r="25" spans="1:28" x14ac:dyDescent="0.25">
      <c r="A25" s="151" t="s">
        <v>182</v>
      </c>
      <c r="B25" s="120">
        <f>B19/(1.03^(B$22-2025))</f>
        <v>-848000</v>
      </c>
      <c r="C25" s="120">
        <f t="shared" ref="C25:AA25" si="13">C19/(1.03^(C$22-2025))</f>
        <v>2046710.4446486027</v>
      </c>
      <c r="D25" s="120">
        <f t="shared" si="13"/>
        <v>1786456.0538117869</v>
      </c>
      <c r="E25" s="120">
        <f t="shared" si="13"/>
        <v>1717739.6400257053</v>
      </c>
      <c r="F25" s="120">
        <f t="shared" si="13"/>
        <v>1650691.1003606457</v>
      </c>
      <c r="G25" s="120">
        <f t="shared" si="13"/>
        <v>1585269.9524350287</v>
      </c>
      <c r="H25" s="120">
        <f t="shared" si="13"/>
        <v>1521436.6964493536</v>
      </c>
      <c r="I25" s="120">
        <f t="shared" si="13"/>
        <v>1459152.7913371173</v>
      </c>
      <c r="J25" s="120">
        <f t="shared" si="13"/>
        <v>1398380.6314945957</v>
      </c>
      <c r="K25" s="120">
        <f t="shared" si="13"/>
        <v>1339083.5240754364</v>
      </c>
      <c r="L25" s="120">
        <f t="shared" si="13"/>
        <v>904693.23525661195</v>
      </c>
      <c r="M25" s="120">
        <f t="shared" si="13"/>
        <v>1684796.3073577916</v>
      </c>
      <c r="N25" s="120">
        <f t="shared" si="13"/>
        <v>1618547.3631458364</v>
      </c>
      <c r="O25" s="120">
        <f t="shared" si="13"/>
        <v>1553906.4030166951</v>
      </c>
      <c r="P25" s="120">
        <f t="shared" si="13"/>
        <v>1490834.3982304942</v>
      </c>
      <c r="Q25" s="120">
        <f t="shared" si="13"/>
        <v>1429293.2673468711</v>
      </c>
      <c r="R25" s="120">
        <f t="shared" si="13"/>
        <v>1369245.853232268</v>
      </c>
      <c r="S25" s="120">
        <f t="shared" si="13"/>
        <v>1310655.9006253015</v>
      </c>
      <c r="T25" s="120">
        <f t="shared" si="13"/>
        <v>1253488.0342466591</v>
      </c>
      <c r="U25" s="120">
        <f t="shared" si="13"/>
        <v>1197707.7374403137</v>
      </c>
      <c r="V25" s="120">
        <f t="shared" si="13"/>
        <v>661119.26198624587</v>
      </c>
      <c r="W25" s="120">
        <f t="shared" si="13"/>
        <v>1447134.3237299102</v>
      </c>
      <c r="X25" s="120">
        <f>X19/(1.03^(X$22-2025))</f>
        <v>1386653.8742662047</v>
      </c>
      <c r="Y25" s="120">
        <f t="shared" si="13"/>
        <v>1327641.3968768597</v>
      </c>
      <c r="Z25" s="120">
        <f t="shared" si="13"/>
        <v>1270061.2611717235</v>
      </c>
      <c r="AA25" s="120">
        <f t="shared" si="13"/>
        <v>1213878.7015759344</v>
      </c>
    </row>
    <row r="26" spans="1:28" x14ac:dyDescent="0.25">
      <c r="B26" s="144"/>
    </row>
    <row r="27" spans="1:28" ht="25.5" customHeight="1" x14ac:dyDescent="0.3">
      <c r="A27" s="103" t="s">
        <v>248</v>
      </c>
      <c r="B27" s="232" t="s">
        <v>275</v>
      </c>
      <c r="C27" s="232"/>
    </row>
    <row r="28" spans="1:28" x14ac:dyDescent="0.25">
      <c r="A28" s="105" t="s">
        <v>187</v>
      </c>
      <c r="B28" s="154">
        <f>SUM(B23:AA23)</f>
        <v>65197413.163939297</v>
      </c>
      <c r="C28" s="154"/>
    </row>
    <row r="29" spans="1:28" x14ac:dyDescent="0.25">
      <c r="A29" s="105" t="s">
        <v>188</v>
      </c>
      <c r="B29" s="154">
        <f>SUM(B24:AA24)</f>
        <v>30420835.009795289</v>
      </c>
      <c r="C29" s="154"/>
    </row>
    <row r="30" spans="1:28" x14ac:dyDescent="0.25">
      <c r="A30" s="105" t="s">
        <v>183</v>
      </c>
      <c r="B30" s="154">
        <f>SUM(B25:AA25)</f>
        <v>34776578.154143989</v>
      </c>
      <c r="C30" s="154"/>
    </row>
    <row r="31" spans="1:28" x14ac:dyDescent="0.25">
      <c r="B31" s="144"/>
    </row>
    <row r="32" spans="1:28" x14ac:dyDescent="0.25">
      <c r="B32" s="144"/>
    </row>
    <row r="33" spans="2:2" x14ac:dyDescent="0.25">
      <c r="B33" s="144"/>
    </row>
    <row r="34" spans="2:2" x14ac:dyDescent="0.25">
      <c r="B34" s="144"/>
    </row>
    <row r="35" spans="2:2" x14ac:dyDescent="0.25">
      <c r="B35" s="144"/>
    </row>
    <row r="36" spans="2:2" x14ac:dyDescent="0.25">
      <c r="B36" s="144"/>
    </row>
    <row r="37" spans="2:2" x14ac:dyDescent="0.25">
      <c r="B37" s="144"/>
    </row>
    <row r="38" spans="2:2" x14ac:dyDescent="0.25">
      <c r="B38" s="144"/>
    </row>
    <row r="39" spans="2:2" x14ac:dyDescent="0.25">
      <c r="B39" s="144"/>
    </row>
    <row r="40" spans="2:2" x14ac:dyDescent="0.25">
      <c r="B40" s="144"/>
    </row>
    <row r="41" spans="2:2" x14ac:dyDescent="0.25">
      <c r="B41" s="144"/>
    </row>
    <row r="42" spans="2:2" x14ac:dyDescent="0.25">
      <c r="B42" s="144"/>
    </row>
    <row r="43" spans="2:2" x14ac:dyDescent="0.25">
      <c r="B43" s="144"/>
    </row>
    <row r="44" spans="2:2" x14ac:dyDescent="0.25">
      <c r="B44" s="144"/>
    </row>
    <row r="45" spans="2:2" x14ac:dyDescent="0.25">
      <c r="B45" s="144"/>
    </row>
    <row r="46" spans="2:2" x14ac:dyDescent="0.25">
      <c r="B46" s="144"/>
    </row>
    <row r="47" spans="2:2" x14ac:dyDescent="0.25">
      <c r="B47" s="144"/>
    </row>
    <row r="48" spans="2:2" x14ac:dyDescent="0.25">
      <c r="B48" s="144"/>
    </row>
    <row r="49" spans="2:2" x14ac:dyDescent="0.25">
      <c r="B49" s="144"/>
    </row>
    <row r="50" spans="2:2" x14ac:dyDescent="0.25">
      <c r="B50" s="144"/>
    </row>
    <row r="51" spans="2:2" x14ac:dyDescent="0.25">
      <c r="B51" s="144"/>
    </row>
    <row r="52" spans="2:2" x14ac:dyDescent="0.25">
      <c r="B52" s="144"/>
    </row>
    <row r="53" spans="2:2" x14ac:dyDescent="0.25">
      <c r="B53" s="144"/>
    </row>
    <row r="54" spans="2:2" x14ac:dyDescent="0.25">
      <c r="B54" s="144"/>
    </row>
    <row r="55" spans="2:2" x14ac:dyDescent="0.25">
      <c r="B55" s="144"/>
    </row>
    <row r="56" spans="2:2" x14ac:dyDescent="0.25">
      <c r="B56" s="144"/>
    </row>
    <row r="57" spans="2:2" x14ac:dyDescent="0.25">
      <c r="B57" s="144"/>
    </row>
    <row r="58" spans="2:2" x14ac:dyDescent="0.25">
      <c r="B58" s="144"/>
    </row>
    <row r="59" spans="2:2" x14ac:dyDescent="0.25">
      <c r="B59" s="144"/>
    </row>
    <row r="60" spans="2:2" x14ac:dyDescent="0.25">
      <c r="B60" s="144"/>
    </row>
    <row r="61" spans="2:2" x14ac:dyDescent="0.25">
      <c r="B61" s="144"/>
    </row>
    <row r="62" spans="2:2" x14ac:dyDescent="0.25">
      <c r="B62" s="144"/>
    </row>
    <row r="63" spans="2:2" x14ac:dyDescent="0.25">
      <c r="B63" s="144"/>
    </row>
    <row r="64" spans="2:2" x14ac:dyDescent="0.25">
      <c r="B64" s="144"/>
    </row>
    <row r="65" spans="2:2" x14ac:dyDescent="0.25">
      <c r="B65" s="144"/>
    </row>
    <row r="66" spans="2:2" x14ac:dyDescent="0.25">
      <c r="B66" s="144"/>
    </row>
    <row r="67" spans="2:2" x14ac:dyDescent="0.25">
      <c r="B67" s="144"/>
    </row>
    <row r="68" spans="2:2" x14ac:dyDescent="0.25">
      <c r="B68" s="144"/>
    </row>
    <row r="69" spans="2:2" x14ac:dyDescent="0.25">
      <c r="B69" s="144"/>
    </row>
    <row r="70" spans="2:2" x14ac:dyDescent="0.25">
      <c r="B70" s="144"/>
    </row>
    <row r="71" spans="2:2" x14ac:dyDescent="0.25">
      <c r="B71" s="144"/>
    </row>
    <row r="72" spans="2:2" x14ac:dyDescent="0.25">
      <c r="B72" s="144"/>
    </row>
    <row r="73" spans="2:2" x14ac:dyDescent="0.25">
      <c r="B73" s="144"/>
    </row>
    <row r="74" spans="2:2" x14ac:dyDescent="0.25">
      <c r="B74" s="144"/>
    </row>
    <row r="75" spans="2:2" x14ac:dyDescent="0.25">
      <c r="B75" s="144"/>
    </row>
    <row r="76" spans="2:2" x14ac:dyDescent="0.25">
      <c r="B76" s="144"/>
    </row>
    <row r="77" spans="2:2" x14ac:dyDescent="0.25">
      <c r="B77" s="144"/>
    </row>
    <row r="78" spans="2:2" x14ac:dyDescent="0.25">
      <c r="B78" s="144"/>
    </row>
    <row r="79" spans="2:2" x14ac:dyDescent="0.25">
      <c r="B79" s="144"/>
    </row>
    <row r="80" spans="2:2" x14ac:dyDescent="0.25">
      <c r="B80" s="144"/>
    </row>
    <row r="81" spans="2:2" x14ac:dyDescent="0.25">
      <c r="B81" s="144"/>
    </row>
    <row r="82" spans="2:2" x14ac:dyDescent="0.25">
      <c r="B82" s="144"/>
    </row>
    <row r="83" spans="2:2" x14ac:dyDescent="0.25">
      <c r="B83" s="144"/>
    </row>
    <row r="84" spans="2:2" x14ac:dyDescent="0.25">
      <c r="B84" s="144"/>
    </row>
    <row r="85" spans="2:2" x14ac:dyDescent="0.25">
      <c r="B85" s="144"/>
    </row>
    <row r="86" spans="2:2" x14ac:dyDescent="0.25">
      <c r="B86" s="144"/>
    </row>
    <row r="87" spans="2:2" x14ac:dyDescent="0.25">
      <c r="B87" s="144"/>
    </row>
    <row r="88" spans="2:2" x14ac:dyDescent="0.25">
      <c r="B88" s="144"/>
    </row>
    <row r="89" spans="2:2" x14ac:dyDescent="0.25">
      <c r="B89" s="144"/>
    </row>
    <row r="90" spans="2:2" x14ac:dyDescent="0.25">
      <c r="B90" s="144"/>
    </row>
    <row r="91" spans="2:2" x14ac:dyDescent="0.25">
      <c r="B91" s="144"/>
    </row>
    <row r="92" spans="2:2" x14ac:dyDescent="0.25">
      <c r="B92" s="144"/>
    </row>
    <row r="93" spans="2:2" x14ac:dyDescent="0.25">
      <c r="B93" s="144"/>
    </row>
    <row r="94" spans="2:2" x14ac:dyDescent="0.25">
      <c r="B94" s="144"/>
    </row>
    <row r="95" spans="2:2" x14ac:dyDescent="0.25">
      <c r="B95" s="144"/>
    </row>
    <row r="96" spans="2:2" x14ac:dyDescent="0.25">
      <c r="B96" s="144"/>
    </row>
    <row r="97" spans="2:2" x14ac:dyDescent="0.25">
      <c r="B97" s="144"/>
    </row>
    <row r="98" spans="2:2" x14ac:dyDescent="0.25">
      <c r="B98" s="144"/>
    </row>
    <row r="99" spans="2:2" x14ac:dyDescent="0.25">
      <c r="B99" s="144"/>
    </row>
    <row r="100" spans="2:2" x14ac:dyDescent="0.25">
      <c r="B100" s="144"/>
    </row>
    <row r="101" spans="2:2" x14ac:dyDescent="0.25">
      <c r="B101" s="144"/>
    </row>
  </sheetData>
  <mergeCells count="1">
    <mergeCell ref="B27:C27"/>
  </mergeCells>
  <pageMargins left="0.7" right="0.7" top="0.75" bottom="0.75" header="0.3" footer="0.3"/>
  <pageSetup orientation="landscape" horizontalDpi="3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270C-8E4D-417A-B737-EA30E87FDA63}">
  <sheetPr>
    <tabColor rgb="FFC00000"/>
  </sheetPr>
  <dimension ref="A1:AB101"/>
  <sheetViews>
    <sheetView workbookViewId="0">
      <selection activeCell="C13" sqref="C13"/>
    </sheetView>
  </sheetViews>
  <sheetFormatPr defaultColWidth="9.1796875" defaultRowHeight="12.5" x14ac:dyDescent="0.25"/>
  <cols>
    <col min="1" max="1" width="42.453125" style="54" bestFit="1" customWidth="1"/>
    <col min="2" max="2" width="11.26953125" style="149" customWidth="1"/>
    <col min="3" max="27" width="11.26953125" style="144" customWidth="1"/>
    <col min="28" max="28" width="15.54296875" style="54" bestFit="1" customWidth="1"/>
    <col min="29" max="16384" width="9.1796875" style="54"/>
  </cols>
  <sheetData>
    <row r="1" spans="1:27" x14ac:dyDescent="0.25">
      <c r="B1" s="144"/>
      <c r="C1" s="144" t="s">
        <v>293</v>
      </c>
      <c r="D1" s="144" t="s">
        <v>293</v>
      </c>
      <c r="E1" s="144" t="s">
        <v>293</v>
      </c>
      <c r="F1" s="144" t="s">
        <v>262</v>
      </c>
      <c r="G1" s="144" t="s">
        <v>262</v>
      </c>
      <c r="H1" s="144" t="s">
        <v>262</v>
      </c>
      <c r="I1" s="144" t="s">
        <v>262</v>
      </c>
      <c r="J1" s="144" t="s">
        <v>262</v>
      </c>
      <c r="K1" s="144" t="s">
        <v>262</v>
      </c>
      <c r="L1" s="144" t="s">
        <v>293</v>
      </c>
      <c r="M1" s="144" t="s">
        <v>262</v>
      </c>
      <c r="N1" s="144" t="s">
        <v>262</v>
      </c>
      <c r="O1" s="144" t="s">
        <v>262</v>
      </c>
      <c r="P1" s="144" t="s">
        <v>262</v>
      </c>
      <c r="Q1" s="144" t="s">
        <v>262</v>
      </c>
      <c r="R1" s="144" t="s">
        <v>262</v>
      </c>
      <c r="S1" s="144" t="s">
        <v>262</v>
      </c>
      <c r="T1" s="144" t="s">
        <v>262</v>
      </c>
      <c r="U1" s="144" t="s">
        <v>262</v>
      </c>
      <c r="V1" s="144" t="s">
        <v>293</v>
      </c>
      <c r="W1" s="144" t="s">
        <v>262</v>
      </c>
      <c r="X1" s="144" t="s">
        <v>262</v>
      </c>
      <c r="Y1" s="144" t="s">
        <v>262</v>
      </c>
      <c r="Z1" s="144" t="s">
        <v>262</v>
      </c>
      <c r="AA1" s="144" t="s">
        <v>262</v>
      </c>
    </row>
    <row r="2" spans="1:27" x14ac:dyDescent="0.25">
      <c r="B2" s="144"/>
    </row>
    <row r="3" spans="1:27" s="115" customFormat="1" ht="12" customHeight="1" x14ac:dyDescent="0.3">
      <c r="A3" s="114" t="s">
        <v>292</v>
      </c>
      <c r="B3" s="145">
        <v>2025</v>
      </c>
      <c r="C3" s="146">
        <v>2026</v>
      </c>
      <c r="D3" s="146">
        <v>2027</v>
      </c>
      <c r="E3" s="146">
        <v>2028</v>
      </c>
      <c r="F3" s="146">
        <v>2029</v>
      </c>
      <c r="G3" s="146">
        <v>2030</v>
      </c>
      <c r="H3" s="146">
        <v>2031</v>
      </c>
      <c r="I3" s="146">
        <v>2032</v>
      </c>
      <c r="J3" s="146">
        <v>2033</v>
      </c>
      <c r="K3" s="146">
        <v>2034</v>
      </c>
      <c r="L3" s="146">
        <v>2035</v>
      </c>
      <c r="M3" s="146">
        <v>2036</v>
      </c>
      <c r="N3" s="146">
        <v>2037</v>
      </c>
      <c r="O3" s="146">
        <v>2038</v>
      </c>
      <c r="P3" s="146">
        <v>2039</v>
      </c>
      <c r="Q3" s="146">
        <v>2040</v>
      </c>
      <c r="R3" s="146">
        <v>2041</v>
      </c>
      <c r="S3" s="146">
        <v>2042</v>
      </c>
      <c r="T3" s="146">
        <v>2043</v>
      </c>
      <c r="U3" s="146">
        <v>2044</v>
      </c>
      <c r="V3" s="146">
        <v>2045</v>
      </c>
      <c r="W3" s="146">
        <v>2046</v>
      </c>
      <c r="X3" s="146">
        <v>2047</v>
      </c>
      <c r="Y3" s="146">
        <v>2048</v>
      </c>
      <c r="Z3" s="146">
        <v>2049</v>
      </c>
      <c r="AA3" s="146">
        <v>2050</v>
      </c>
    </row>
    <row r="4" spans="1:27" s="108" customFormat="1" ht="13" x14ac:dyDescent="0.3">
      <c r="A4" s="107" t="s">
        <v>138</v>
      </c>
      <c r="B4" s="117"/>
      <c r="C4" s="118"/>
      <c r="D4" s="118"/>
      <c r="E4" s="118"/>
      <c r="F4" s="118"/>
      <c r="G4" s="118"/>
      <c r="H4" s="118"/>
      <c r="I4" s="118"/>
      <c r="J4" s="118"/>
      <c r="K4" s="118"/>
      <c r="L4" s="118"/>
      <c r="M4" s="118"/>
      <c r="N4" s="118"/>
      <c r="O4" s="118"/>
      <c r="P4" s="118"/>
      <c r="Q4" s="118"/>
      <c r="R4" s="118"/>
      <c r="S4" s="118"/>
      <c r="T4" s="118"/>
      <c r="U4" s="118"/>
      <c r="V4" s="118"/>
      <c r="W4" s="118"/>
      <c r="X4" s="118"/>
      <c r="Y4" s="118"/>
      <c r="Z4" s="118"/>
      <c r="AA4" s="118"/>
    </row>
    <row r="5" spans="1:27" s="108" customFormat="1" x14ac:dyDescent="0.25">
      <c r="A5" s="138" t="s">
        <v>280</v>
      </c>
      <c r="B5" s="117">
        <v>0</v>
      </c>
      <c r="C5" s="118">
        <f>('Space &amp; Elasticitiy'!L5+'Space &amp; Elasticitiy'!I12)*(1.005^(C$3-2024))</f>
        <v>2822468.4049209259</v>
      </c>
      <c r="D5" s="118">
        <f>('Space &amp; Elasticitiy'!L19+'Space &amp; Elasticitiy'!I12)*(1.005^(D$3-2024))</f>
        <v>2634626.9038940645</v>
      </c>
      <c r="E5" s="118">
        <f>$D5*(1.005^(E$3-2027))</f>
        <v>2647800.0384135344</v>
      </c>
      <c r="F5" s="118">
        <f t="shared" ref="F5:K5" si="0">$D5*(1.005^(F$3-2027))</f>
        <v>2661039.038605602</v>
      </c>
      <c r="G5" s="118">
        <f t="shared" si="0"/>
        <v>2674344.2337986296</v>
      </c>
      <c r="H5" s="118">
        <f t="shared" si="0"/>
        <v>2687715.9549676217</v>
      </c>
      <c r="I5" s="118">
        <f t="shared" si="0"/>
        <v>2701154.5347424597</v>
      </c>
      <c r="J5" s="118">
        <f t="shared" si="0"/>
        <v>2714660.3074161713</v>
      </c>
      <c r="K5" s="118">
        <f t="shared" si="0"/>
        <v>2728233.608953252</v>
      </c>
      <c r="L5" s="118">
        <f>$K5*(1-0.04*1/2)*(1+1/2)*(1.005^(L$3-2034))</f>
        <v>4030555.9221870862</v>
      </c>
      <c r="M5" s="118">
        <f t="shared" ref="M5:U5" si="1">$K5*(1-0.04*1/2)*(1+1/2)*(1.005^(M$3-2034))</f>
        <v>4050708.7017980209</v>
      </c>
      <c r="N5" s="118">
        <f t="shared" si="1"/>
        <v>4070962.2453070106</v>
      </c>
      <c r="O5" s="118">
        <f t="shared" si="1"/>
        <v>4091317.0565335448</v>
      </c>
      <c r="P5" s="118">
        <f t="shared" si="1"/>
        <v>4111773.6418162114</v>
      </c>
      <c r="Q5" s="118">
        <f t="shared" si="1"/>
        <v>4132332.5100252917</v>
      </c>
      <c r="R5" s="118">
        <f t="shared" si="1"/>
        <v>4152994.1725754179</v>
      </c>
      <c r="S5" s="118">
        <f t="shared" si="1"/>
        <v>4173759.1434382945</v>
      </c>
      <c r="T5" s="118">
        <f t="shared" si="1"/>
        <v>4194627.9391554855</v>
      </c>
      <c r="U5" s="118">
        <f t="shared" si="1"/>
        <v>4215601.078851263</v>
      </c>
      <c r="V5" s="118">
        <f>$U5*(1-0.04*1/3)*(1+1/3)*(1.005^(V$3-2044))</f>
        <v>5573586.7063852167</v>
      </c>
      <c r="W5" s="118">
        <f t="shared" ref="W5:AA5" si="2">$U5*(1-0.04*1/3)*(1+1/3)*(1.005^(W$3-2044))</f>
        <v>5601454.6399171418</v>
      </c>
      <c r="X5" s="118">
        <f t="shared" si="2"/>
        <v>5629461.913116727</v>
      </c>
      <c r="Y5" s="118">
        <f t="shared" si="2"/>
        <v>5657609.2226823084</v>
      </c>
      <c r="Z5" s="118">
        <f t="shared" si="2"/>
        <v>5685897.2687957194</v>
      </c>
      <c r="AA5" s="118">
        <f t="shared" si="2"/>
        <v>5714326.7551396973</v>
      </c>
    </row>
    <row r="6" spans="1:27" s="108" customFormat="1" x14ac:dyDescent="0.25">
      <c r="A6" s="138" t="s">
        <v>299</v>
      </c>
      <c r="B6" s="117">
        <v>0</v>
      </c>
      <c r="C6" s="118">
        <v>450000</v>
      </c>
      <c r="D6" s="118">
        <f>$C$6*(1.005^(D$3-2026))</f>
        <v>452249.99999999994</v>
      </c>
      <c r="E6" s="118">
        <f t="shared" ref="E6:AA6" si="3">$C$6*(1.005^(E$3-2026))</f>
        <v>454511.24999999988</v>
      </c>
      <c r="F6" s="118">
        <f t="shared" si="3"/>
        <v>456783.80624999985</v>
      </c>
      <c r="G6" s="118">
        <f t="shared" si="3"/>
        <v>459067.72528124973</v>
      </c>
      <c r="H6" s="118">
        <f t="shared" si="3"/>
        <v>461363.06390765589</v>
      </c>
      <c r="I6" s="118">
        <f t="shared" si="3"/>
        <v>463669.87922719406</v>
      </c>
      <c r="J6" s="118">
        <f t="shared" si="3"/>
        <v>465988.22862333001</v>
      </c>
      <c r="K6" s="118">
        <f t="shared" si="3"/>
        <v>468318.16976644658</v>
      </c>
      <c r="L6" s="118">
        <f t="shared" si="3"/>
        <v>470659.76061527879</v>
      </c>
      <c r="M6" s="118">
        <f t="shared" si="3"/>
        <v>473013.05941835511</v>
      </c>
      <c r="N6" s="118">
        <f t="shared" si="3"/>
        <v>475378.12471544684</v>
      </c>
      <c r="O6" s="118">
        <f t="shared" si="3"/>
        <v>477755.0153390239</v>
      </c>
      <c r="P6" s="118">
        <f t="shared" si="3"/>
        <v>480143.79041571904</v>
      </c>
      <c r="Q6" s="118">
        <f t="shared" si="3"/>
        <v>482544.50936779752</v>
      </c>
      <c r="R6" s="118">
        <f t="shared" si="3"/>
        <v>484957.23191463639</v>
      </c>
      <c r="S6" s="118">
        <f t="shared" si="3"/>
        <v>487382.01807420951</v>
      </c>
      <c r="T6" s="118">
        <f t="shared" si="3"/>
        <v>489818.92816458055</v>
      </c>
      <c r="U6" s="118">
        <f t="shared" si="3"/>
        <v>492268.02280540328</v>
      </c>
      <c r="V6" s="118">
        <f t="shared" si="3"/>
        <v>494729.36291943025</v>
      </c>
      <c r="W6" s="118">
        <f t="shared" si="3"/>
        <v>497203.00973402738</v>
      </c>
      <c r="X6" s="118">
        <f t="shared" si="3"/>
        <v>499689.02478269738</v>
      </c>
      <c r="Y6" s="118">
        <f t="shared" si="3"/>
        <v>502187.46990661079</v>
      </c>
      <c r="Z6" s="118">
        <f t="shared" si="3"/>
        <v>504698.40725614375</v>
      </c>
      <c r="AA6" s="118">
        <f t="shared" si="3"/>
        <v>507221.8992924245</v>
      </c>
    </row>
    <row r="7" spans="1:27" s="107" customFormat="1" ht="13" x14ac:dyDescent="0.3">
      <c r="A7" s="107" t="s">
        <v>281</v>
      </c>
      <c r="B7" s="140">
        <f>SUM(B5:B6)</f>
        <v>0</v>
      </c>
      <c r="C7" s="140">
        <f>SUM(C5:C6)</f>
        <v>3272468.4049209259</v>
      </c>
      <c r="D7" s="140">
        <f t="shared" ref="D7:AA7" si="4">SUM(D5:D6)</f>
        <v>3086876.9038940645</v>
      </c>
      <c r="E7" s="140">
        <f t="shared" si="4"/>
        <v>3102311.2884135344</v>
      </c>
      <c r="F7" s="140">
        <f t="shared" si="4"/>
        <v>3117822.8448556019</v>
      </c>
      <c r="G7" s="140">
        <f t="shared" si="4"/>
        <v>3133411.9590798793</v>
      </c>
      <c r="H7" s="140">
        <f t="shared" si="4"/>
        <v>3149079.0188752776</v>
      </c>
      <c r="I7" s="140">
        <f t="shared" si="4"/>
        <v>3164824.4139696537</v>
      </c>
      <c r="J7" s="140">
        <f t="shared" si="4"/>
        <v>3180648.5360395014</v>
      </c>
      <c r="K7" s="140">
        <f t="shared" si="4"/>
        <v>3196551.7787196985</v>
      </c>
      <c r="L7" s="140">
        <f t="shared" si="4"/>
        <v>4501215.6828023652</v>
      </c>
      <c r="M7" s="140">
        <f t="shared" si="4"/>
        <v>4523721.761216376</v>
      </c>
      <c r="N7" s="140">
        <f t="shared" si="4"/>
        <v>4546340.3700224571</v>
      </c>
      <c r="O7" s="140">
        <f t="shared" si="4"/>
        <v>4569072.0718725687</v>
      </c>
      <c r="P7" s="140">
        <f t="shared" si="4"/>
        <v>4591917.4322319301</v>
      </c>
      <c r="Q7" s="140">
        <f t="shared" si="4"/>
        <v>4614877.0193930892</v>
      </c>
      <c r="R7" s="140">
        <f t="shared" si="4"/>
        <v>4637951.4044900546</v>
      </c>
      <c r="S7" s="140">
        <f t="shared" si="4"/>
        <v>4661141.1615125043</v>
      </c>
      <c r="T7" s="140">
        <f t="shared" si="4"/>
        <v>4684446.8673200663</v>
      </c>
      <c r="U7" s="140">
        <f t="shared" si="4"/>
        <v>4707869.101656666</v>
      </c>
      <c r="V7" s="140">
        <f t="shared" si="4"/>
        <v>6068316.0693046469</v>
      </c>
      <c r="W7" s="140">
        <f t="shared" si="4"/>
        <v>6098657.6496511688</v>
      </c>
      <c r="X7" s="140">
        <f t="shared" si="4"/>
        <v>6129150.9378994247</v>
      </c>
      <c r="Y7" s="140">
        <f t="shared" si="4"/>
        <v>6159796.6925889188</v>
      </c>
      <c r="Z7" s="140">
        <f t="shared" si="4"/>
        <v>6190595.6760518635</v>
      </c>
      <c r="AA7" s="140">
        <f t="shared" si="4"/>
        <v>6221548.6544321217</v>
      </c>
    </row>
    <row r="8" spans="1:27" x14ac:dyDescent="0.25">
      <c r="B8" s="119"/>
      <c r="C8" s="120"/>
      <c r="D8" s="120"/>
      <c r="E8" s="120"/>
      <c r="F8" s="120"/>
      <c r="G8" s="120"/>
      <c r="H8" s="120"/>
      <c r="I8" s="120"/>
      <c r="J8" s="120"/>
      <c r="K8" s="120"/>
      <c r="L8" s="120"/>
      <c r="M8" s="120"/>
      <c r="N8" s="120"/>
      <c r="O8" s="120"/>
      <c r="P8" s="120"/>
      <c r="Q8" s="120"/>
      <c r="R8" s="120"/>
      <c r="S8" s="120"/>
      <c r="T8" s="120"/>
      <c r="U8" s="120"/>
      <c r="V8" s="120"/>
      <c r="W8" s="120"/>
      <c r="X8" s="120"/>
      <c r="Y8" s="120"/>
      <c r="Z8" s="120"/>
      <c r="AA8" s="120"/>
    </row>
    <row r="9" spans="1:27" s="110" customFormat="1" ht="13" x14ac:dyDescent="0.3">
      <c r="A9" s="109" t="s">
        <v>181</v>
      </c>
      <c r="B9" s="121"/>
      <c r="C9" s="122"/>
      <c r="D9" s="122"/>
      <c r="E9" s="122"/>
      <c r="F9" s="122"/>
      <c r="G9" s="122"/>
      <c r="H9" s="122"/>
      <c r="I9" s="122"/>
      <c r="J9" s="122"/>
      <c r="K9" s="122"/>
      <c r="L9" s="122"/>
      <c r="M9" s="122"/>
      <c r="N9" s="122"/>
      <c r="O9" s="122"/>
      <c r="P9" s="122"/>
      <c r="Q9" s="122"/>
      <c r="R9" s="122"/>
      <c r="S9" s="122"/>
      <c r="T9" s="122"/>
      <c r="U9" s="122"/>
      <c r="V9" s="122"/>
      <c r="W9" s="122"/>
      <c r="X9" s="122"/>
      <c r="Y9" s="122"/>
      <c r="Z9" s="122"/>
      <c r="AA9" s="122"/>
    </row>
    <row r="10" spans="1:27" s="110" customFormat="1" x14ac:dyDescent="0.25">
      <c r="A10" s="111" t="s">
        <v>320</v>
      </c>
      <c r="B10" s="121">
        <f>56*10000</f>
        <v>560000</v>
      </c>
      <c r="C10" s="122">
        <v>0</v>
      </c>
      <c r="D10" s="122">
        <v>0</v>
      </c>
      <c r="E10" s="122">
        <v>0</v>
      </c>
      <c r="F10" s="122">
        <v>0</v>
      </c>
      <c r="G10" s="122">
        <v>0</v>
      </c>
      <c r="H10" s="122">
        <v>0</v>
      </c>
      <c r="I10" s="122">
        <v>0</v>
      </c>
      <c r="J10" s="122">
        <v>0</v>
      </c>
      <c r="K10" s="122">
        <v>0</v>
      </c>
      <c r="L10" s="122">
        <f>$B10*(1.03^(L$3-$B$3))</f>
        <v>752593.1724327082</v>
      </c>
      <c r="M10" s="122">
        <v>0</v>
      </c>
      <c r="N10" s="122">
        <v>0</v>
      </c>
      <c r="O10" s="122">
        <v>0</v>
      </c>
      <c r="P10" s="122">
        <v>0</v>
      </c>
      <c r="Q10" s="122">
        <v>0</v>
      </c>
      <c r="R10" s="122">
        <v>0</v>
      </c>
      <c r="S10" s="122">
        <v>0</v>
      </c>
      <c r="T10" s="122">
        <v>0</v>
      </c>
      <c r="U10" s="122">
        <v>0</v>
      </c>
      <c r="V10" s="122">
        <f>$B10*(1.03^(V$3-$B$3))</f>
        <v>1011422.2914148715</v>
      </c>
      <c r="W10" s="122">
        <v>0</v>
      </c>
      <c r="X10" s="122">
        <v>0</v>
      </c>
      <c r="Y10" s="122">
        <v>0</v>
      </c>
      <c r="Z10" s="122">
        <v>0</v>
      </c>
      <c r="AA10" s="122">
        <v>0</v>
      </c>
    </row>
    <row r="11" spans="1:27" s="110" customFormat="1" x14ac:dyDescent="0.25">
      <c r="A11" s="111" t="s">
        <v>155</v>
      </c>
      <c r="B11" s="121">
        <f>176*1000</f>
        <v>176000</v>
      </c>
      <c r="C11" s="122">
        <v>0</v>
      </c>
      <c r="D11" s="122">
        <v>0</v>
      </c>
      <c r="E11" s="122">
        <v>0</v>
      </c>
      <c r="F11" s="122">
        <v>0</v>
      </c>
      <c r="G11" s="122">
        <v>0</v>
      </c>
      <c r="H11" s="122">
        <v>0</v>
      </c>
      <c r="I11" s="122">
        <v>0</v>
      </c>
      <c r="J11" s="122">
        <v>0</v>
      </c>
      <c r="K11" s="122">
        <v>0</v>
      </c>
      <c r="L11" s="122">
        <f t="shared" ref="L11:L12" si="5">$B11*(1.03^(L$3-$B$3))</f>
        <v>236529.28276456543</v>
      </c>
      <c r="M11" s="122">
        <v>0</v>
      </c>
      <c r="N11" s="122">
        <v>0</v>
      </c>
      <c r="O11" s="122">
        <v>0</v>
      </c>
      <c r="P11" s="122">
        <v>0</v>
      </c>
      <c r="Q11" s="122">
        <v>0</v>
      </c>
      <c r="R11" s="122">
        <v>0</v>
      </c>
      <c r="S11" s="122">
        <v>0</v>
      </c>
      <c r="T11" s="122">
        <v>0</v>
      </c>
      <c r="U11" s="122">
        <v>0</v>
      </c>
      <c r="V11" s="122">
        <f t="shared" ref="V11:V12" si="6">$B11*(1.03^(V$3-$B$3))</f>
        <v>317875.57730181672</v>
      </c>
      <c r="W11" s="122">
        <v>0</v>
      </c>
      <c r="X11" s="122">
        <v>0</v>
      </c>
      <c r="Y11" s="122">
        <v>0</v>
      </c>
      <c r="Z11" s="122">
        <v>0</v>
      </c>
      <c r="AA11" s="122">
        <v>0</v>
      </c>
    </row>
    <row r="12" spans="1:27" s="110" customFormat="1" x14ac:dyDescent="0.25">
      <c r="A12" s="111" t="s">
        <v>154</v>
      </c>
      <c r="B12" s="121">
        <f>56*2000</f>
        <v>112000</v>
      </c>
      <c r="C12" s="122">
        <v>0</v>
      </c>
      <c r="D12" s="122">
        <v>0</v>
      </c>
      <c r="E12" s="122">
        <v>0</v>
      </c>
      <c r="F12" s="122">
        <v>0</v>
      </c>
      <c r="G12" s="122">
        <v>0</v>
      </c>
      <c r="H12" s="122">
        <v>0</v>
      </c>
      <c r="I12" s="122">
        <v>0</v>
      </c>
      <c r="J12" s="122">
        <v>0</v>
      </c>
      <c r="K12" s="122">
        <v>0</v>
      </c>
      <c r="L12" s="122">
        <f t="shared" si="5"/>
        <v>150518.63448654165</v>
      </c>
      <c r="M12" s="122">
        <v>0</v>
      </c>
      <c r="N12" s="122">
        <v>0</v>
      </c>
      <c r="O12" s="122">
        <v>0</v>
      </c>
      <c r="P12" s="122">
        <v>0</v>
      </c>
      <c r="Q12" s="122">
        <v>0</v>
      </c>
      <c r="R12" s="122">
        <v>0</v>
      </c>
      <c r="S12" s="122">
        <v>0</v>
      </c>
      <c r="T12" s="122">
        <v>0</v>
      </c>
      <c r="U12" s="122">
        <v>0</v>
      </c>
      <c r="V12" s="122">
        <f t="shared" si="6"/>
        <v>202284.45828297429</v>
      </c>
      <c r="W12" s="122">
        <v>0</v>
      </c>
      <c r="X12" s="122">
        <v>0</v>
      </c>
      <c r="Y12" s="122">
        <v>0</v>
      </c>
      <c r="Z12" s="122">
        <v>0</v>
      </c>
      <c r="AA12" s="122">
        <v>0</v>
      </c>
    </row>
    <row r="13" spans="1:27" s="110" customFormat="1" x14ac:dyDescent="0.25">
      <c r="A13" s="111" t="s">
        <v>279</v>
      </c>
      <c r="B13" s="121">
        <v>0</v>
      </c>
      <c r="C13" s="122">
        <v>750000</v>
      </c>
      <c r="D13" s="122">
        <f>$C13*(1.03^(D$3-$C$3))</f>
        <v>772500</v>
      </c>
      <c r="E13" s="122">
        <f t="shared" ref="E13:AA16" si="7">$C13*(1.03^(E$3-$C$3))</f>
        <v>795675</v>
      </c>
      <c r="F13" s="122">
        <f t="shared" si="7"/>
        <v>819545.25</v>
      </c>
      <c r="G13" s="122">
        <f t="shared" si="7"/>
        <v>844131.60749999993</v>
      </c>
      <c r="H13" s="122">
        <f t="shared" si="7"/>
        <v>869455.55572499987</v>
      </c>
      <c r="I13" s="122">
        <f t="shared" si="7"/>
        <v>895539.22239674989</v>
      </c>
      <c r="J13" s="122">
        <f t="shared" si="7"/>
        <v>922405.39906865254</v>
      </c>
      <c r="K13" s="122">
        <f t="shared" si="7"/>
        <v>950077.56104071194</v>
      </c>
      <c r="L13" s="122">
        <f t="shared" si="7"/>
        <v>978579.88787193329</v>
      </c>
      <c r="M13" s="122">
        <f t="shared" si="7"/>
        <v>1007937.2845080913</v>
      </c>
      <c r="N13" s="122">
        <f t="shared" si="7"/>
        <v>1038175.4030433341</v>
      </c>
      <c r="O13" s="122">
        <f t="shared" si="7"/>
        <v>1069320.6651346339</v>
      </c>
      <c r="P13" s="122">
        <f t="shared" si="7"/>
        <v>1101400.285088673</v>
      </c>
      <c r="Q13" s="122">
        <f t="shared" si="7"/>
        <v>1134442.2936413332</v>
      </c>
      <c r="R13" s="122">
        <f t="shared" si="7"/>
        <v>1168475.5624505733</v>
      </c>
      <c r="S13" s="122">
        <f t="shared" si="7"/>
        <v>1203529.8293240904</v>
      </c>
      <c r="T13" s="122">
        <f t="shared" si="7"/>
        <v>1239635.7242038131</v>
      </c>
      <c r="U13" s="122">
        <f t="shared" si="7"/>
        <v>1276824.7959299274</v>
      </c>
      <c r="V13" s="122">
        <f t="shared" si="7"/>
        <v>1315129.5398078251</v>
      </c>
      <c r="W13" s="122">
        <f t="shared" si="7"/>
        <v>1354583.4260020598</v>
      </c>
      <c r="X13" s="122">
        <f t="shared" si="7"/>
        <v>1395220.9287821215</v>
      </c>
      <c r="Y13" s="122">
        <f t="shared" si="7"/>
        <v>1437077.5566455855</v>
      </c>
      <c r="Z13" s="122">
        <f t="shared" si="7"/>
        <v>1480189.8833449529</v>
      </c>
      <c r="AA13" s="122">
        <f t="shared" si="7"/>
        <v>1524595.5798453013</v>
      </c>
    </row>
    <row r="14" spans="1:27" s="110" customFormat="1" x14ac:dyDescent="0.25">
      <c r="A14" s="111" t="s">
        <v>282</v>
      </c>
      <c r="B14" s="121">
        <v>0</v>
      </c>
      <c r="C14" s="122">
        <v>76000</v>
      </c>
      <c r="D14" s="122">
        <f>$C14*(1.03^(D$3-$C$3))</f>
        <v>78280</v>
      </c>
      <c r="E14" s="122">
        <f t="shared" si="7"/>
        <v>80628.399999999994</v>
      </c>
      <c r="F14" s="122">
        <f t="shared" si="7"/>
        <v>83047.251999999993</v>
      </c>
      <c r="G14" s="122">
        <f t="shared" si="7"/>
        <v>85538.669559999995</v>
      </c>
      <c r="H14" s="122">
        <f t="shared" si="7"/>
        <v>88104.82964679999</v>
      </c>
      <c r="I14" s="122">
        <f t="shared" si="7"/>
        <v>90747.974536203998</v>
      </c>
      <c r="J14" s="122">
        <f t="shared" si="7"/>
        <v>93470.413772290121</v>
      </c>
      <c r="K14" s="122">
        <f t="shared" si="7"/>
        <v>96274.526185458817</v>
      </c>
      <c r="L14" s="122">
        <f t="shared" si="7"/>
        <v>99162.761971022584</v>
      </c>
      <c r="M14" s="122">
        <f t="shared" si="7"/>
        <v>102137.64483015325</v>
      </c>
      <c r="N14" s="122">
        <f>$C14*(1.03^(N$3-$C$3))</f>
        <v>105201.77417505786</v>
      </c>
      <c r="O14" s="122">
        <f t="shared" si="7"/>
        <v>108357.82740030957</v>
      </c>
      <c r="P14" s="122">
        <f t="shared" si="7"/>
        <v>111608.56222231885</v>
      </c>
      <c r="Q14" s="122">
        <f t="shared" si="7"/>
        <v>114956.81908898844</v>
      </c>
      <c r="R14" s="122">
        <f t="shared" si="7"/>
        <v>118405.5236616581</v>
      </c>
      <c r="S14" s="122">
        <f t="shared" si="7"/>
        <v>121957.68937150782</v>
      </c>
      <c r="T14" s="122">
        <f t="shared" si="7"/>
        <v>125616.42005265305</v>
      </c>
      <c r="U14" s="122">
        <f t="shared" si="7"/>
        <v>129384.91265423264</v>
      </c>
      <c r="V14" s="122">
        <f t="shared" si="7"/>
        <v>133266.46003385962</v>
      </c>
      <c r="W14" s="122">
        <f t="shared" si="7"/>
        <v>137264.4538348754</v>
      </c>
      <c r="X14" s="122">
        <f t="shared" si="7"/>
        <v>141382.38744992166</v>
      </c>
      <c r="Y14" s="122">
        <f t="shared" si="7"/>
        <v>145623.85907341933</v>
      </c>
      <c r="Z14" s="122">
        <f t="shared" si="7"/>
        <v>149992.57484562192</v>
      </c>
      <c r="AA14" s="122">
        <f t="shared" si="7"/>
        <v>154492.35209099055</v>
      </c>
    </row>
    <row r="15" spans="1:27" s="110" customFormat="1" x14ac:dyDescent="0.25">
      <c r="A15" s="111" t="s">
        <v>327</v>
      </c>
      <c r="B15" s="121">
        <v>0</v>
      </c>
      <c r="C15" s="122">
        <f>C7*0.03*0.9</f>
        <v>88356.646932864998</v>
      </c>
      <c r="D15" s="122">
        <f t="shared" ref="D15:AA15" si="8">D7*0.03*0.9</f>
        <v>83345.676405139748</v>
      </c>
      <c r="E15" s="122">
        <f t="shared" si="8"/>
        <v>83762.404787165433</v>
      </c>
      <c r="F15" s="122">
        <f t="shared" si="8"/>
        <v>84181.216811101258</v>
      </c>
      <c r="G15" s="122">
        <f t="shared" si="8"/>
        <v>84602.122895156732</v>
      </c>
      <c r="H15" s="122">
        <f t="shared" si="8"/>
        <v>85025.133509632491</v>
      </c>
      <c r="I15" s="122">
        <f t="shared" si="8"/>
        <v>85450.259177180647</v>
      </c>
      <c r="J15" s="122">
        <f t="shared" si="8"/>
        <v>85877.510473066533</v>
      </c>
      <c r="K15" s="122">
        <f t="shared" si="8"/>
        <v>86306.898025431859</v>
      </c>
      <c r="L15" s="122">
        <f t="shared" si="8"/>
        <v>121532.82343566386</v>
      </c>
      <c r="M15" s="122">
        <f t="shared" si="8"/>
        <v>122140.48755284214</v>
      </c>
      <c r="N15" s="122">
        <f t="shared" si="8"/>
        <v>122751.18999060635</v>
      </c>
      <c r="O15" s="122">
        <f t="shared" si="8"/>
        <v>123364.94594055934</v>
      </c>
      <c r="P15" s="122">
        <f t="shared" si="8"/>
        <v>123981.77067026209</v>
      </c>
      <c r="Q15" s="122">
        <f t="shared" si="8"/>
        <v>124601.67952361341</v>
      </c>
      <c r="R15" s="122">
        <f t="shared" si="8"/>
        <v>125224.68792123147</v>
      </c>
      <c r="S15" s="122">
        <f t="shared" si="8"/>
        <v>125850.81136083762</v>
      </c>
      <c r="T15" s="122">
        <f t="shared" si="8"/>
        <v>126480.06541764177</v>
      </c>
      <c r="U15" s="122">
        <f t="shared" si="8"/>
        <v>127112.46574472998</v>
      </c>
      <c r="V15" s="122">
        <f t="shared" si="8"/>
        <v>163844.53387122546</v>
      </c>
      <c r="W15" s="122">
        <f t="shared" si="8"/>
        <v>164663.75654058155</v>
      </c>
      <c r="X15" s="122">
        <f t="shared" si="8"/>
        <v>165487.07532328446</v>
      </c>
      <c r="Y15" s="122">
        <f t="shared" si="8"/>
        <v>166314.5106999008</v>
      </c>
      <c r="Z15" s="122">
        <f t="shared" si="8"/>
        <v>167146.08325340031</v>
      </c>
      <c r="AA15" s="122">
        <f t="shared" si="8"/>
        <v>167981.81366966729</v>
      </c>
    </row>
    <row r="16" spans="1:27" s="106" customFormat="1" x14ac:dyDescent="0.25">
      <c r="A16" s="112" t="s">
        <v>189</v>
      </c>
      <c r="B16" s="121">
        <v>0</v>
      </c>
      <c r="C16" s="122">
        <v>250000</v>
      </c>
      <c r="D16" s="122">
        <f>$C16*(1.03^(D$3-$C$3))</f>
        <v>257500</v>
      </c>
      <c r="E16" s="122">
        <f t="shared" si="7"/>
        <v>265225</v>
      </c>
      <c r="F16" s="122">
        <f t="shared" si="7"/>
        <v>273181.75</v>
      </c>
      <c r="G16" s="122">
        <f t="shared" si="7"/>
        <v>281377.20249999996</v>
      </c>
      <c r="H16" s="122">
        <f t="shared" si="7"/>
        <v>289818.51857499994</v>
      </c>
      <c r="I16" s="122">
        <f t="shared" si="7"/>
        <v>298513.07413224998</v>
      </c>
      <c r="J16" s="122">
        <f t="shared" si="7"/>
        <v>307468.46635621751</v>
      </c>
      <c r="K16" s="122">
        <f t="shared" si="7"/>
        <v>316692.520346904</v>
      </c>
      <c r="L16" s="122">
        <f t="shared" si="7"/>
        <v>326193.29595731111</v>
      </c>
      <c r="M16" s="122">
        <f t="shared" si="7"/>
        <v>335979.09483603045</v>
      </c>
      <c r="N16" s="122">
        <f t="shared" si="7"/>
        <v>346058.46768111136</v>
      </c>
      <c r="O16" s="122">
        <f t="shared" si="7"/>
        <v>356440.22171154467</v>
      </c>
      <c r="P16" s="122">
        <f t="shared" si="7"/>
        <v>367133.42836289096</v>
      </c>
      <c r="Q16" s="122">
        <f t="shared" si="7"/>
        <v>378147.43121377775</v>
      </c>
      <c r="R16" s="122">
        <f t="shared" si="7"/>
        <v>389491.85415019112</v>
      </c>
      <c r="S16" s="122">
        <f t="shared" si="7"/>
        <v>401176.60977469676</v>
      </c>
      <c r="T16" s="122">
        <f t="shared" si="7"/>
        <v>413211.90806793765</v>
      </c>
      <c r="U16" s="122">
        <f t="shared" si="7"/>
        <v>425608.26530997583</v>
      </c>
      <c r="V16" s="122">
        <f t="shared" si="7"/>
        <v>438376.51326927508</v>
      </c>
      <c r="W16" s="122">
        <f t="shared" si="7"/>
        <v>451527.8086673533</v>
      </c>
      <c r="X16" s="122">
        <f t="shared" si="7"/>
        <v>465073.64292737388</v>
      </c>
      <c r="Y16" s="122">
        <f t="shared" si="7"/>
        <v>479025.85221519513</v>
      </c>
      <c r="Z16" s="122">
        <f t="shared" si="7"/>
        <v>493396.62778165098</v>
      </c>
      <c r="AA16" s="122">
        <f t="shared" si="7"/>
        <v>508198.52661510045</v>
      </c>
    </row>
    <row r="17" spans="1:28" s="110" customFormat="1" ht="13" x14ac:dyDescent="0.3">
      <c r="A17" s="109" t="s">
        <v>257</v>
      </c>
      <c r="B17" s="123">
        <f t="shared" ref="B17:AA17" si="9">SUM(B10:B16)</f>
        <v>848000</v>
      </c>
      <c r="C17" s="124">
        <f t="shared" si="9"/>
        <v>1164356.646932865</v>
      </c>
      <c r="D17" s="124">
        <f t="shared" si="9"/>
        <v>1191625.6764051397</v>
      </c>
      <c r="E17" s="124">
        <f t="shared" si="9"/>
        <v>1225290.8047871655</v>
      </c>
      <c r="F17" s="124">
        <f t="shared" si="9"/>
        <v>1259955.4688111013</v>
      </c>
      <c r="G17" s="124">
        <f t="shared" si="9"/>
        <v>1295649.6024551566</v>
      </c>
      <c r="H17" s="124">
        <f t="shared" si="9"/>
        <v>1332404.0374564321</v>
      </c>
      <c r="I17" s="124">
        <f t="shared" si="9"/>
        <v>1370250.5302423844</v>
      </c>
      <c r="J17" s="124">
        <f t="shared" si="9"/>
        <v>1409221.7896702266</v>
      </c>
      <c r="K17" s="124">
        <f t="shared" si="9"/>
        <v>1449351.5055985067</v>
      </c>
      <c r="L17" s="124">
        <f t="shared" si="9"/>
        <v>2665109.8589197458</v>
      </c>
      <c r="M17" s="124">
        <f t="shared" si="9"/>
        <v>1568194.511727117</v>
      </c>
      <c r="N17" s="124">
        <f t="shared" si="9"/>
        <v>1612186.8348901097</v>
      </c>
      <c r="O17" s="124">
        <f t="shared" si="9"/>
        <v>1657483.6601870474</v>
      </c>
      <c r="P17" s="124">
        <f t="shared" si="9"/>
        <v>1704124.0463441452</v>
      </c>
      <c r="Q17" s="124">
        <f t="shared" si="9"/>
        <v>1752148.2234677128</v>
      </c>
      <c r="R17" s="124">
        <f t="shared" si="9"/>
        <v>1801597.628183654</v>
      </c>
      <c r="S17" s="124">
        <f t="shared" si="9"/>
        <v>1852514.9398311325</v>
      </c>
      <c r="T17" s="124">
        <f t="shared" si="9"/>
        <v>1904944.1177420455</v>
      </c>
      <c r="U17" s="124">
        <f t="shared" si="9"/>
        <v>1958930.4396388661</v>
      </c>
      <c r="V17" s="124">
        <f t="shared" si="9"/>
        <v>3582199.3739818479</v>
      </c>
      <c r="W17" s="124">
        <f t="shared" si="9"/>
        <v>2108039.44504487</v>
      </c>
      <c r="X17" s="124">
        <f t="shared" si="9"/>
        <v>2167164.0344827012</v>
      </c>
      <c r="Y17" s="124">
        <f t="shared" si="9"/>
        <v>2228041.7786341007</v>
      </c>
      <c r="Z17" s="124">
        <f t="shared" si="9"/>
        <v>2290725.1692256262</v>
      </c>
      <c r="AA17" s="124">
        <f t="shared" si="9"/>
        <v>2355268.2722210595</v>
      </c>
    </row>
    <row r="18" spans="1:28" x14ac:dyDescent="0.25">
      <c r="B18" s="119"/>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row>
    <row r="19" spans="1:28" s="113" customFormat="1" ht="13" x14ac:dyDescent="0.3">
      <c r="A19" s="113" t="s">
        <v>182</v>
      </c>
      <c r="B19" s="125">
        <f t="shared" ref="B19:AA19" si="10">B7-B17</f>
        <v>-848000</v>
      </c>
      <c r="C19" s="126">
        <f t="shared" si="10"/>
        <v>2108111.7579880608</v>
      </c>
      <c r="D19" s="126">
        <f t="shared" si="10"/>
        <v>1895251.2274889247</v>
      </c>
      <c r="E19" s="126">
        <f t="shared" si="10"/>
        <v>1877020.4836263689</v>
      </c>
      <c r="F19" s="126">
        <f t="shared" si="10"/>
        <v>1857867.3760445006</v>
      </c>
      <c r="G19" s="126">
        <f t="shared" si="10"/>
        <v>1837762.3566247227</v>
      </c>
      <c r="H19" s="126">
        <f t="shared" si="10"/>
        <v>1816674.9814188455</v>
      </c>
      <c r="I19" s="126">
        <f t="shared" si="10"/>
        <v>1794573.8837272692</v>
      </c>
      <c r="J19" s="126">
        <f t="shared" si="10"/>
        <v>1771426.7463692748</v>
      </c>
      <c r="K19" s="126">
        <f t="shared" si="10"/>
        <v>1747200.2731211919</v>
      </c>
      <c r="L19" s="126">
        <f t="shared" si="10"/>
        <v>1836105.8238826194</v>
      </c>
      <c r="M19" s="126">
        <f t="shared" si="10"/>
        <v>2955527.249489259</v>
      </c>
      <c r="N19" s="126">
        <f t="shared" si="10"/>
        <v>2934153.5351323476</v>
      </c>
      <c r="O19" s="126">
        <f t="shared" si="10"/>
        <v>2911588.4116855212</v>
      </c>
      <c r="P19" s="126">
        <f t="shared" si="10"/>
        <v>2887793.3858877849</v>
      </c>
      <c r="Q19" s="126">
        <f t="shared" si="10"/>
        <v>2862728.7959253765</v>
      </c>
      <c r="R19" s="126">
        <f t="shared" si="10"/>
        <v>2836353.7763064005</v>
      </c>
      <c r="S19" s="126">
        <f t="shared" si="10"/>
        <v>2808626.2216813718</v>
      </c>
      <c r="T19" s="126">
        <f t="shared" si="10"/>
        <v>2779502.7495780205</v>
      </c>
      <c r="U19" s="126">
        <f t="shared" si="10"/>
        <v>2748938.6620177999</v>
      </c>
      <c r="V19" s="126">
        <f t="shared" si="10"/>
        <v>2486116.695322799</v>
      </c>
      <c r="W19" s="126">
        <f t="shared" si="10"/>
        <v>3990618.2046062988</v>
      </c>
      <c r="X19" s="126">
        <f t="shared" si="10"/>
        <v>3961986.9034167235</v>
      </c>
      <c r="Y19" s="126">
        <f t="shared" si="10"/>
        <v>3931754.9139548182</v>
      </c>
      <c r="Z19" s="126">
        <f t="shared" si="10"/>
        <v>3899870.5068262373</v>
      </c>
      <c r="AA19" s="126">
        <f t="shared" si="10"/>
        <v>3866280.3822110621</v>
      </c>
      <c r="AB19" s="116"/>
    </row>
    <row r="20" spans="1:28" x14ac:dyDescent="0.25">
      <c r="B20" s="144"/>
    </row>
    <row r="21" spans="1:28" x14ac:dyDescent="0.25">
      <c r="B21" s="144"/>
      <c r="C21" s="147"/>
    </row>
    <row r="22" spans="1:28" x14ac:dyDescent="0.25">
      <c r="A22" s="54" t="s">
        <v>294</v>
      </c>
      <c r="B22" s="148">
        <v>2025</v>
      </c>
      <c r="C22" s="148">
        <v>2026</v>
      </c>
      <c r="D22" s="148">
        <v>2027</v>
      </c>
      <c r="E22" s="148">
        <v>2028</v>
      </c>
      <c r="F22" s="148">
        <v>2029</v>
      </c>
      <c r="G22" s="148">
        <v>2030</v>
      </c>
      <c r="H22" s="148">
        <v>2031</v>
      </c>
      <c r="I22" s="148">
        <v>2032</v>
      </c>
      <c r="J22" s="148">
        <v>2033</v>
      </c>
      <c r="K22" s="148">
        <v>2034</v>
      </c>
      <c r="L22" s="148">
        <v>2035</v>
      </c>
      <c r="M22" s="148">
        <v>2036</v>
      </c>
      <c r="N22" s="148">
        <v>2037</v>
      </c>
      <c r="O22" s="148">
        <v>2038</v>
      </c>
      <c r="P22" s="148">
        <v>2039</v>
      </c>
      <c r="Q22" s="148">
        <v>2040</v>
      </c>
      <c r="R22" s="148">
        <v>2041</v>
      </c>
      <c r="S22" s="148">
        <v>2042</v>
      </c>
      <c r="T22" s="148">
        <v>2043</v>
      </c>
      <c r="U22" s="148">
        <v>2044</v>
      </c>
      <c r="V22" s="148">
        <v>2045</v>
      </c>
      <c r="W22" s="148">
        <v>2046</v>
      </c>
      <c r="X22" s="148">
        <v>2047</v>
      </c>
      <c r="Y22" s="148">
        <v>2048</v>
      </c>
      <c r="Z22" s="148">
        <v>2049</v>
      </c>
      <c r="AA22" s="148">
        <v>2050</v>
      </c>
    </row>
    <row r="23" spans="1:28" x14ac:dyDescent="0.25">
      <c r="A23" s="54" t="s">
        <v>138</v>
      </c>
      <c r="B23" s="120">
        <f>B7/(1.03^(B$22-2025))</f>
        <v>0</v>
      </c>
      <c r="C23" s="150">
        <f t="shared" ref="C23:AA23" si="11">C7/(1.03^(C22-2025))</f>
        <v>3177153.7911853646</v>
      </c>
      <c r="D23" s="120">
        <f t="shared" si="11"/>
        <v>2909677.5416100146</v>
      </c>
      <c r="E23" s="120">
        <f t="shared" si="11"/>
        <v>2839054.3003088003</v>
      </c>
      <c r="F23" s="120">
        <f t="shared" si="11"/>
        <v>2770145.2153498488</v>
      </c>
      <c r="G23" s="120">
        <f t="shared" si="11"/>
        <v>2702908.6809966969</v>
      </c>
      <c r="H23" s="120">
        <f t="shared" si="11"/>
        <v>2637304.1013608538</v>
      </c>
      <c r="I23" s="120">
        <f t="shared" si="11"/>
        <v>2573291.8658909295</v>
      </c>
      <c r="J23" s="120">
        <f t="shared" si="11"/>
        <v>2510833.3254566835</v>
      </c>
      <c r="K23" s="120">
        <f t="shared" si="11"/>
        <v>2449890.7690135599</v>
      </c>
      <c r="L23" s="120">
        <f t="shared" si="11"/>
        <v>3349327.1992109478</v>
      </c>
      <c r="M23" s="120">
        <f t="shared" si="11"/>
        <v>3268032.8497155355</v>
      </c>
      <c r="N23" s="120">
        <f t="shared" si="11"/>
        <v>3188711.6640428286</v>
      </c>
      <c r="O23" s="120">
        <f t="shared" si="11"/>
        <v>3111315.7498670314</v>
      </c>
      <c r="P23" s="120">
        <f t="shared" si="11"/>
        <v>3035798.3772974419</v>
      </c>
      <c r="Q23" s="120">
        <f t="shared" si="11"/>
        <v>2962113.9506640085</v>
      </c>
      <c r="R23" s="120">
        <f t="shared" si="11"/>
        <v>2890217.9809876978</v>
      </c>
      <c r="S23" s="120">
        <f t="shared" si="11"/>
        <v>2820067.0591190644</v>
      </c>
      <c r="T23" s="120">
        <f t="shared" si="11"/>
        <v>2751618.8295287951</v>
      </c>
      <c r="U23" s="120">
        <f t="shared" si="11"/>
        <v>2684831.9647344067</v>
      </c>
      <c r="V23" s="120">
        <f t="shared" si="11"/>
        <v>3359879.476313306</v>
      </c>
      <c r="W23" s="120">
        <f t="shared" si="11"/>
        <v>3278329.0035872548</v>
      </c>
      <c r="X23" s="120">
        <f t="shared" si="11"/>
        <v>3198757.9112671753</v>
      </c>
      <c r="Y23" s="120">
        <f t="shared" si="11"/>
        <v>3121118.1561393295</v>
      </c>
      <c r="Z23" s="120">
        <f t="shared" si="11"/>
        <v>3045362.8610874047</v>
      </c>
      <c r="AA23" s="120">
        <f t="shared" si="11"/>
        <v>2971446.2867891663</v>
      </c>
    </row>
    <row r="24" spans="1:28" x14ac:dyDescent="0.25">
      <c r="A24" s="143" t="s">
        <v>181</v>
      </c>
      <c r="B24" s="120">
        <f>B17/(1.03^(B$22-2025))</f>
        <v>848000</v>
      </c>
      <c r="C24" s="120">
        <f t="shared" ref="C24:AA24" si="12">C17/(1.03^(C$22-2025))</f>
        <v>1130443.3465367621</v>
      </c>
      <c r="D24" s="120">
        <f t="shared" si="12"/>
        <v>1123221.4877982277</v>
      </c>
      <c r="E24" s="120">
        <f t="shared" si="12"/>
        <v>1121314.660283095</v>
      </c>
      <c r="F24" s="120">
        <f t="shared" si="12"/>
        <v>1119454.1149892034</v>
      </c>
      <c r="G24" s="120">
        <f t="shared" si="12"/>
        <v>1117638.7285616682</v>
      </c>
      <c r="H24" s="120">
        <f t="shared" si="12"/>
        <v>1115867.4049115002</v>
      </c>
      <c r="I24" s="120">
        <f t="shared" si="12"/>
        <v>1114139.0745538122</v>
      </c>
      <c r="J24" s="120">
        <f t="shared" si="12"/>
        <v>1112452.6939620879</v>
      </c>
      <c r="K24" s="120">
        <f t="shared" si="12"/>
        <v>1110807.2449381235</v>
      </c>
      <c r="L24" s="120">
        <f t="shared" si="12"/>
        <v>1983092.0285534526</v>
      </c>
      <c r="M24" s="120">
        <f t="shared" si="12"/>
        <v>1132897.0811170766</v>
      </c>
      <c r="N24" s="120">
        <f t="shared" si="12"/>
        <v>1130755.4091039139</v>
      </c>
      <c r="O24" s="120">
        <f t="shared" si="12"/>
        <v>1128665.7194211672</v>
      </c>
      <c r="P24" s="120">
        <f t="shared" si="12"/>
        <v>1126626.7503617883</v>
      </c>
      <c r="Q24" s="120">
        <f t="shared" si="12"/>
        <v>1124637.2708426854</v>
      </c>
      <c r="R24" s="120">
        <f t="shared" si="12"/>
        <v>1122696.0796614254</v>
      </c>
      <c r="S24" s="120">
        <f t="shared" si="12"/>
        <v>1120802.0047709721</v>
      </c>
      <c r="T24" s="120">
        <f t="shared" si="12"/>
        <v>1118953.9025720349</v>
      </c>
      <c r="U24" s="120">
        <f t="shared" si="12"/>
        <v>1117150.6572225865</v>
      </c>
      <c r="V24" s="120">
        <f t="shared" si="12"/>
        <v>1983376.9400352165</v>
      </c>
      <c r="W24" s="120">
        <f t="shared" si="12"/>
        <v>1133175.0772716133</v>
      </c>
      <c r="X24" s="120">
        <f t="shared" si="12"/>
        <v>1131026.6577789707</v>
      </c>
      <c r="Y24" s="120">
        <f t="shared" si="12"/>
        <v>1128930.3843905192</v>
      </c>
      <c r="Z24" s="120">
        <f t="shared" si="12"/>
        <v>1126884.9914241172</v>
      </c>
      <c r="AA24" s="120">
        <f t="shared" si="12"/>
        <v>1124889.2439180647</v>
      </c>
    </row>
    <row r="25" spans="1:28" x14ac:dyDescent="0.25">
      <c r="A25" s="151" t="s">
        <v>182</v>
      </c>
      <c r="B25" s="120">
        <f>B19/(1.03^(B$22-2025))</f>
        <v>-848000</v>
      </c>
      <c r="C25" s="120">
        <f t="shared" ref="C25:AA25" si="13">C19/(1.03^(C$22-2025))</f>
        <v>2046710.4446486027</v>
      </c>
      <c r="D25" s="120">
        <f t="shared" si="13"/>
        <v>1786456.0538117869</v>
      </c>
      <c r="E25" s="120">
        <f t="shared" si="13"/>
        <v>1717739.6400257053</v>
      </c>
      <c r="F25" s="120">
        <f t="shared" si="13"/>
        <v>1650691.1003606457</v>
      </c>
      <c r="G25" s="120">
        <f t="shared" si="13"/>
        <v>1585269.9524350287</v>
      </c>
      <c r="H25" s="120">
        <f t="shared" si="13"/>
        <v>1521436.6964493536</v>
      </c>
      <c r="I25" s="120">
        <f t="shared" si="13"/>
        <v>1459152.7913371173</v>
      </c>
      <c r="J25" s="120">
        <f t="shared" si="13"/>
        <v>1398380.6314945957</v>
      </c>
      <c r="K25" s="120">
        <f t="shared" si="13"/>
        <v>1339083.5240754364</v>
      </c>
      <c r="L25" s="120">
        <f t="shared" si="13"/>
        <v>1366235.1706574953</v>
      </c>
      <c r="M25" s="120">
        <f t="shared" si="13"/>
        <v>2135135.7685984592</v>
      </c>
      <c r="N25" s="120">
        <f t="shared" si="13"/>
        <v>2057956.2549389147</v>
      </c>
      <c r="O25" s="120">
        <f t="shared" si="13"/>
        <v>1982650.0304458642</v>
      </c>
      <c r="P25" s="120">
        <f t="shared" si="13"/>
        <v>1909171.6269356536</v>
      </c>
      <c r="Q25" s="120">
        <f t="shared" si="13"/>
        <v>1837476.6798213229</v>
      </c>
      <c r="R25" s="120">
        <f t="shared" si="13"/>
        <v>1767521.9013262726</v>
      </c>
      <c r="S25" s="120">
        <f t="shared" si="13"/>
        <v>1699265.0543480921</v>
      </c>
      <c r="T25" s="120">
        <f t="shared" si="13"/>
        <v>1632664.9269567605</v>
      </c>
      <c r="U25" s="120">
        <f t="shared" si="13"/>
        <v>1567681.3075118202</v>
      </c>
      <c r="V25" s="120">
        <f t="shared" si="13"/>
        <v>1376502.5362780895</v>
      </c>
      <c r="W25" s="120">
        <f t="shared" si="13"/>
        <v>2145153.9263156415</v>
      </c>
      <c r="X25" s="120">
        <f>X19/(1.03^(X$22-2025))</f>
        <v>2067731.2534882047</v>
      </c>
      <c r="Y25" s="120">
        <f t="shared" si="13"/>
        <v>1992187.7717488105</v>
      </c>
      <c r="Z25" s="120">
        <f t="shared" si="13"/>
        <v>1918477.8696632872</v>
      </c>
      <c r="AA25" s="120">
        <f t="shared" si="13"/>
        <v>1846557.0428711015</v>
      </c>
    </row>
    <row r="26" spans="1:28" x14ac:dyDescent="0.25">
      <c r="B26" s="144"/>
    </row>
    <row r="27" spans="1:28" ht="25.5" customHeight="1" x14ac:dyDescent="0.3">
      <c r="A27" s="103" t="s">
        <v>248</v>
      </c>
      <c r="B27" s="232" t="s">
        <v>275</v>
      </c>
      <c r="C27" s="232"/>
    </row>
    <row r="28" spans="1:28" x14ac:dyDescent="0.25">
      <c r="A28" s="105" t="s">
        <v>187</v>
      </c>
      <c r="B28" s="154">
        <f>SUM(B23:AA23)</f>
        <v>73607188.911524147</v>
      </c>
      <c r="C28" s="154"/>
    </row>
    <row r="29" spans="1:28" x14ac:dyDescent="0.25">
      <c r="A29" s="105" t="s">
        <v>188</v>
      </c>
      <c r="B29" s="154">
        <f>SUM(B24:AA24)</f>
        <v>30647898.954980087</v>
      </c>
      <c r="C29" s="154"/>
    </row>
    <row r="30" spans="1:28" x14ac:dyDescent="0.25">
      <c r="A30" s="105" t="s">
        <v>183</v>
      </c>
      <c r="B30" s="154">
        <f>SUM(B25:AA25)</f>
        <v>42959289.956544071</v>
      </c>
      <c r="C30" s="154"/>
    </row>
    <row r="31" spans="1:28" x14ac:dyDescent="0.25">
      <c r="B31" s="144"/>
    </row>
    <row r="32" spans="1:28" x14ac:dyDescent="0.25">
      <c r="B32" s="144"/>
    </row>
    <row r="33" spans="2:2" x14ac:dyDescent="0.25">
      <c r="B33" s="144"/>
    </row>
    <row r="34" spans="2:2" x14ac:dyDescent="0.25">
      <c r="B34" s="144"/>
    </row>
    <row r="35" spans="2:2" x14ac:dyDescent="0.25">
      <c r="B35" s="144"/>
    </row>
    <row r="36" spans="2:2" x14ac:dyDescent="0.25">
      <c r="B36" s="144"/>
    </row>
    <row r="37" spans="2:2" x14ac:dyDescent="0.25">
      <c r="B37" s="144"/>
    </row>
    <row r="38" spans="2:2" x14ac:dyDescent="0.25">
      <c r="B38" s="144"/>
    </row>
    <row r="39" spans="2:2" x14ac:dyDescent="0.25">
      <c r="B39" s="144"/>
    </row>
    <row r="40" spans="2:2" x14ac:dyDescent="0.25">
      <c r="B40" s="144"/>
    </row>
    <row r="41" spans="2:2" x14ac:dyDescent="0.25">
      <c r="B41" s="144"/>
    </row>
    <row r="42" spans="2:2" x14ac:dyDescent="0.25">
      <c r="B42" s="144"/>
    </row>
    <row r="43" spans="2:2" x14ac:dyDescent="0.25">
      <c r="B43" s="144"/>
    </row>
    <row r="44" spans="2:2" x14ac:dyDescent="0.25">
      <c r="B44" s="144"/>
    </row>
    <row r="45" spans="2:2" x14ac:dyDescent="0.25">
      <c r="B45" s="144"/>
    </row>
    <row r="46" spans="2:2" x14ac:dyDescent="0.25">
      <c r="B46" s="144"/>
    </row>
    <row r="47" spans="2:2" x14ac:dyDescent="0.25">
      <c r="B47" s="144"/>
    </row>
    <row r="48" spans="2:2" x14ac:dyDescent="0.25">
      <c r="B48" s="144"/>
    </row>
    <row r="49" spans="2:2" x14ac:dyDescent="0.25">
      <c r="B49" s="144"/>
    </row>
    <row r="50" spans="2:2" x14ac:dyDescent="0.25">
      <c r="B50" s="144"/>
    </row>
    <row r="51" spans="2:2" x14ac:dyDescent="0.25">
      <c r="B51" s="144"/>
    </row>
    <row r="52" spans="2:2" x14ac:dyDescent="0.25">
      <c r="B52" s="144"/>
    </row>
    <row r="53" spans="2:2" x14ac:dyDescent="0.25">
      <c r="B53" s="144"/>
    </row>
    <row r="54" spans="2:2" x14ac:dyDescent="0.25">
      <c r="B54" s="144"/>
    </row>
    <row r="55" spans="2:2" x14ac:dyDescent="0.25">
      <c r="B55" s="144"/>
    </row>
    <row r="56" spans="2:2" x14ac:dyDescent="0.25">
      <c r="B56" s="144"/>
    </row>
    <row r="57" spans="2:2" x14ac:dyDescent="0.25">
      <c r="B57" s="144"/>
    </row>
    <row r="58" spans="2:2" x14ac:dyDescent="0.25">
      <c r="B58" s="144"/>
    </row>
    <row r="59" spans="2:2" x14ac:dyDescent="0.25">
      <c r="B59" s="144"/>
    </row>
    <row r="60" spans="2:2" x14ac:dyDescent="0.25">
      <c r="B60" s="144"/>
    </row>
    <row r="61" spans="2:2" x14ac:dyDescent="0.25">
      <c r="B61" s="144"/>
    </row>
    <row r="62" spans="2:2" x14ac:dyDescent="0.25">
      <c r="B62" s="144"/>
    </row>
    <row r="63" spans="2:2" x14ac:dyDescent="0.25">
      <c r="B63" s="144"/>
    </row>
    <row r="64" spans="2:2" x14ac:dyDescent="0.25">
      <c r="B64" s="144"/>
    </row>
    <row r="65" spans="2:2" x14ac:dyDescent="0.25">
      <c r="B65" s="144"/>
    </row>
    <row r="66" spans="2:2" x14ac:dyDescent="0.25">
      <c r="B66" s="144"/>
    </row>
    <row r="67" spans="2:2" x14ac:dyDescent="0.25">
      <c r="B67" s="144"/>
    </row>
    <row r="68" spans="2:2" x14ac:dyDescent="0.25">
      <c r="B68" s="144"/>
    </row>
    <row r="69" spans="2:2" x14ac:dyDescent="0.25">
      <c r="B69" s="144"/>
    </row>
    <row r="70" spans="2:2" x14ac:dyDescent="0.25">
      <c r="B70" s="144"/>
    </row>
    <row r="71" spans="2:2" x14ac:dyDescent="0.25">
      <c r="B71" s="144"/>
    </row>
    <row r="72" spans="2:2" x14ac:dyDescent="0.25">
      <c r="B72" s="144"/>
    </row>
    <row r="73" spans="2:2" x14ac:dyDescent="0.25">
      <c r="B73" s="144"/>
    </row>
    <row r="74" spans="2:2" x14ac:dyDescent="0.25">
      <c r="B74" s="144"/>
    </row>
    <row r="75" spans="2:2" x14ac:dyDescent="0.25">
      <c r="B75" s="144"/>
    </row>
    <row r="76" spans="2:2" x14ac:dyDescent="0.25">
      <c r="B76" s="144"/>
    </row>
    <row r="77" spans="2:2" x14ac:dyDescent="0.25">
      <c r="B77" s="144"/>
    </row>
    <row r="78" spans="2:2" x14ac:dyDescent="0.25">
      <c r="B78" s="144"/>
    </row>
    <row r="79" spans="2:2" x14ac:dyDescent="0.25">
      <c r="B79" s="144"/>
    </row>
    <row r="80" spans="2:2" x14ac:dyDescent="0.25">
      <c r="B80" s="144"/>
    </row>
    <row r="81" spans="2:2" x14ac:dyDescent="0.25">
      <c r="B81" s="144"/>
    </row>
    <row r="82" spans="2:2" x14ac:dyDescent="0.25">
      <c r="B82" s="144"/>
    </row>
    <row r="83" spans="2:2" x14ac:dyDescent="0.25">
      <c r="B83" s="144"/>
    </row>
    <row r="84" spans="2:2" x14ac:dyDescent="0.25">
      <c r="B84" s="144"/>
    </row>
    <row r="85" spans="2:2" x14ac:dyDescent="0.25">
      <c r="B85" s="144"/>
    </row>
    <row r="86" spans="2:2" x14ac:dyDescent="0.25">
      <c r="B86" s="144"/>
    </row>
    <row r="87" spans="2:2" x14ac:dyDescent="0.25">
      <c r="B87" s="144"/>
    </row>
    <row r="88" spans="2:2" x14ac:dyDescent="0.25">
      <c r="B88" s="144"/>
    </row>
    <row r="89" spans="2:2" x14ac:dyDescent="0.25">
      <c r="B89" s="144"/>
    </row>
    <row r="90" spans="2:2" x14ac:dyDescent="0.25">
      <c r="B90" s="144"/>
    </row>
    <row r="91" spans="2:2" x14ac:dyDescent="0.25">
      <c r="B91" s="144"/>
    </row>
    <row r="92" spans="2:2" x14ac:dyDescent="0.25">
      <c r="B92" s="144"/>
    </row>
    <row r="93" spans="2:2" x14ac:dyDescent="0.25">
      <c r="B93" s="144"/>
    </row>
    <row r="94" spans="2:2" x14ac:dyDescent="0.25">
      <c r="B94" s="144"/>
    </row>
    <row r="95" spans="2:2" x14ac:dyDescent="0.25">
      <c r="B95" s="144"/>
    </row>
    <row r="96" spans="2:2" x14ac:dyDescent="0.25">
      <c r="B96" s="144"/>
    </row>
    <row r="97" spans="2:2" x14ac:dyDescent="0.25">
      <c r="B97" s="144"/>
    </row>
    <row r="98" spans="2:2" x14ac:dyDescent="0.25">
      <c r="B98" s="144"/>
    </row>
    <row r="99" spans="2:2" x14ac:dyDescent="0.25">
      <c r="B99" s="144"/>
    </row>
    <row r="100" spans="2:2" x14ac:dyDescent="0.25">
      <c r="B100" s="144"/>
    </row>
    <row r="101" spans="2:2" x14ac:dyDescent="0.25">
      <c r="B101" s="144"/>
    </row>
  </sheetData>
  <mergeCells count="1">
    <mergeCell ref="B27:C27"/>
  </mergeCells>
  <pageMargins left="0.7" right="0.7" top="0.75" bottom="0.75" header="0.3" footer="0.3"/>
  <pageSetup orientation="landscape" horizontalDpi="3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66B9F-197F-4831-B329-072ED1F0E6C2}">
  <sheetPr>
    <tabColor rgb="FF00B050"/>
  </sheetPr>
  <dimension ref="A1:I382"/>
  <sheetViews>
    <sheetView view="pageBreakPreview" topLeftCell="A76" zoomScale="90" zoomScaleNormal="90" zoomScaleSheetLayoutView="90" workbookViewId="0">
      <selection activeCell="G51" sqref="G51"/>
    </sheetView>
  </sheetViews>
  <sheetFormatPr defaultColWidth="8.7265625" defaultRowHeight="13" x14ac:dyDescent="0.3"/>
  <cols>
    <col min="1" max="1" width="42.453125" style="168" bestFit="1" customWidth="1"/>
    <col min="2" max="9" width="11.26953125" style="168" customWidth="1"/>
    <col min="10" max="16384" width="8.7265625" style="168"/>
  </cols>
  <sheetData>
    <row r="1" spans="1:9" ht="16.5" x14ac:dyDescent="0.3">
      <c r="A1" s="166" t="s">
        <v>321</v>
      </c>
    </row>
    <row r="2" spans="1:9" x14ac:dyDescent="0.3">
      <c r="A2" s="168" t="s">
        <v>322</v>
      </c>
    </row>
    <row r="4" spans="1:9" x14ac:dyDescent="0.3">
      <c r="A4" s="169" t="s">
        <v>248</v>
      </c>
      <c r="B4" s="236" t="s">
        <v>326</v>
      </c>
      <c r="C4" s="236"/>
    </row>
    <row r="5" spans="1:9" x14ac:dyDescent="0.3">
      <c r="A5" s="170" t="s">
        <v>330</v>
      </c>
      <c r="B5" s="235">
        <v>10000</v>
      </c>
      <c r="C5" s="235"/>
    </row>
    <row r="6" spans="1:9" x14ac:dyDescent="0.3">
      <c r="A6" s="170" t="s">
        <v>325</v>
      </c>
      <c r="B6" s="235">
        <v>1000</v>
      </c>
      <c r="C6" s="235"/>
    </row>
    <row r="7" spans="1:9" x14ac:dyDescent="0.3">
      <c r="A7" s="170" t="s">
        <v>324</v>
      </c>
      <c r="B7" s="235">
        <v>2000</v>
      </c>
      <c r="C7" s="235"/>
    </row>
    <row r="8" spans="1:9" x14ac:dyDescent="0.3">
      <c r="A8" s="170" t="s">
        <v>323</v>
      </c>
      <c r="B8" s="235">
        <v>750000</v>
      </c>
      <c r="C8" s="235"/>
    </row>
    <row r="9" spans="1:9" x14ac:dyDescent="0.3">
      <c r="A9" s="170" t="s">
        <v>331</v>
      </c>
      <c r="B9" s="235">
        <v>76000</v>
      </c>
      <c r="C9" s="235"/>
    </row>
    <row r="10" spans="1:9" x14ac:dyDescent="0.3">
      <c r="A10" s="170" t="s">
        <v>329</v>
      </c>
      <c r="B10" s="237" t="s">
        <v>332</v>
      </c>
      <c r="C10" s="237"/>
    </row>
    <row r="12" spans="1:9" ht="14.15" customHeight="1" x14ac:dyDescent="0.3">
      <c r="A12" s="238" t="s">
        <v>333</v>
      </c>
      <c r="B12" s="238"/>
      <c r="C12" s="238"/>
      <c r="D12" s="238"/>
      <c r="E12" s="238"/>
      <c r="F12" s="238"/>
      <c r="G12" s="238"/>
      <c r="H12" s="238"/>
      <c r="I12" s="238"/>
    </row>
    <row r="13" spans="1:9" ht="12.65" customHeight="1" x14ac:dyDescent="0.3">
      <c r="A13" s="238"/>
      <c r="B13" s="238"/>
      <c r="C13" s="238"/>
      <c r="D13" s="238"/>
      <c r="E13" s="238"/>
      <c r="F13" s="238"/>
      <c r="G13" s="238"/>
      <c r="H13" s="238"/>
      <c r="I13" s="238"/>
    </row>
    <row r="14" spans="1:9" ht="12.65" customHeight="1" x14ac:dyDescent="0.3">
      <c r="A14" s="238"/>
      <c r="B14" s="238"/>
      <c r="C14" s="238"/>
      <c r="D14" s="238"/>
      <c r="E14" s="238"/>
      <c r="F14" s="238"/>
      <c r="G14" s="238"/>
      <c r="H14" s="238"/>
      <c r="I14" s="238"/>
    </row>
    <row r="15" spans="1:9" ht="12.65" customHeight="1" x14ac:dyDescent="0.3">
      <c r="A15" s="238"/>
      <c r="B15" s="238"/>
      <c r="C15" s="238"/>
      <c r="D15" s="238"/>
      <c r="E15" s="238"/>
      <c r="F15" s="238"/>
      <c r="G15" s="238"/>
      <c r="H15" s="238"/>
      <c r="I15" s="238"/>
    </row>
    <row r="16" spans="1:9" ht="12.65" customHeight="1" x14ac:dyDescent="0.3">
      <c r="A16" s="238"/>
      <c r="B16" s="238"/>
      <c r="C16" s="238"/>
      <c r="D16" s="238"/>
      <c r="E16" s="238"/>
      <c r="F16" s="238"/>
      <c r="G16" s="238"/>
      <c r="H16" s="238"/>
      <c r="I16" s="238"/>
    </row>
    <row r="17" spans="1:9" ht="12.65" customHeight="1" x14ac:dyDescent="0.3">
      <c r="A17" s="238"/>
      <c r="B17" s="238"/>
      <c r="C17" s="238"/>
      <c r="D17" s="238"/>
      <c r="E17" s="238"/>
      <c r="F17" s="238"/>
      <c r="G17" s="238"/>
      <c r="H17" s="238"/>
      <c r="I17" s="238"/>
    </row>
    <row r="18" spans="1:9" ht="12.65" customHeight="1" x14ac:dyDescent="0.3">
      <c r="A18" s="238"/>
      <c r="B18" s="238"/>
      <c r="C18" s="238"/>
      <c r="D18" s="238"/>
      <c r="E18" s="238"/>
      <c r="F18" s="238"/>
      <c r="G18" s="238"/>
      <c r="H18" s="238"/>
      <c r="I18" s="238"/>
    </row>
    <row r="19" spans="1:9" ht="12.65" customHeight="1" x14ac:dyDescent="0.3">
      <c r="A19" s="167"/>
      <c r="B19" s="167"/>
      <c r="C19" s="167"/>
      <c r="D19" s="167"/>
      <c r="E19" s="167"/>
      <c r="F19" s="167"/>
      <c r="G19" s="167"/>
      <c r="H19" s="167"/>
      <c r="I19" s="167"/>
    </row>
    <row r="20" spans="1:9" ht="16.5" x14ac:dyDescent="0.3">
      <c r="A20" s="239" t="s">
        <v>336</v>
      </c>
      <c r="B20" s="239"/>
      <c r="C20" s="239"/>
      <c r="D20" s="239"/>
      <c r="E20" s="239"/>
      <c r="F20" s="239"/>
      <c r="G20" s="167"/>
      <c r="H20" s="167"/>
      <c r="I20" s="167"/>
    </row>
    <row r="21" spans="1:9" ht="28" customHeight="1" x14ac:dyDescent="0.3">
      <c r="A21" s="103"/>
      <c r="B21" s="240" t="s">
        <v>334</v>
      </c>
      <c r="C21" s="241"/>
      <c r="D21" s="240" t="s">
        <v>335</v>
      </c>
      <c r="E21" s="243"/>
      <c r="F21" s="240" t="s">
        <v>338</v>
      </c>
      <c r="G21" s="243"/>
      <c r="H21" s="240" t="s">
        <v>337</v>
      </c>
      <c r="I21" s="243"/>
    </row>
    <row r="22" spans="1:9" x14ac:dyDescent="0.3">
      <c r="A22" s="105" t="s">
        <v>187</v>
      </c>
      <c r="B22" s="242">
        <f>ROUND(Comparison!B20, -5)</f>
        <v>46300000</v>
      </c>
      <c r="C22" s="242"/>
      <c r="D22" s="242">
        <f>ROUND(Comparison!C20, -5)</f>
        <v>63200000</v>
      </c>
      <c r="E22" s="242"/>
      <c r="F22" s="242">
        <f>ROUND(Comparison!D20, -5)</f>
        <v>65200000</v>
      </c>
      <c r="G22" s="242"/>
      <c r="H22" s="242">
        <f>ROUND(Comparison!E20, -5)</f>
        <v>73600000</v>
      </c>
      <c r="I22" s="242"/>
    </row>
    <row r="23" spans="1:9" x14ac:dyDescent="0.3">
      <c r="A23" s="105" t="s">
        <v>188</v>
      </c>
      <c r="B23" s="242">
        <f>ROUND(Comparison!B21, -5)</f>
        <v>23600000</v>
      </c>
      <c r="C23" s="242"/>
      <c r="D23" s="242">
        <f>ROUND(Comparison!C21, -5)</f>
        <v>30400000</v>
      </c>
      <c r="E23" s="242"/>
      <c r="F23" s="242">
        <f>ROUND(Comparison!D21, -5)</f>
        <v>30400000</v>
      </c>
      <c r="G23" s="242"/>
      <c r="H23" s="242">
        <f>ROUND(Comparison!E21, -5)</f>
        <v>30600000</v>
      </c>
      <c r="I23" s="242"/>
    </row>
    <row r="24" spans="1:9" x14ac:dyDescent="0.3">
      <c r="A24" s="105" t="s">
        <v>183</v>
      </c>
      <c r="B24" s="242">
        <f>ROUND(Comparison!B22, -5)</f>
        <v>22700000</v>
      </c>
      <c r="C24" s="242"/>
      <c r="D24" s="242">
        <f>ROUND(Comparison!C22, -5)</f>
        <v>32800000</v>
      </c>
      <c r="E24" s="242"/>
      <c r="F24" s="242">
        <f>ROUND(Comparison!D22, -5)</f>
        <v>34800000</v>
      </c>
      <c r="G24" s="242"/>
      <c r="H24" s="242">
        <f>ROUND(Comparison!E22, -5)</f>
        <v>43000000</v>
      </c>
      <c r="I24" s="242"/>
    </row>
    <row r="25" spans="1:9" ht="12.65" customHeight="1" x14ac:dyDescent="0.3">
      <c r="F25" s="167"/>
      <c r="G25" s="167"/>
      <c r="H25" s="167"/>
      <c r="I25" s="167"/>
    </row>
    <row r="26" spans="1:9" ht="12.65" customHeight="1" x14ac:dyDescent="0.3">
      <c r="F26" s="167"/>
      <c r="G26" s="167"/>
      <c r="H26" s="167"/>
      <c r="I26" s="167"/>
    </row>
    <row r="27" spans="1:9" ht="12.65" customHeight="1" x14ac:dyDescent="0.3">
      <c r="F27" s="167"/>
      <c r="G27" s="167"/>
      <c r="H27" s="167"/>
      <c r="I27" s="167"/>
    </row>
    <row r="28" spans="1:9" ht="12.65" customHeight="1" x14ac:dyDescent="0.3">
      <c r="A28" s="167"/>
      <c r="B28" s="167"/>
      <c r="C28" s="167"/>
      <c r="D28" s="167"/>
      <c r="E28" s="167"/>
      <c r="F28" s="167"/>
      <c r="G28" s="167"/>
      <c r="H28" s="167"/>
      <c r="I28" s="167"/>
    </row>
    <row r="29" spans="1:9" ht="12.65" customHeight="1" x14ac:dyDescent="0.3">
      <c r="A29" s="167"/>
      <c r="B29" s="167"/>
      <c r="C29" s="167"/>
      <c r="D29" s="167"/>
      <c r="E29" s="167"/>
      <c r="F29" s="167"/>
      <c r="G29" s="167"/>
      <c r="H29" s="167"/>
      <c r="I29" s="167"/>
    </row>
    <row r="57" spans="1:9" ht="16.5" x14ac:dyDescent="0.3">
      <c r="A57" s="166" t="s">
        <v>312</v>
      </c>
    </row>
    <row r="59" spans="1:9" x14ac:dyDescent="0.3">
      <c r="A59" s="171" t="str">
        <f>'$1.5 per hr + $0.5 Projection'!A3</f>
        <v>Future Value</v>
      </c>
      <c r="B59" s="172">
        <f>'$1.5 per hr + $0.5 Projection'!B3</f>
        <v>2025</v>
      </c>
      <c r="C59" s="173">
        <f>'$1.5 per hr + $0.5 Projection'!C3</f>
        <v>2026</v>
      </c>
      <c r="D59" s="173">
        <f>'$1.5 per hr + $0.5 Projection'!D3</f>
        <v>2027</v>
      </c>
      <c r="E59" s="173">
        <f>'$1.5 per hr + $0.5 Projection'!E3</f>
        <v>2028</v>
      </c>
      <c r="F59" s="173">
        <f>'$1.5 per hr + $0.5 Projection'!F3</f>
        <v>2029</v>
      </c>
      <c r="G59" s="173">
        <f>'$1.5 per hr + $0.5 Projection'!G3</f>
        <v>2030</v>
      </c>
      <c r="H59" s="173">
        <f>'$1.5 per hr + $0.5 Projection'!H3</f>
        <v>2031</v>
      </c>
      <c r="I59" s="173">
        <f>'$1.5 per hr + $0.5 Projection'!I3</f>
        <v>2032</v>
      </c>
    </row>
    <row r="60" spans="1:9" x14ac:dyDescent="0.3">
      <c r="A60" s="174" t="str">
        <f>'$1.5 per hr + $0.5 Projection'!A4</f>
        <v>Revenue</v>
      </c>
      <c r="B60" s="175"/>
      <c r="C60" s="176"/>
      <c r="D60" s="176"/>
      <c r="E60" s="176"/>
      <c r="F60" s="176"/>
      <c r="G60" s="176"/>
      <c r="H60" s="176"/>
      <c r="I60" s="176"/>
    </row>
    <row r="61" spans="1:9" x14ac:dyDescent="0.3">
      <c r="A61" s="177" t="str">
        <f>'$1.5 per hr + $0.5 Projection'!A5</f>
        <v xml:space="preserve">   Paid Parking Revenue</v>
      </c>
      <c r="B61" s="175">
        <f>'$1.5 per hr + $0.5 Projection'!B5</f>
        <v>0</v>
      </c>
      <c r="C61" s="176">
        <f>'$1.5 per hr + $0.5 Projection'!C5</f>
        <v>2186962.1338857482</v>
      </c>
      <c r="D61" s="176">
        <f>'$1.5 per hr + $0.5 Projection'!D5</f>
        <v>2043276.0334688982</v>
      </c>
      <c r="E61" s="176">
        <f>'$1.5 per hr + $0.5 Projection'!E5</f>
        <v>2053492.4136362425</v>
      </c>
      <c r="F61" s="176">
        <f>'$1.5 per hr + $0.5 Projection'!F5</f>
        <v>2063759.8757044233</v>
      </c>
      <c r="G61" s="176">
        <f>'$1.5 per hr + $0.5 Projection'!G5</f>
        <v>2074078.6750829453</v>
      </c>
      <c r="H61" s="176">
        <f>'$1.5 per hr + $0.5 Projection'!H5</f>
        <v>2084449.0684583595</v>
      </c>
      <c r="I61" s="176">
        <f>'$1.5 per hr + $0.5 Projection'!I5</f>
        <v>2094871.3138006509</v>
      </c>
    </row>
    <row r="62" spans="1:9" x14ac:dyDescent="0.3">
      <c r="A62" s="177" t="str">
        <f>'$1.5 per hr + $0.5 Projection'!A6</f>
        <v xml:space="preserve">   Citation Revenue</v>
      </c>
      <c r="B62" s="175">
        <f>'$1.5 per hr + $0.5 Projection'!B6</f>
        <v>0</v>
      </c>
      <c r="C62" s="176">
        <f>'$1.5 per hr + $0.5 Projection'!C6</f>
        <v>0</v>
      </c>
      <c r="D62" s="176">
        <f>'$1.5 per hr + $0.5 Projection'!D6</f>
        <v>0</v>
      </c>
      <c r="E62" s="176">
        <f>'$1.5 per hr + $0.5 Projection'!E6</f>
        <v>0</v>
      </c>
      <c r="F62" s="176">
        <f>'$1.5 per hr + $0.5 Projection'!F6</f>
        <v>0</v>
      </c>
      <c r="G62" s="176">
        <f>'$1.5 per hr + $0.5 Projection'!G6</f>
        <v>0</v>
      </c>
      <c r="H62" s="176">
        <f>'$1.5 per hr + $0.5 Projection'!H6</f>
        <v>0</v>
      </c>
      <c r="I62" s="176">
        <f>'$1.5 per hr + $0.5 Projection'!I6</f>
        <v>0</v>
      </c>
    </row>
    <row r="63" spans="1:9" x14ac:dyDescent="0.3">
      <c r="A63" s="174" t="str">
        <f>'$1.5 per hr + $0.5 Projection'!A7</f>
        <v>Revenue Total</v>
      </c>
      <c r="B63" s="178">
        <f>'$1.5 per hr + $0.5 Projection'!B7</f>
        <v>0</v>
      </c>
      <c r="C63" s="179">
        <f>'$1.5 per hr + $0.5 Projection'!C7</f>
        <v>2186962.1338857482</v>
      </c>
      <c r="D63" s="179">
        <f>'$1.5 per hr + $0.5 Projection'!D7</f>
        <v>2043276.0334688982</v>
      </c>
      <c r="E63" s="179">
        <f>'$1.5 per hr + $0.5 Projection'!E7</f>
        <v>2053492.4136362425</v>
      </c>
      <c r="F63" s="179">
        <f>'$1.5 per hr + $0.5 Projection'!F7</f>
        <v>2063759.8757044233</v>
      </c>
      <c r="G63" s="179">
        <f>'$1.5 per hr + $0.5 Projection'!G7</f>
        <v>2074078.6750829453</v>
      </c>
      <c r="H63" s="179">
        <f>'$1.5 per hr + $0.5 Projection'!H7</f>
        <v>2084449.0684583595</v>
      </c>
      <c r="I63" s="179">
        <f>'$1.5 per hr + $0.5 Projection'!I7</f>
        <v>2094871.3138006509</v>
      </c>
    </row>
    <row r="64" spans="1:9" x14ac:dyDescent="0.3">
      <c r="A64" s="180"/>
      <c r="B64" s="181"/>
      <c r="C64" s="182"/>
      <c r="D64" s="182"/>
      <c r="E64" s="182"/>
      <c r="F64" s="182"/>
      <c r="G64" s="182"/>
      <c r="H64" s="182"/>
      <c r="I64" s="182"/>
    </row>
    <row r="65" spans="1:9" x14ac:dyDescent="0.3">
      <c r="A65" s="183" t="str">
        <f>'$1.5 per hr + $0.5 Projection'!A9</f>
        <v>Expenses</v>
      </c>
      <c r="B65" s="184"/>
      <c r="C65" s="185"/>
      <c r="D65" s="185"/>
      <c r="E65" s="185"/>
      <c r="F65" s="185"/>
      <c r="G65" s="185"/>
      <c r="H65" s="185"/>
      <c r="I65" s="185"/>
    </row>
    <row r="66" spans="1:9" x14ac:dyDescent="0.3">
      <c r="A66" s="186" t="str">
        <f>'$1.5 per hr + $0.5 Projection'!A10</f>
        <v xml:space="preserve">   Parking Kiosks Procurement</v>
      </c>
      <c r="B66" s="184">
        <f>'$1.5 per hr + $0.5 Projection'!B10</f>
        <v>490000</v>
      </c>
      <c r="C66" s="185">
        <f>'$1.5 per hr + $0.5 Projection'!C10</f>
        <v>0</v>
      </c>
      <c r="D66" s="185">
        <f>'$1.5 per hr + $0.5 Projection'!D10</f>
        <v>0</v>
      </c>
      <c r="E66" s="185">
        <f>'$1.5 per hr + $0.5 Projection'!E10</f>
        <v>0</v>
      </c>
      <c r="F66" s="185">
        <f>'$1.5 per hr + $0.5 Projection'!F10</f>
        <v>0</v>
      </c>
      <c r="G66" s="185">
        <f>'$1.5 per hr + $0.5 Projection'!G10</f>
        <v>0</v>
      </c>
      <c r="H66" s="185">
        <f>'$1.5 per hr + $0.5 Projection'!H10</f>
        <v>0</v>
      </c>
      <c r="I66" s="185">
        <f>'$1.5 per hr + $0.5 Projection'!I10</f>
        <v>0</v>
      </c>
    </row>
    <row r="67" spans="1:9" x14ac:dyDescent="0.3">
      <c r="A67" s="186" t="str">
        <f>'$1.5 per hr + $0.5 Projection'!A11</f>
        <v xml:space="preserve">   Signage</v>
      </c>
      <c r="B67" s="184">
        <f>'$1.5 per hr + $0.5 Projection'!B11</f>
        <v>176000</v>
      </c>
      <c r="C67" s="185">
        <f>'$1.5 per hr + $0.5 Projection'!C11</f>
        <v>0</v>
      </c>
      <c r="D67" s="185">
        <f>'$1.5 per hr + $0.5 Projection'!D11</f>
        <v>0</v>
      </c>
      <c r="E67" s="185">
        <f>'$1.5 per hr + $0.5 Projection'!E11</f>
        <v>0</v>
      </c>
      <c r="F67" s="185">
        <f>'$1.5 per hr + $0.5 Projection'!F11</f>
        <v>0</v>
      </c>
      <c r="G67" s="185">
        <f>'$1.5 per hr + $0.5 Projection'!G11</f>
        <v>0</v>
      </c>
      <c r="H67" s="185">
        <f>'$1.5 per hr + $0.5 Projection'!H11</f>
        <v>0</v>
      </c>
      <c r="I67" s="185">
        <f>'$1.5 per hr + $0.5 Projection'!I11</f>
        <v>0</v>
      </c>
    </row>
    <row r="68" spans="1:9" x14ac:dyDescent="0.3">
      <c r="A68" s="186" t="str">
        <f>'$1.5 per hr + $0.5 Projection'!A12</f>
        <v xml:space="preserve">   Construction Cost</v>
      </c>
      <c r="B68" s="184">
        <f>'$1.5 per hr + $0.5 Projection'!B12</f>
        <v>112000</v>
      </c>
      <c r="C68" s="185">
        <f>'$1.5 per hr + $0.5 Projection'!C12</f>
        <v>0</v>
      </c>
      <c r="D68" s="185">
        <f>'$1.5 per hr + $0.5 Projection'!D12</f>
        <v>0</v>
      </c>
      <c r="E68" s="185">
        <f>'$1.5 per hr + $0.5 Projection'!E12</f>
        <v>0</v>
      </c>
      <c r="F68" s="185">
        <f>'$1.5 per hr + $0.5 Projection'!F12</f>
        <v>0</v>
      </c>
      <c r="G68" s="185">
        <f>'$1.5 per hr + $0.5 Projection'!G12</f>
        <v>0</v>
      </c>
      <c r="H68" s="185">
        <f>'$1.5 per hr + $0.5 Projection'!H12</f>
        <v>0</v>
      </c>
      <c r="I68" s="185">
        <f>'$1.5 per hr + $0.5 Projection'!I12</f>
        <v>0</v>
      </c>
    </row>
    <row r="69" spans="1:9" x14ac:dyDescent="0.3">
      <c r="A69" s="186" t="str">
        <f>'$1.5 per hr + $0.5 Projection'!A13</f>
        <v xml:space="preserve">   Third Party Enforcement Contract Cost</v>
      </c>
      <c r="B69" s="184">
        <f>'$1.5 per hr + $0.5 Projection'!B13</f>
        <v>0</v>
      </c>
      <c r="C69" s="185">
        <f>'$1.5 per hr + $0.5 Projection'!C13</f>
        <v>750000</v>
      </c>
      <c r="D69" s="185">
        <f>'$1.5 per hr + $0.5 Projection'!D13</f>
        <v>772500</v>
      </c>
      <c r="E69" s="185">
        <f>'$1.5 per hr + $0.5 Projection'!E13</f>
        <v>795675</v>
      </c>
      <c r="F69" s="185">
        <f>'$1.5 per hr + $0.5 Projection'!F13</f>
        <v>819545.25</v>
      </c>
      <c r="G69" s="185">
        <f>'$1.5 per hr + $0.5 Projection'!G13</f>
        <v>844131.60749999993</v>
      </c>
      <c r="H69" s="185">
        <f>'$1.5 per hr + $0.5 Projection'!H13</f>
        <v>869455.55572499987</v>
      </c>
      <c r="I69" s="185">
        <f>'$1.5 per hr + $0.5 Projection'!I13</f>
        <v>895539.22239674989</v>
      </c>
    </row>
    <row r="70" spans="1:9" x14ac:dyDescent="0.3">
      <c r="A70" s="186" t="str">
        <f>'$1.5 per hr + $0.5 Projection'!A14</f>
        <v xml:space="preserve">   Parking Kiosks Operating Cost</v>
      </c>
      <c r="B70" s="184">
        <f>'$1.5 per hr + $0.5 Projection'!B14</f>
        <v>0</v>
      </c>
      <c r="C70" s="185">
        <f>'$1.5 per hr + $0.5 Projection'!C14</f>
        <v>76000</v>
      </c>
      <c r="D70" s="185">
        <f>'$1.5 per hr + $0.5 Projection'!D14</f>
        <v>78280</v>
      </c>
      <c r="E70" s="185">
        <f>'$1.5 per hr + $0.5 Projection'!E14</f>
        <v>80628.399999999994</v>
      </c>
      <c r="F70" s="185">
        <f>'$1.5 per hr + $0.5 Projection'!F14</f>
        <v>83047.251999999993</v>
      </c>
      <c r="G70" s="185">
        <f>'$1.5 per hr + $0.5 Projection'!G14</f>
        <v>85538.669559999995</v>
      </c>
      <c r="H70" s="185">
        <f>'$1.5 per hr + $0.5 Projection'!H14</f>
        <v>88104.82964679999</v>
      </c>
      <c r="I70" s="185">
        <f>'$1.5 per hr + $0.5 Projection'!I14</f>
        <v>90747.974536203998</v>
      </c>
    </row>
    <row r="71" spans="1:9" x14ac:dyDescent="0.3">
      <c r="A71" s="187" t="s">
        <v>328</v>
      </c>
      <c r="B71" s="184">
        <f>'$1.5 per hr + $0.5 Projection'!B15</f>
        <v>0</v>
      </c>
      <c r="C71" s="185">
        <f>'$1.5 per hr + $0.5 Projection'!C15</f>
        <v>59047.977614915209</v>
      </c>
      <c r="D71" s="185">
        <f>'$1.5 per hr + $0.5 Projection'!D15</f>
        <v>55168.452903660247</v>
      </c>
      <c r="E71" s="185">
        <f>'$1.5 per hr + $0.5 Projection'!E15</f>
        <v>55444.295168178549</v>
      </c>
      <c r="F71" s="185">
        <f>'$1.5 per hr + $0.5 Projection'!F15</f>
        <v>55721.51664401943</v>
      </c>
      <c r="G71" s="185">
        <f>'$1.5 per hr + $0.5 Projection'!G15</f>
        <v>56000.124227239517</v>
      </c>
      <c r="H71" s="185">
        <f>'$1.5 per hr + $0.5 Projection'!H15</f>
        <v>56280.124848375708</v>
      </c>
      <c r="I71" s="185">
        <f>'$1.5 per hr + $0.5 Projection'!I15</f>
        <v>56561.525472617577</v>
      </c>
    </row>
    <row r="72" spans="1:9" x14ac:dyDescent="0.3">
      <c r="A72" s="187" t="str">
        <f>'$1.5 per hr + $0.5 Projection'!A16</f>
        <v xml:space="preserve">  Contribution to Community Benefits District</v>
      </c>
      <c r="B72" s="184">
        <f>'$1.5 per hr + $0.5 Projection'!B16</f>
        <v>0</v>
      </c>
      <c r="C72" s="185">
        <f>'$1.5 per hr + $0.5 Projection'!C16</f>
        <v>0</v>
      </c>
      <c r="D72" s="185">
        <f>'$1.5 per hr + $0.5 Projection'!D16</f>
        <v>0</v>
      </c>
      <c r="E72" s="185">
        <f>'$1.5 per hr + $0.5 Projection'!E16</f>
        <v>0</v>
      </c>
      <c r="F72" s="185">
        <f>'$1.5 per hr + $0.5 Projection'!F16</f>
        <v>0</v>
      </c>
      <c r="G72" s="185">
        <f>'$1.5 per hr + $0.5 Projection'!G16</f>
        <v>0</v>
      </c>
      <c r="H72" s="185">
        <f>'$1.5 per hr + $0.5 Projection'!H16</f>
        <v>0</v>
      </c>
      <c r="I72" s="185">
        <f>'$1.5 per hr + $0.5 Projection'!I16</f>
        <v>0</v>
      </c>
    </row>
    <row r="73" spans="1:9" x14ac:dyDescent="0.3">
      <c r="A73" s="183" t="str">
        <f>'$1.5 per hr + $0.5 Projection'!A17</f>
        <v>Expenses Total</v>
      </c>
      <c r="B73" s="188">
        <f>'$1.5 per hr + $0.5 Projection'!B17</f>
        <v>778000</v>
      </c>
      <c r="C73" s="189">
        <f>'$1.5 per hr + $0.5 Projection'!C17</f>
        <v>885047.97761491523</v>
      </c>
      <c r="D73" s="189">
        <f>'$1.5 per hr + $0.5 Projection'!D17</f>
        <v>905948.45290366025</v>
      </c>
      <c r="E73" s="189">
        <f>'$1.5 per hr + $0.5 Projection'!E17</f>
        <v>931747.69516817853</v>
      </c>
      <c r="F73" s="189">
        <f>'$1.5 per hr + $0.5 Projection'!F17</f>
        <v>958314.01864401938</v>
      </c>
      <c r="G73" s="189">
        <f>'$1.5 per hr + $0.5 Projection'!G17</f>
        <v>985670.40128723939</v>
      </c>
      <c r="H73" s="189">
        <f>'$1.5 per hr + $0.5 Projection'!H17</f>
        <v>1013840.5102201755</v>
      </c>
      <c r="I73" s="189">
        <f>'$1.5 per hr + $0.5 Projection'!I17</f>
        <v>1042848.7224055715</v>
      </c>
    </row>
    <row r="74" spans="1:9" x14ac:dyDescent="0.3">
      <c r="A74" s="180"/>
      <c r="B74" s="181"/>
      <c r="C74" s="182"/>
      <c r="D74" s="182"/>
      <c r="E74" s="182"/>
      <c r="F74" s="182"/>
      <c r="G74" s="182"/>
      <c r="H74" s="182"/>
      <c r="I74" s="182"/>
    </row>
    <row r="75" spans="1:9" x14ac:dyDescent="0.3">
      <c r="A75" s="190" t="str">
        <f>'$1.5 per hr + $0.5 Projection'!A19</f>
        <v>Net Income</v>
      </c>
      <c r="B75" s="191">
        <f>'$1.5 per hr + $0.5 Projection'!B19</f>
        <v>-778000</v>
      </c>
      <c r="C75" s="192">
        <f>'$1.5 per hr + $0.5 Projection'!C19</f>
        <v>1301914.156270833</v>
      </c>
      <c r="D75" s="192">
        <f>'$1.5 per hr + $0.5 Projection'!D19</f>
        <v>1137327.5805652379</v>
      </c>
      <c r="E75" s="192">
        <f>'$1.5 per hr + $0.5 Projection'!E19</f>
        <v>1121744.718468064</v>
      </c>
      <c r="F75" s="192">
        <f>'$1.5 per hr + $0.5 Projection'!F19</f>
        <v>1105445.857060404</v>
      </c>
      <c r="G75" s="192">
        <f>'$1.5 per hr + $0.5 Projection'!G19</f>
        <v>1088408.2737957058</v>
      </c>
      <c r="H75" s="192">
        <f>'$1.5 per hr + $0.5 Projection'!H19</f>
        <v>1070608.5582381841</v>
      </c>
      <c r="I75" s="192">
        <f>'$1.5 per hr + $0.5 Projection'!I19</f>
        <v>1052022.5913950794</v>
      </c>
    </row>
    <row r="79" spans="1:9" x14ac:dyDescent="0.3">
      <c r="A79" s="171" t="s">
        <v>292</v>
      </c>
      <c r="B79" s="172">
        <f>'$1.5 per hr + $0.5 Projection'!J3</f>
        <v>2033</v>
      </c>
      <c r="C79" s="173">
        <f>'$1.5 per hr + $0.5 Projection'!K3</f>
        <v>2034</v>
      </c>
      <c r="D79" s="173">
        <f>'$1.5 per hr + $0.5 Projection'!L3</f>
        <v>2035</v>
      </c>
      <c r="E79" s="173">
        <f>'$1.5 per hr + $0.5 Projection'!M3</f>
        <v>2036</v>
      </c>
      <c r="F79" s="173">
        <f>'$1.5 per hr + $0.5 Projection'!N3</f>
        <v>2037</v>
      </c>
      <c r="G79" s="173">
        <f>'$1.5 per hr + $0.5 Projection'!O3</f>
        <v>2038</v>
      </c>
      <c r="H79" s="173">
        <f>'$1.5 per hr + $0.5 Projection'!P3</f>
        <v>2039</v>
      </c>
      <c r="I79" s="173">
        <f>'$1.5 per hr + $0.5 Projection'!Q3</f>
        <v>2040</v>
      </c>
    </row>
    <row r="80" spans="1:9" x14ac:dyDescent="0.3">
      <c r="A80" s="174" t="s">
        <v>138</v>
      </c>
      <c r="B80" s="175"/>
      <c r="C80" s="176"/>
      <c r="D80" s="176"/>
      <c r="E80" s="176"/>
      <c r="F80" s="176"/>
      <c r="G80" s="176"/>
      <c r="H80" s="176"/>
      <c r="I80" s="176"/>
    </row>
    <row r="81" spans="1:9" x14ac:dyDescent="0.3">
      <c r="A81" s="177" t="s">
        <v>280</v>
      </c>
      <c r="B81" s="175">
        <f>'$1.5 per hr + $0.5 Projection'!J5</f>
        <v>2105345.6703696535</v>
      </c>
      <c r="C81" s="176">
        <f>'$1.5 per hr + $0.5 Projection'!K5</f>
        <v>2115872.3987215017</v>
      </c>
      <c r="D81" s="176">
        <f>'$1.5 per hr + $0.5 Projection'!L5</f>
        <v>2797465.4274296546</v>
      </c>
      <c r="E81" s="176">
        <f>'$1.5 per hr + $0.5 Projection'!M5</f>
        <v>2811452.7545668022</v>
      </c>
      <c r="F81" s="176">
        <f>'$1.5 per hr + $0.5 Projection'!N5</f>
        <v>2825510.0183396363</v>
      </c>
      <c r="G81" s="176">
        <f>'$1.5 per hr + $0.5 Projection'!O5</f>
        <v>2839637.5684313336</v>
      </c>
      <c r="H81" s="176">
        <f>'$1.5 per hr + $0.5 Projection'!P5</f>
        <v>2853835.7562734894</v>
      </c>
      <c r="I81" s="176">
        <f>'$1.5 per hr + $0.5 Projection'!Q5</f>
        <v>2868104.9350548568</v>
      </c>
    </row>
    <row r="82" spans="1:9" x14ac:dyDescent="0.3">
      <c r="A82" s="177" t="s">
        <v>299</v>
      </c>
      <c r="B82" s="175">
        <f>'$1.5 per hr + $0.5 Projection'!J6</f>
        <v>0</v>
      </c>
      <c r="C82" s="176">
        <f>'$1.5 per hr + $0.5 Projection'!K6</f>
        <v>0</v>
      </c>
      <c r="D82" s="176">
        <f>'$1.5 per hr + $0.5 Projection'!L6</f>
        <v>0</v>
      </c>
      <c r="E82" s="176">
        <f>'$1.5 per hr + $0.5 Projection'!M6</f>
        <v>0</v>
      </c>
      <c r="F82" s="176">
        <f>'$1.5 per hr + $0.5 Projection'!N6</f>
        <v>0</v>
      </c>
      <c r="G82" s="176">
        <f>'$1.5 per hr + $0.5 Projection'!O6</f>
        <v>0</v>
      </c>
      <c r="H82" s="176">
        <f>'$1.5 per hr + $0.5 Projection'!P6</f>
        <v>0</v>
      </c>
      <c r="I82" s="176">
        <f>'$1.5 per hr + $0.5 Projection'!Q6</f>
        <v>0</v>
      </c>
    </row>
    <row r="83" spans="1:9" x14ac:dyDescent="0.3">
      <c r="A83" s="174" t="s">
        <v>281</v>
      </c>
      <c r="B83" s="178">
        <f>'$1.5 per hr + $0.5 Projection'!J7</f>
        <v>2105345.6703696535</v>
      </c>
      <c r="C83" s="179">
        <f>'$1.5 per hr + $0.5 Projection'!K7</f>
        <v>2115872.3987215017</v>
      </c>
      <c r="D83" s="179">
        <f>'$1.5 per hr + $0.5 Projection'!L7</f>
        <v>2797465.4274296546</v>
      </c>
      <c r="E83" s="179">
        <f>'$1.5 per hr + $0.5 Projection'!M7</f>
        <v>2811452.7545668022</v>
      </c>
      <c r="F83" s="179">
        <f>'$1.5 per hr + $0.5 Projection'!N7</f>
        <v>2825510.0183396363</v>
      </c>
      <c r="G83" s="179">
        <f>'$1.5 per hr + $0.5 Projection'!O7</f>
        <v>2839637.5684313336</v>
      </c>
      <c r="H83" s="179">
        <f>'$1.5 per hr + $0.5 Projection'!P7</f>
        <v>2853835.7562734894</v>
      </c>
      <c r="I83" s="179">
        <f>'$1.5 per hr + $0.5 Projection'!Q7</f>
        <v>2868104.9350548568</v>
      </c>
    </row>
    <row r="84" spans="1:9" x14ac:dyDescent="0.3">
      <c r="A84" s="180"/>
      <c r="B84" s="181"/>
      <c r="C84" s="182"/>
      <c r="D84" s="182"/>
      <c r="E84" s="182"/>
      <c r="F84" s="182"/>
      <c r="G84" s="182"/>
      <c r="H84" s="182"/>
      <c r="I84" s="182"/>
    </row>
    <row r="85" spans="1:9" x14ac:dyDescent="0.3">
      <c r="A85" s="183" t="s">
        <v>181</v>
      </c>
      <c r="B85" s="184"/>
      <c r="C85" s="185"/>
      <c r="D85" s="185"/>
      <c r="E85" s="185"/>
      <c r="F85" s="185"/>
      <c r="G85" s="185"/>
      <c r="H85" s="185"/>
      <c r="I85" s="185"/>
    </row>
    <row r="86" spans="1:9" x14ac:dyDescent="0.3">
      <c r="A86" s="186" t="s">
        <v>320</v>
      </c>
      <c r="B86" s="184">
        <f>'$1.5 per hr + $0.5 Projection'!J10</f>
        <v>0</v>
      </c>
      <c r="C86" s="185">
        <f>'$1.5 per hr + $0.5 Projection'!K10</f>
        <v>0</v>
      </c>
      <c r="D86" s="185">
        <f>'$1.5 per hr + $0.5 Projection'!L10</f>
        <v>658519.02587861964</v>
      </c>
      <c r="E86" s="185">
        <f>'$1.5 per hr + $0.5 Projection'!M10</f>
        <v>0</v>
      </c>
      <c r="F86" s="185">
        <f>'$1.5 per hr + $0.5 Projection'!N10</f>
        <v>0</v>
      </c>
      <c r="G86" s="185">
        <f>'$1.5 per hr + $0.5 Projection'!O10</f>
        <v>0</v>
      </c>
      <c r="H86" s="185">
        <f>'$1.5 per hr + $0.5 Projection'!P10</f>
        <v>0</v>
      </c>
      <c r="I86" s="185">
        <f>'$1.5 per hr + $0.5 Projection'!Q10</f>
        <v>0</v>
      </c>
    </row>
    <row r="87" spans="1:9" x14ac:dyDescent="0.3">
      <c r="A87" s="186" t="s">
        <v>155</v>
      </c>
      <c r="B87" s="184">
        <f>'$1.5 per hr + $0.5 Projection'!J11</f>
        <v>0</v>
      </c>
      <c r="C87" s="185">
        <f>'$1.5 per hr + $0.5 Projection'!K11</f>
        <v>0</v>
      </c>
      <c r="D87" s="185">
        <f>'$1.5 per hr + $0.5 Projection'!L11</f>
        <v>236529.28276456543</v>
      </c>
      <c r="E87" s="185">
        <f>'$1.5 per hr + $0.5 Projection'!M11</f>
        <v>0</v>
      </c>
      <c r="F87" s="185">
        <f>'$1.5 per hr + $0.5 Projection'!N11</f>
        <v>0</v>
      </c>
      <c r="G87" s="185">
        <f>'$1.5 per hr + $0.5 Projection'!O11</f>
        <v>0</v>
      </c>
      <c r="H87" s="185">
        <f>'$1.5 per hr + $0.5 Projection'!P11</f>
        <v>0</v>
      </c>
      <c r="I87" s="185">
        <f>'$1.5 per hr + $0.5 Projection'!Q11</f>
        <v>0</v>
      </c>
    </row>
    <row r="88" spans="1:9" x14ac:dyDescent="0.3">
      <c r="A88" s="186" t="s">
        <v>154</v>
      </c>
      <c r="B88" s="184">
        <f>'$1.5 per hr + $0.5 Projection'!J12</f>
        <v>0</v>
      </c>
      <c r="C88" s="185">
        <f>'$1.5 per hr + $0.5 Projection'!K12</f>
        <v>0</v>
      </c>
      <c r="D88" s="185">
        <f>'$1.5 per hr + $0.5 Projection'!L12</f>
        <v>150518.63448654165</v>
      </c>
      <c r="E88" s="185">
        <f>'$1.5 per hr + $0.5 Projection'!M12</f>
        <v>0</v>
      </c>
      <c r="F88" s="185">
        <f>'$1.5 per hr + $0.5 Projection'!N12</f>
        <v>0</v>
      </c>
      <c r="G88" s="185">
        <f>'$1.5 per hr + $0.5 Projection'!O12</f>
        <v>0</v>
      </c>
      <c r="H88" s="185">
        <f>'$1.5 per hr + $0.5 Projection'!P12</f>
        <v>0</v>
      </c>
      <c r="I88" s="185">
        <f>'$1.5 per hr + $0.5 Projection'!Q12</f>
        <v>0</v>
      </c>
    </row>
    <row r="89" spans="1:9" x14ac:dyDescent="0.3">
      <c r="A89" s="186" t="s">
        <v>279</v>
      </c>
      <c r="B89" s="184">
        <f>'$1.5 per hr + $0.5 Projection'!J13</f>
        <v>922405.39906865254</v>
      </c>
      <c r="C89" s="185">
        <f>'$1.5 per hr + $0.5 Projection'!K13</f>
        <v>950077.56104071194</v>
      </c>
      <c r="D89" s="185">
        <f>'$1.5 per hr + $0.5 Projection'!L13</f>
        <v>978579.88787193329</v>
      </c>
      <c r="E89" s="185">
        <f>'$1.5 per hr + $0.5 Projection'!M13</f>
        <v>1007937.2845080913</v>
      </c>
      <c r="F89" s="185">
        <f>'$1.5 per hr + $0.5 Projection'!N13</f>
        <v>1038175.4030433341</v>
      </c>
      <c r="G89" s="185">
        <f>'$1.5 per hr + $0.5 Projection'!O13</f>
        <v>1069320.6651346339</v>
      </c>
      <c r="H89" s="185">
        <f>'$1.5 per hr + $0.5 Projection'!P13</f>
        <v>1101400.285088673</v>
      </c>
      <c r="I89" s="185">
        <f>'$1.5 per hr + $0.5 Projection'!Q13</f>
        <v>1134442.2936413332</v>
      </c>
    </row>
    <row r="90" spans="1:9" x14ac:dyDescent="0.3">
      <c r="A90" s="186" t="s">
        <v>282</v>
      </c>
      <c r="B90" s="184">
        <f>'$1.5 per hr + $0.5 Projection'!J14</f>
        <v>93470.413772290121</v>
      </c>
      <c r="C90" s="185">
        <f>'$1.5 per hr + $0.5 Projection'!K14</f>
        <v>96274.526185458817</v>
      </c>
      <c r="D90" s="185">
        <f>'$1.5 per hr + $0.5 Projection'!L14</f>
        <v>99162.761971022584</v>
      </c>
      <c r="E90" s="185">
        <f>'$1.5 per hr + $0.5 Projection'!M14</f>
        <v>102137.64483015325</v>
      </c>
      <c r="F90" s="185">
        <f>'$1.5 per hr + $0.5 Projection'!N14</f>
        <v>105201.77417505786</v>
      </c>
      <c r="G90" s="185">
        <f>'$1.5 per hr + $0.5 Projection'!O14</f>
        <v>108357.82740030957</v>
      </c>
      <c r="H90" s="185">
        <f>'$1.5 per hr + $0.5 Projection'!P14</f>
        <v>111608.56222231885</v>
      </c>
      <c r="I90" s="185">
        <f>'$1.5 per hr + $0.5 Projection'!Q14</f>
        <v>114956.81908898844</v>
      </c>
    </row>
    <row r="91" spans="1:9" x14ac:dyDescent="0.3">
      <c r="A91" s="187" t="s">
        <v>328</v>
      </c>
      <c r="B91" s="184">
        <f>'$1.5 per hr + $0.5 Projection'!J15</f>
        <v>56844.333099980642</v>
      </c>
      <c r="C91" s="185">
        <f>'$1.5 per hr + $0.5 Projection'!K15</f>
        <v>57128.554765480549</v>
      </c>
      <c r="D91" s="185">
        <f>'$1.5 per hr + $0.5 Projection'!L15</f>
        <v>75531.566540600674</v>
      </c>
      <c r="E91" s="185">
        <f>'$1.5 per hr + $0.5 Projection'!M15</f>
        <v>75909.224373303659</v>
      </c>
      <c r="F91" s="185">
        <f>'$1.5 per hr + $0.5 Projection'!N15</f>
        <v>76288.770495170174</v>
      </c>
      <c r="G91" s="185">
        <f>'$1.5 per hr + $0.5 Projection'!O15</f>
        <v>76670.214347646004</v>
      </c>
      <c r="H91" s="185">
        <f>'$1.5 per hr + $0.5 Projection'!P15</f>
        <v>77053.56541938422</v>
      </c>
      <c r="I91" s="185">
        <f>'$1.5 per hr + $0.5 Projection'!Q15</f>
        <v>77438.833246481139</v>
      </c>
    </row>
    <row r="92" spans="1:9" x14ac:dyDescent="0.3">
      <c r="A92" s="187" t="s">
        <v>189</v>
      </c>
      <c r="B92" s="184">
        <f>'$1.5 per hr + $0.5 Projection'!J16</f>
        <v>0</v>
      </c>
      <c r="C92" s="185">
        <f>'$1.5 per hr + $0.5 Projection'!K16</f>
        <v>0</v>
      </c>
      <c r="D92" s="185">
        <f>'$1.5 per hr + $0.5 Projection'!L16</f>
        <v>0</v>
      </c>
      <c r="E92" s="185">
        <f>'$1.5 per hr + $0.5 Projection'!M16</f>
        <v>0</v>
      </c>
      <c r="F92" s="185">
        <f>'$1.5 per hr + $0.5 Projection'!N16</f>
        <v>0</v>
      </c>
      <c r="G92" s="185">
        <f>'$1.5 per hr + $0.5 Projection'!O16</f>
        <v>0</v>
      </c>
      <c r="H92" s="185">
        <f>'$1.5 per hr + $0.5 Projection'!P16</f>
        <v>0</v>
      </c>
      <c r="I92" s="185">
        <f>'$1.5 per hr + $0.5 Projection'!Q16</f>
        <v>0</v>
      </c>
    </row>
    <row r="93" spans="1:9" x14ac:dyDescent="0.3">
      <c r="A93" s="183" t="s">
        <v>257</v>
      </c>
      <c r="B93" s="188">
        <f>'$1.5 per hr + $0.5 Projection'!J17</f>
        <v>1072720.1459409234</v>
      </c>
      <c r="C93" s="189">
        <f>'$1.5 per hr + $0.5 Projection'!K17</f>
        <v>1103480.6419916514</v>
      </c>
      <c r="D93" s="189">
        <f>'$1.5 per hr + $0.5 Projection'!L17</f>
        <v>2198841.1595132831</v>
      </c>
      <c r="E93" s="189">
        <f>'$1.5 per hr + $0.5 Projection'!M17</f>
        <v>1185984.1537115481</v>
      </c>
      <c r="F93" s="189">
        <f>'$1.5 per hr + $0.5 Projection'!N17</f>
        <v>1219665.9477135623</v>
      </c>
      <c r="G93" s="189">
        <f>'$1.5 per hr + $0.5 Projection'!O17</f>
        <v>1254348.7068825895</v>
      </c>
      <c r="H93" s="189">
        <f>'$1.5 per hr + $0.5 Projection'!P17</f>
        <v>1290062.4127303762</v>
      </c>
      <c r="I93" s="189">
        <f>'$1.5 per hr + $0.5 Projection'!Q17</f>
        <v>1326837.9459768028</v>
      </c>
    </row>
    <row r="94" spans="1:9" x14ac:dyDescent="0.3">
      <c r="A94" s="180"/>
      <c r="B94" s="181"/>
      <c r="C94" s="182"/>
      <c r="D94" s="182"/>
      <c r="E94" s="182"/>
      <c r="F94" s="182"/>
      <c r="G94" s="182"/>
      <c r="H94" s="182"/>
      <c r="I94" s="182"/>
    </row>
    <row r="95" spans="1:9" x14ac:dyDescent="0.3">
      <c r="A95" s="190" t="s">
        <v>182</v>
      </c>
      <c r="B95" s="191">
        <f>'$1.5 per hr + $0.5 Projection'!J19</f>
        <v>1032625.5244287301</v>
      </c>
      <c r="C95" s="192">
        <f>'$1.5 per hr + $0.5 Projection'!K19</f>
        <v>1012391.7567298503</v>
      </c>
      <c r="D95" s="192">
        <f>'$1.5 per hr + $0.5 Projection'!L19</f>
        <v>598624.26791637158</v>
      </c>
      <c r="E95" s="192">
        <f>'$1.5 per hr + $0.5 Projection'!M19</f>
        <v>1625468.6008552541</v>
      </c>
      <c r="F95" s="192">
        <f>'$1.5 per hr + $0.5 Projection'!N19</f>
        <v>1605844.070626074</v>
      </c>
      <c r="G95" s="192">
        <f>'$1.5 per hr + $0.5 Projection'!O19</f>
        <v>1585288.8615487441</v>
      </c>
      <c r="H95" s="192">
        <f>'$1.5 per hr + $0.5 Projection'!P19</f>
        <v>1563773.3435431132</v>
      </c>
      <c r="I95" s="192">
        <f>'$1.5 per hr + $0.5 Projection'!Q19</f>
        <v>1541266.989078054</v>
      </c>
    </row>
    <row r="98" spans="1:9" ht="16.5" x14ac:dyDescent="0.3">
      <c r="A98" s="166" t="s">
        <v>313</v>
      </c>
    </row>
    <row r="100" spans="1:9" x14ac:dyDescent="0.3">
      <c r="A100" s="171" t="s">
        <v>292</v>
      </c>
      <c r="B100" s="172">
        <f>'$1.5 per hr + $0.5 Projection'!R3</f>
        <v>2041</v>
      </c>
      <c r="C100" s="173">
        <f>'$1.5 per hr + $0.5 Projection'!S3</f>
        <v>2042</v>
      </c>
      <c r="D100" s="173">
        <f>'$1.5 per hr + $0.5 Projection'!T3</f>
        <v>2043</v>
      </c>
      <c r="E100" s="173">
        <f>'$1.5 per hr + $0.5 Projection'!U3</f>
        <v>2044</v>
      </c>
      <c r="F100" s="173">
        <f>'$1.5 per hr + $0.5 Projection'!V3</f>
        <v>2045</v>
      </c>
      <c r="G100" s="173">
        <f>'$1.5 per hr + $0.5 Projection'!W3</f>
        <v>2046</v>
      </c>
      <c r="H100" s="173">
        <f>'$1.5 per hr + $0.5 Projection'!X3</f>
        <v>2047</v>
      </c>
      <c r="I100" s="173">
        <f>'$1.5 per hr + $0.5 Projection'!Y3</f>
        <v>2048</v>
      </c>
    </row>
    <row r="101" spans="1:9" x14ac:dyDescent="0.3">
      <c r="A101" s="174" t="s">
        <v>138</v>
      </c>
      <c r="B101" s="175"/>
      <c r="C101" s="176"/>
      <c r="D101" s="176"/>
      <c r="E101" s="176"/>
      <c r="F101" s="176"/>
      <c r="G101" s="176"/>
      <c r="H101" s="176"/>
      <c r="I101" s="176"/>
    </row>
    <row r="102" spans="1:9" x14ac:dyDescent="0.3">
      <c r="A102" s="177" t="s">
        <v>280</v>
      </c>
      <c r="B102" s="175">
        <f>'$1.5 per hr + $0.5 Projection'!R5</f>
        <v>2882445.4597301306</v>
      </c>
      <c r="C102" s="176">
        <f>'$1.5 per hr + $0.5 Projection'!S5</f>
        <v>2896857.687028781</v>
      </c>
      <c r="D102" s="176">
        <f>'$1.5 per hr + $0.5 Projection'!T5</f>
        <v>2911341.9754639249</v>
      </c>
      <c r="E102" s="176">
        <f>'$1.5 per hr + $0.5 Projection'!U5</f>
        <v>2925898.6853412441</v>
      </c>
      <c r="F102" s="176">
        <f>'$1.5 per hr + $0.5 Projection'!V5</f>
        <v>3638903.621225338</v>
      </c>
      <c r="G102" s="176">
        <f>'$1.5 per hr + $0.5 Projection'!W5</f>
        <v>3657098.1393314642</v>
      </c>
      <c r="H102" s="176">
        <f>'$1.5 per hr + $0.5 Projection'!X5</f>
        <v>3675383.6300281212</v>
      </c>
      <c r="I102" s="176">
        <f>'$1.5 per hr + $0.5 Projection'!Y5</f>
        <v>3693760.5481782607</v>
      </c>
    </row>
    <row r="103" spans="1:9" x14ac:dyDescent="0.3">
      <c r="A103" s="177" t="s">
        <v>299</v>
      </c>
      <c r="B103" s="175">
        <f>'$1.5 per hr + $0.5 Projection'!R6</f>
        <v>0</v>
      </c>
      <c r="C103" s="176">
        <f>'$1.5 per hr + $0.5 Projection'!S6</f>
        <v>0</v>
      </c>
      <c r="D103" s="176">
        <f>'$1.5 per hr + $0.5 Projection'!T6</f>
        <v>0</v>
      </c>
      <c r="E103" s="176">
        <f>'$1.5 per hr + $0.5 Projection'!U6</f>
        <v>0</v>
      </c>
      <c r="F103" s="176">
        <f>'$1.5 per hr + $0.5 Projection'!V6</f>
        <v>0</v>
      </c>
      <c r="G103" s="176">
        <f>'$1.5 per hr + $0.5 Projection'!W6</f>
        <v>0</v>
      </c>
      <c r="H103" s="176">
        <f>'$1.5 per hr + $0.5 Projection'!X6</f>
        <v>0</v>
      </c>
      <c r="I103" s="176">
        <f>'$1.5 per hr + $0.5 Projection'!Y6</f>
        <v>0</v>
      </c>
    </row>
    <row r="104" spans="1:9" x14ac:dyDescent="0.3">
      <c r="A104" s="174" t="s">
        <v>281</v>
      </c>
      <c r="B104" s="178">
        <f>'$1.5 per hr + $0.5 Projection'!R7</f>
        <v>2882445.4597301306</v>
      </c>
      <c r="C104" s="179">
        <f>'$1.5 per hr + $0.5 Projection'!S7</f>
        <v>2896857.687028781</v>
      </c>
      <c r="D104" s="179">
        <f>'$1.5 per hr + $0.5 Projection'!T7</f>
        <v>2911341.9754639249</v>
      </c>
      <c r="E104" s="179">
        <f>'$1.5 per hr + $0.5 Projection'!U7</f>
        <v>2925898.6853412441</v>
      </c>
      <c r="F104" s="179">
        <f>'$1.5 per hr + $0.5 Projection'!V7</f>
        <v>3638903.621225338</v>
      </c>
      <c r="G104" s="179">
        <f>'$1.5 per hr + $0.5 Projection'!W7</f>
        <v>3657098.1393314642</v>
      </c>
      <c r="H104" s="179">
        <f>'$1.5 per hr + $0.5 Projection'!X7</f>
        <v>3675383.6300281212</v>
      </c>
      <c r="I104" s="179">
        <f>'$1.5 per hr + $0.5 Projection'!Y7</f>
        <v>3693760.5481782607</v>
      </c>
    </row>
    <row r="105" spans="1:9" x14ac:dyDescent="0.3">
      <c r="A105" s="180"/>
      <c r="B105" s="181"/>
      <c r="C105" s="182"/>
      <c r="D105" s="182"/>
      <c r="E105" s="182"/>
      <c r="F105" s="182"/>
      <c r="G105" s="182"/>
      <c r="H105" s="182"/>
      <c r="I105" s="182"/>
    </row>
    <row r="106" spans="1:9" x14ac:dyDescent="0.3">
      <c r="A106" s="183" t="s">
        <v>181</v>
      </c>
      <c r="B106" s="184"/>
      <c r="C106" s="185"/>
      <c r="D106" s="185"/>
      <c r="E106" s="185"/>
      <c r="F106" s="185"/>
      <c r="G106" s="185"/>
      <c r="H106" s="185"/>
      <c r="I106" s="185"/>
    </row>
    <row r="107" spans="1:9" x14ac:dyDescent="0.3">
      <c r="A107" s="186" t="s">
        <v>320</v>
      </c>
      <c r="B107" s="184">
        <f>'$1.5 per hr + $0.5 Projection'!R10</f>
        <v>0</v>
      </c>
      <c r="C107" s="185">
        <f>'$1.5 per hr + $0.5 Projection'!S10</f>
        <v>0</v>
      </c>
      <c r="D107" s="185">
        <f>'$1.5 per hr + $0.5 Projection'!T10</f>
        <v>0</v>
      </c>
      <c r="E107" s="185">
        <f>'$1.5 per hr + $0.5 Projection'!U10</f>
        <v>0</v>
      </c>
      <c r="F107" s="185">
        <f>'$1.5 per hr + $0.5 Projection'!V10</f>
        <v>884994.50498801249</v>
      </c>
      <c r="G107" s="185">
        <f>'$1.5 per hr + $0.5 Projection'!W10</f>
        <v>0</v>
      </c>
      <c r="H107" s="185">
        <f>'$1.5 per hr + $0.5 Projection'!X10</f>
        <v>0</v>
      </c>
      <c r="I107" s="185">
        <f>'$1.5 per hr + $0.5 Projection'!Y10</f>
        <v>0</v>
      </c>
    </row>
    <row r="108" spans="1:9" x14ac:dyDescent="0.3">
      <c r="A108" s="186" t="s">
        <v>155</v>
      </c>
      <c r="B108" s="184">
        <f>'$1.5 per hr + $0.5 Projection'!R11</f>
        <v>0</v>
      </c>
      <c r="C108" s="185">
        <f>'$1.5 per hr + $0.5 Projection'!S11</f>
        <v>0</v>
      </c>
      <c r="D108" s="185">
        <f>'$1.5 per hr + $0.5 Projection'!T11</f>
        <v>0</v>
      </c>
      <c r="E108" s="185">
        <f>'$1.5 per hr + $0.5 Projection'!U11</f>
        <v>0</v>
      </c>
      <c r="F108" s="185">
        <f>'$1.5 per hr + $0.5 Projection'!V11</f>
        <v>317875.57730181672</v>
      </c>
      <c r="G108" s="185">
        <f>'$1.5 per hr + $0.5 Projection'!W11</f>
        <v>0</v>
      </c>
      <c r="H108" s="185">
        <f>'$1.5 per hr + $0.5 Projection'!X11</f>
        <v>0</v>
      </c>
      <c r="I108" s="185">
        <f>'$1.5 per hr + $0.5 Projection'!Y11</f>
        <v>0</v>
      </c>
    </row>
    <row r="109" spans="1:9" x14ac:dyDescent="0.3">
      <c r="A109" s="186" t="s">
        <v>154</v>
      </c>
      <c r="B109" s="184">
        <f>'$1.5 per hr + $0.5 Projection'!R12</f>
        <v>0</v>
      </c>
      <c r="C109" s="185">
        <f>'$1.5 per hr + $0.5 Projection'!S12</f>
        <v>0</v>
      </c>
      <c r="D109" s="185">
        <f>'$1.5 per hr + $0.5 Projection'!T12</f>
        <v>0</v>
      </c>
      <c r="E109" s="185">
        <f>'$1.5 per hr + $0.5 Projection'!U12</f>
        <v>0</v>
      </c>
      <c r="F109" s="185">
        <f>'$1.5 per hr + $0.5 Projection'!V12</f>
        <v>202284.45828297429</v>
      </c>
      <c r="G109" s="185">
        <f>'$1.5 per hr + $0.5 Projection'!W12</f>
        <v>0</v>
      </c>
      <c r="H109" s="185">
        <f>'$1.5 per hr + $0.5 Projection'!X12</f>
        <v>0</v>
      </c>
      <c r="I109" s="185">
        <f>'$1.5 per hr + $0.5 Projection'!Y12</f>
        <v>0</v>
      </c>
    </row>
    <row r="110" spans="1:9" x14ac:dyDescent="0.3">
      <c r="A110" s="186" t="s">
        <v>279</v>
      </c>
      <c r="B110" s="184">
        <f>'$1.5 per hr + $0.5 Projection'!R13</f>
        <v>1168475.5624505733</v>
      </c>
      <c r="C110" s="185">
        <f>'$1.5 per hr + $0.5 Projection'!S13</f>
        <v>1203529.8293240904</v>
      </c>
      <c r="D110" s="185">
        <f>'$1.5 per hr + $0.5 Projection'!T13</f>
        <v>1239635.7242038131</v>
      </c>
      <c r="E110" s="185">
        <f>'$1.5 per hr + $0.5 Projection'!U13</f>
        <v>1276824.7959299274</v>
      </c>
      <c r="F110" s="185">
        <f>'$1.5 per hr + $0.5 Projection'!V13</f>
        <v>1315129.5398078251</v>
      </c>
      <c r="G110" s="185">
        <f>'$1.5 per hr + $0.5 Projection'!W13</f>
        <v>1354583.4260020598</v>
      </c>
      <c r="H110" s="185">
        <f>'$1.5 per hr + $0.5 Projection'!X13</f>
        <v>1395220.9287821215</v>
      </c>
      <c r="I110" s="185">
        <f>'$1.5 per hr + $0.5 Projection'!Y13</f>
        <v>1437077.5566455855</v>
      </c>
    </row>
    <row r="111" spans="1:9" x14ac:dyDescent="0.3">
      <c r="A111" s="186" t="s">
        <v>282</v>
      </c>
      <c r="B111" s="184">
        <f>'$1.5 per hr + $0.5 Projection'!R14</f>
        <v>118405.5236616581</v>
      </c>
      <c r="C111" s="185">
        <f>'$1.5 per hr + $0.5 Projection'!S14</f>
        <v>121957.68937150782</v>
      </c>
      <c r="D111" s="185">
        <f>'$1.5 per hr + $0.5 Projection'!T14</f>
        <v>125616.42005265305</v>
      </c>
      <c r="E111" s="185">
        <f>'$1.5 per hr + $0.5 Projection'!U14</f>
        <v>129384.91265423264</v>
      </c>
      <c r="F111" s="185">
        <f>'$1.5 per hr + $0.5 Projection'!V14</f>
        <v>133266.46003385962</v>
      </c>
      <c r="G111" s="185">
        <f>'$1.5 per hr + $0.5 Projection'!W14</f>
        <v>137264.4538348754</v>
      </c>
      <c r="H111" s="185">
        <f>'$1.5 per hr + $0.5 Projection'!X14</f>
        <v>141382.38744992166</v>
      </c>
      <c r="I111" s="185">
        <f>'$1.5 per hr + $0.5 Projection'!Y14</f>
        <v>145623.85907341933</v>
      </c>
    </row>
    <row r="112" spans="1:9" x14ac:dyDescent="0.3">
      <c r="A112" s="187" t="s">
        <v>328</v>
      </c>
      <c r="B112" s="184">
        <f>'$1.5 per hr + $0.5 Projection'!R15</f>
        <v>77826.027412713534</v>
      </c>
      <c r="C112" s="185">
        <f>'$1.5 per hr + $0.5 Projection'!S15</f>
        <v>78215.157549777083</v>
      </c>
      <c r="D112" s="185">
        <f>'$1.5 per hr + $0.5 Projection'!T15</f>
        <v>78606.233337525977</v>
      </c>
      <c r="E112" s="185">
        <f>'$1.5 per hr + $0.5 Projection'!U15</f>
        <v>78999.264504213585</v>
      </c>
      <c r="F112" s="185">
        <f>'$1.5 per hr + $0.5 Projection'!V15</f>
        <v>98250.397773084129</v>
      </c>
      <c r="G112" s="185">
        <f>'$1.5 per hr + $0.5 Projection'!W15</f>
        <v>98741.649761949535</v>
      </c>
      <c r="H112" s="185">
        <f>'$1.5 per hr + $0.5 Projection'!X15</f>
        <v>99235.358010759272</v>
      </c>
      <c r="I112" s="185">
        <f>'$1.5 per hr + $0.5 Projection'!Y15</f>
        <v>99731.534800813024</v>
      </c>
    </row>
    <row r="113" spans="1:9" x14ac:dyDescent="0.3">
      <c r="A113" s="187" t="s">
        <v>189</v>
      </c>
      <c r="B113" s="184">
        <f>'$1.5 per hr + $0.5 Projection'!R16</f>
        <v>0</v>
      </c>
      <c r="C113" s="185">
        <f>'$1.5 per hr + $0.5 Projection'!S16</f>
        <v>0</v>
      </c>
      <c r="D113" s="185">
        <f>'$1.5 per hr + $0.5 Projection'!T16</f>
        <v>0</v>
      </c>
      <c r="E113" s="185">
        <f>'$1.5 per hr + $0.5 Projection'!U16</f>
        <v>0</v>
      </c>
      <c r="F113" s="185">
        <f>'$1.5 per hr + $0.5 Projection'!V16</f>
        <v>0</v>
      </c>
      <c r="G113" s="185">
        <f>'$1.5 per hr + $0.5 Projection'!W16</f>
        <v>0</v>
      </c>
      <c r="H113" s="185">
        <f>'$1.5 per hr + $0.5 Projection'!X16</f>
        <v>0</v>
      </c>
      <c r="I113" s="185">
        <f>'$1.5 per hr + $0.5 Projection'!Y16</f>
        <v>0</v>
      </c>
    </row>
    <row r="114" spans="1:9" x14ac:dyDescent="0.3">
      <c r="A114" s="183" t="s">
        <v>257</v>
      </c>
      <c r="B114" s="188">
        <f>'$1.5 per hr + $0.5 Projection'!R17</f>
        <v>1364707.113524945</v>
      </c>
      <c r="C114" s="189">
        <f>'$1.5 per hr + $0.5 Projection'!S17</f>
        <v>1403702.6762453753</v>
      </c>
      <c r="D114" s="189">
        <f>'$1.5 per hr + $0.5 Projection'!T17</f>
        <v>1443858.377593992</v>
      </c>
      <c r="E114" s="189">
        <f>'$1.5 per hr + $0.5 Projection'!U17</f>
        <v>1485208.9730883737</v>
      </c>
      <c r="F114" s="189">
        <f>'$1.5 per hr + $0.5 Projection'!V17</f>
        <v>2951800.9381875726</v>
      </c>
      <c r="G114" s="189">
        <f>'$1.5 per hr + $0.5 Projection'!W17</f>
        <v>1590589.5295988848</v>
      </c>
      <c r="H114" s="189">
        <f>'$1.5 per hr + $0.5 Projection'!X17</f>
        <v>1635838.6742428024</v>
      </c>
      <c r="I114" s="189">
        <f>'$1.5 per hr + $0.5 Projection'!Y17</f>
        <v>1682432.9505198179</v>
      </c>
    </row>
    <row r="115" spans="1:9" x14ac:dyDescent="0.3">
      <c r="A115" s="180"/>
      <c r="B115" s="181"/>
      <c r="C115" s="182"/>
      <c r="D115" s="182"/>
      <c r="E115" s="182"/>
      <c r="F115" s="182"/>
      <c r="G115" s="182"/>
      <c r="H115" s="182"/>
      <c r="I115" s="182"/>
    </row>
    <row r="116" spans="1:9" x14ac:dyDescent="0.3">
      <c r="A116" s="190" t="s">
        <v>182</v>
      </c>
      <c r="B116" s="191">
        <f>'$1.5 per hr + $0.5 Projection'!R19</f>
        <v>1517738.3462051856</v>
      </c>
      <c r="C116" s="192">
        <f>'$1.5 per hr + $0.5 Projection'!S19</f>
        <v>1493155.0107834057</v>
      </c>
      <c r="D116" s="192">
        <f>'$1.5 per hr + $0.5 Projection'!T19</f>
        <v>1467483.5978699329</v>
      </c>
      <c r="E116" s="192">
        <f>'$1.5 per hr + $0.5 Projection'!U19</f>
        <v>1440689.7122528704</v>
      </c>
      <c r="F116" s="192">
        <f>'$1.5 per hr + $0.5 Projection'!V19</f>
        <v>687102.68303776532</v>
      </c>
      <c r="G116" s="192">
        <f>'$1.5 per hr + $0.5 Projection'!W19</f>
        <v>2066508.6097325794</v>
      </c>
      <c r="H116" s="192">
        <f>'$1.5 per hr + $0.5 Projection'!X19</f>
        <v>2039544.9557853187</v>
      </c>
      <c r="I116" s="192">
        <f>'$1.5 per hr + $0.5 Projection'!Y19</f>
        <v>2011327.5976584428</v>
      </c>
    </row>
    <row r="120" spans="1:9" x14ac:dyDescent="0.3">
      <c r="A120" s="171" t="s">
        <v>292</v>
      </c>
      <c r="B120" s="172">
        <f>'$1.5 per hr + $0.5 Projection'!Z3</f>
        <v>2049</v>
      </c>
      <c r="C120" s="173">
        <f>'$1.5 per hr + $0.5 Projection'!AA3</f>
        <v>2050</v>
      </c>
    </row>
    <row r="121" spans="1:9" x14ac:dyDescent="0.3">
      <c r="A121" s="174" t="s">
        <v>138</v>
      </c>
      <c r="B121" s="175"/>
      <c r="C121" s="176"/>
    </row>
    <row r="122" spans="1:9" x14ac:dyDescent="0.3">
      <c r="A122" s="177" t="s">
        <v>280</v>
      </c>
      <c r="B122" s="175">
        <f>'$1.5 per hr + $0.5 Projection'!Z5</f>
        <v>3712229.3509191512</v>
      </c>
      <c r="C122" s="176">
        <f>'$1.5 per hr + $0.5 Projection'!AA5</f>
        <v>3730790.4976737467</v>
      </c>
    </row>
    <row r="123" spans="1:9" x14ac:dyDescent="0.3">
      <c r="A123" s="177" t="s">
        <v>299</v>
      </c>
      <c r="B123" s="175">
        <f>'$1.5 per hr + $0.5 Projection'!Z6</f>
        <v>0</v>
      </c>
      <c r="C123" s="176">
        <f>'$1.5 per hr + $0.5 Projection'!AA6</f>
        <v>0</v>
      </c>
    </row>
    <row r="124" spans="1:9" x14ac:dyDescent="0.3">
      <c r="A124" s="174" t="s">
        <v>281</v>
      </c>
      <c r="B124" s="178">
        <f>'$1.5 per hr + $0.5 Projection'!Z7</f>
        <v>3712229.3509191512</v>
      </c>
      <c r="C124" s="179">
        <f>'$1.5 per hr + $0.5 Projection'!AA7</f>
        <v>3730790.4976737467</v>
      </c>
    </row>
    <row r="125" spans="1:9" x14ac:dyDescent="0.3">
      <c r="A125" s="180"/>
      <c r="B125" s="181"/>
      <c r="C125" s="182"/>
    </row>
    <row r="126" spans="1:9" x14ac:dyDescent="0.3">
      <c r="A126" s="183" t="s">
        <v>181</v>
      </c>
      <c r="B126" s="184"/>
      <c r="C126" s="185"/>
    </row>
    <row r="127" spans="1:9" x14ac:dyDescent="0.3">
      <c r="A127" s="186" t="s">
        <v>320</v>
      </c>
      <c r="B127" s="184">
        <f>'$1.5 per hr + $0.5 Projection'!Z10</f>
        <v>0</v>
      </c>
      <c r="C127" s="185">
        <f>'$1.5 per hr + $0.5 Projection'!AA10</f>
        <v>0</v>
      </c>
    </row>
    <row r="128" spans="1:9" x14ac:dyDescent="0.3">
      <c r="A128" s="186" t="s">
        <v>155</v>
      </c>
      <c r="B128" s="184">
        <f>'$1.5 per hr + $0.5 Projection'!Z11</f>
        <v>0</v>
      </c>
      <c r="C128" s="185">
        <f>'$1.5 per hr + $0.5 Projection'!AA11</f>
        <v>0</v>
      </c>
    </row>
    <row r="129" spans="1:9" x14ac:dyDescent="0.3">
      <c r="A129" s="186" t="s">
        <v>154</v>
      </c>
      <c r="B129" s="184">
        <f>'$1.5 per hr + $0.5 Projection'!Z12</f>
        <v>0</v>
      </c>
      <c r="C129" s="185">
        <f>'$1.5 per hr + $0.5 Projection'!AA12</f>
        <v>0</v>
      </c>
    </row>
    <row r="130" spans="1:9" x14ac:dyDescent="0.3">
      <c r="A130" s="186" t="s">
        <v>279</v>
      </c>
      <c r="B130" s="184">
        <f>'$1.5 per hr + $0.5 Projection'!Z13</f>
        <v>1480189.8833449529</v>
      </c>
      <c r="C130" s="185">
        <f>'$1.5 per hr + $0.5 Projection'!AA13</f>
        <v>1524595.5798453013</v>
      </c>
    </row>
    <row r="131" spans="1:9" x14ac:dyDescent="0.3">
      <c r="A131" s="186" t="s">
        <v>282</v>
      </c>
      <c r="B131" s="184">
        <f>'$1.5 per hr + $0.5 Projection'!Z14</f>
        <v>149992.57484562192</v>
      </c>
      <c r="C131" s="185">
        <f>'$1.5 per hr + $0.5 Projection'!AA14</f>
        <v>154492.35209099055</v>
      </c>
    </row>
    <row r="132" spans="1:9" x14ac:dyDescent="0.3">
      <c r="A132" s="187" t="s">
        <v>328</v>
      </c>
      <c r="B132" s="184">
        <f>'$1.5 per hr + $0.5 Projection'!Z15</f>
        <v>100230.19247481707</v>
      </c>
      <c r="C132" s="185">
        <f>'$1.5 per hr + $0.5 Projection'!AA15</f>
        <v>100731.34343719116</v>
      </c>
    </row>
    <row r="133" spans="1:9" x14ac:dyDescent="0.3">
      <c r="A133" s="187" t="s">
        <v>189</v>
      </c>
      <c r="B133" s="184">
        <f>'$1.5 per hr + $0.5 Projection'!Z16</f>
        <v>0</v>
      </c>
      <c r="C133" s="185">
        <f>'$1.5 per hr + $0.5 Projection'!AA16</f>
        <v>0</v>
      </c>
    </row>
    <row r="134" spans="1:9" x14ac:dyDescent="0.3">
      <c r="A134" s="183" t="s">
        <v>257</v>
      </c>
      <c r="B134" s="188">
        <f>'$1.5 per hr + $0.5 Projection'!Z17</f>
        <v>1730412.6506653919</v>
      </c>
      <c r="C134" s="189">
        <f>'$1.5 per hr + $0.5 Projection'!AA17</f>
        <v>1779819.2753734831</v>
      </c>
    </row>
    <row r="135" spans="1:9" x14ac:dyDescent="0.3">
      <c r="A135" s="180"/>
      <c r="B135" s="181"/>
      <c r="C135" s="182"/>
    </row>
    <row r="136" spans="1:9" x14ac:dyDescent="0.3">
      <c r="A136" s="190" t="s">
        <v>182</v>
      </c>
      <c r="B136" s="191">
        <f>'$1.5 per hr + $0.5 Projection'!Z19</f>
        <v>1981816.7002537593</v>
      </c>
      <c r="C136" s="192">
        <f>'$1.5 per hr + $0.5 Projection'!AA19</f>
        <v>1950971.2223002636</v>
      </c>
    </row>
    <row r="139" spans="1:9" ht="16.5" x14ac:dyDescent="0.3">
      <c r="A139" s="166" t="s">
        <v>314</v>
      </c>
    </row>
    <row r="141" spans="1:9" x14ac:dyDescent="0.3">
      <c r="A141" s="171" t="s">
        <v>292</v>
      </c>
      <c r="B141" s="172">
        <f>'$1.5 per hr + $1 Projection'!B3</f>
        <v>2025</v>
      </c>
      <c r="C141" s="173">
        <f>'$1.5 per hr + $1 Projection'!C3</f>
        <v>2026</v>
      </c>
      <c r="D141" s="173">
        <f>'$1.5 per hr + $1 Projection'!D3</f>
        <v>2027</v>
      </c>
      <c r="E141" s="173">
        <f>'$1.5 per hr + $1 Projection'!E3</f>
        <v>2028</v>
      </c>
      <c r="F141" s="173">
        <f>'$1.5 per hr + $1 Projection'!F3</f>
        <v>2029</v>
      </c>
      <c r="G141" s="173">
        <f>'$1.5 per hr + $1 Projection'!G3</f>
        <v>2030</v>
      </c>
      <c r="H141" s="173">
        <f>'$1.5 per hr + $1 Projection'!H3</f>
        <v>2031</v>
      </c>
      <c r="I141" s="173">
        <f>'$1.5 per hr + $1 Projection'!I3</f>
        <v>2032</v>
      </c>
    </row>
    <row r="142" spans="1:9" x14ac:dyDescent="0.3">
      <c r="A142" s="174" t="s">
        <v>138</v>
      </c>
      <c r="B142" s="175"/>
      <c r="C142" s="176"/>
      <c r="D142" s="176"/>
      <c r="E142" s="176"/>
      <c r="F142" s="176"/>
      <c r="G142" s="176"/>
      <c r="H142" s="176"/>
      <c r="I142" s="176"/>
    </row>
    <row r="143" spans="1:9" x14ac:dyDescent="0.3">
      <c r="A143" s="177" t="s">
        <v>280</v>
      </c>
      <c r="B143" s="175">
        <f>'$1.5 per hr + $1 Projection'!B5</f>
        <v>0</v>
      </c>
      <c r="C143" s="176">
        <f>'$1.5 per hr + $1 Projection'!C5</f>
        <v>2186962.1338857482</v>
      </c>
      <c r="D143" s="176">
        <f>'$1.5 per hr + $1 Projection'!D5</f>
        <v>2043276.0334688982</v>
      </c>
      <c r="E143" s="176">
        <f>'$1.5 per hr + $1 Projection'!E5</f>
        <v>2053492.4136362425</v>
      </c>
      <c r="F143" s="176">
        <f>'$1.5 per hr + $1 Projection'!F5</f>
        <v>2063759.8757044233</v>
      </c>
      <c r="G143" s="176">
        <f>'$1.5 per hr + $1 Projection'!G5</f>
        <v>2074078.6750829453</v>
      </c>
      <c r="H143" s="176">
        <f>'$1.5 per hr + $1 Projection'!H5</f>
        <v>2084449.0684583595</v>
      </c>
      <c r="I143" s="176">
        <f>'$1.5 per hr + $1 Projection'!I5</f>
        <v>2094871.3138006509</v>
      </c>
    </row>
    <row r="144" spans="1:9" x14ac:dyDescent="0.3">
      <c r="A144" s="177" t="s">
        <v>299</v>
      </c>
      <c r="B144" s="175">
        <f>'$1.5 per hr + $1 Projection'!B6</f>
        <v>0</v>
      </c>
      <c r="C144" s="176">
        <f>'$1.5 per hr + $1 Projection'!C6</f>
        <v>450000</v>
      </c>
      <c r="D144" s="176">
        <f>'$1.5 per hr + $1 Projection'!D6</f>
        <v>452249.99999999994</v>
      </c>
      <c r="E144" s="176">
        <f>'$1.5 per hr + $1 Projection'!E6</f>
        <v>454511.24999999988</v>
      </c>
      <c r="F144" s="176">
        <f>'$1.5 per hr + $1 Projection'!F6</f>
        <v>456783.80624999985</v>
      </c>
      <c r="G144" s="176">
        <f>'$1.5 per hr + $1 Projection'!G6</f>
        <v>459067.72528124973</v>
      </c>
      <c r="H144" s="176">
        <f>'$1.5 per hr + $1 Projection'!H6</f>
        <v>461363.06390765589</v>
      </c>
      <c r="I144" s="176">
        <f>'$1.5 per hr + $1 Projection'!I6</f>
        <v>463669.87922719406</v>
      </c>
    </row>
    <row r="145" spans="1:9" x14ac:dyDescent="0.3">
      <c r="A145" s="174" t="s">
        <v>281</v>
      </c>
      <c r="B145" s="178">
        <f>'$1.5 per hr + $1 Projection'!B7</f>
        <v>0</v>
      </c>
      <c r="C145" s="179">
        <f>'$1.5 per hr + $1 Projection'!C7</f>
        <v>2636962.1338857482</v>
      </c>
      <c r="D145" s="179">
        <f>'$1.5 per hr + $1 Projection'!D7</f>
        <v>2495526.0334688979</v>
      </c>
      <c r="E145" s="179">
        <f>'$1.5 per hr + $1 Projection'!E7</f>
        <v>2508003.6636362425</v>
      </c>
      <c r="F145" s="179">
        <f>'$1.5 per hr + $1 Projection'!F7</f>
        <v>2520543.681954423</v>
      </c>
      <c r="G145" s="179">
        <f>'$1.5 per hr + $1 Projection'!G7</f>
        <v>2533146.400364195</v>
      </c>
      <c r="H145" s="179">
        <f>'$1.5 per hr + $1 Projection'!H7</f>
        <v>2545812.1323660156</v>
      </c>
      <c r="I145" s="179">
        <f>'$1.5 per hr + $1 Projection'!I7</f>
        <v>2558541.1930278451</v>
      </c>
    </row>
    <row r="146" spans="1:9" x14ac:dyDescent="0.3">
      <c r="A146" s="180"/>
      <c r="B146" s="181"/>
      <c r="C146" s="182"/>
      <c r="D146" s="182"/>
      <c r="E146" s="182"/>
      <c r="F146" s="182"/>
      <c r="G146" s="182"/>
      <c r="H146" s="182"/>
      <c r="I146" s="182"/>
    </row>
    <row r="147" spans="1:9" x14ac:dyDescent="0.3">
      <c r="A147" s="183" t="s">
        <v>181</v>
      </c>
      <c r="B147" s="184"/>
      <c r="C147" s="185"/>
      <c r="D147" s="185"/>
      <c r="E147" s="185"/>
      <c r="F147" s="185"/>
      <c r="G147" s="185"/>
      <c r="H147" s="185"/>
      <c r="I147" s="185"/>
    </row>
    <row r="148" spans="1:9" x14ac:dyDescent="0.3">
      <c r="A148" s="186" t="s">
        <v>320</v>
      </c>
      <c r="B148" s="184">
        <f>'$1.5 per hr + $1 Projection'!B10</f>
        <v>560000</v>
      </c>
      <c r="C148" s="185">
        <f>'$1.5 per hr + $1 Projection'!C10</f>
        <v>0</v>
      </c>
      <c r="D148" s="185">
        <f>'$1.5 per hr + $1 Projection'!D10</f>
        <v>0</v>
      </c>
      <c r="E148" s="185">
        <f>'$1.5 per hr + $1 Projection'!E10</f>
        <v>0</v>
      </c>
      <c r="F148" s="185">
        <f>'$1.5 per hr + $1 Projection'!F10</f>
        <v>0</v>
      </c>
      <c r="G148" s="185">
        <f>'$1.5 per hr + $1 Projection'!G10</f>
        <v>0</v>
      </c>
      <c r="H148" s="185">
        <f>'$1.5 per hr + $1 Projection'!H10</f>
        <v>0</v>
      </c>
      <c r="I148" s="185">
        <f>'$1.5 per hr + $1 Projection'!I10</f>
        <v>0</v>
      </c>
    </row>
    <row r="149" spans="1:9" x14ac:dyDescent="0.3">
      <c r="A149" s="186" t="s">
        <v>155</v>
      </c>
      <c r="B149" s="184">
        <f>'$1.5 per hr + $1 Projection'!B11</f>
        <v>176000</v>
      </c>
      <c r="C149" s="185">
        <f>'$1.5 per hr + $1 Projection'!C11</f>
        <v>0</v>
      </c>
      <c r="D149" s="185">
        <f>'$1.5 per hr + $1 Projection'!D11</f>
        <v>0</v>
      </c>
      <c r="E149" s="185">
        <f>'$1.5 per hr + $1 Projection'!E11</f>
        <v>0</v>
      </c>
      <c r="F149" s="185">
        <f>'$1.5 per hr + $1 Projection'!F11</f>
        <v>0</v>
      </c>
      <c r="G149" s="185">
        <f>'$1.5 per hr + $1 Projection'!G11</f>
        <v>0</v>
      </c>
      <c r="H149" s="185">
        <f>'$1.5 per hr + $1 Projection'!H11</f>
        <v>0</v>
      </c>
      <c r="I149" s="185">
        <f>'$1.5 per hr + $1 Projection'!I11</f>
        <v>0</v>
      </c>
    </row>
    <row r="150" spans="1:9" x14ac:dyDescent="0.3">
      <c r="A150" s="186" t="s">
        <v>154</v>
      </c>
      <c r="B150" s="184">
        <f>'$1.5 per hr + $1 Projection'!B12</f>
        <v>112000</v>
      </c>
      <c r="C150" s="185">
        <f>'$1.5 per hr + $1 Projection'!C12</f>
        <v>0</v>
      </c>
      <c r="D150" s="185">
        <f>'$1.5 per hr + $1 Projection'!D12</f>
        <v>0</v>
      </c>
      <c r="E150" s="185">
        <f>'$1.5 per hr + $1 Projection'!E12</f>
        <v>0</v>
      </c>
      <c r="F150" s="185">
        <f>'$1.5 per hr + $1 Projection'!F12</f>
        <v>0</v>
      </c>
      <c r="G150" s="185">
        <f>'$1.5 per hr + $1 Projection'!G12</f>
        <v>0</v>
      </c>
      <c r="H150" s="185">
        <f>'$1.5 per hr + $1 Projection'!H12</f>
        <v>0</v>
      </c>
      <c r="I150" s="185">
        <f>'$1.5 per hr + $1 Projection'!I12</f>
        <v>0</v>
      </c>
    </row>
    <row r="151" spans="1:9" x14ac:dyDescent="0.3">
      <c r="A151" s="186" t="s">
        <v>279</v>
      </c>
      <c r="B151" s="184">
        <f>'$1.5 per hr + $1 Projection'!B13</f>
        <v>0</v>
      </c>
      <c r="C151" s="185">
        <f>'$1.5 per hr + $1 Projection'!C13</f>
        <v>750000</v>
      </c>
      <c r="D151" s="185">
        <f>'$1.5 per hr + $1 Projection'!D13</f>
        <v>772500</v>
      </c>
      <c r="E151" s="185">
        <f>'$1.5 per hr + $1 Projection'!E13</f>
        <v>795675</v>
      </c>
      <c r="F151" s="185">
        <f>'$1.5 per hr + $1 Projection'!F13</f>
        <v>819545.25</v>
      </c>
      <c r="G151" s="185">
        <f>'$1.5 per hr + $1 Projection'!G13</f>
        <v>844131.60749999993</v>
      </c>
      <c r="H151" s="185">
        <f>'$1.5 per hr + $1 Projection'!H13</f>
        <v>869455.55572499987</v>
      </c>
      <c r="I151" s="185">
        <f>'$1.5 per hr + $1 Projection'!I13</f>
        <v>895539.22239674989</v>
      </c>
    </row>
    <row r="152" spans="1:9" x14ac:dyDescent="0.3">
      <c r="A152" s="186" t="s">
        <v>282</v>
      </c>
      <c r="B152" s="184">
        <f>'$1.5 per hr + $1 Projection'!B14</f>
        <v>0</v>
      </c>
      <c r="C152" s="185">
        <f>'$1.5 per hr + $1 Projection'!C14</f>
        <v>76000</v>
      </c>
      <c r="D152" s="185">
        <f>'$1.5 per hr + $1 Projection'!D14</f>
        <v>78280</v>
      </c>
      <c r="E152" s="185">
        <f>'$1.5 per hr + $1 Projection'!E14</f>
        <v>80628.399999999994</v>
      </c>
      <c r="F152" s="185">
        <f>'$1.5 per hr + $1 Projection'!F14</f>
        <v>83047.251999999993</v>
      </c>
      <c r="G152" s="185">
        <f>'$1.5 per hr + $1 Projection'!G14</f>
        <v>85538.669559999995</v>
      </c>
      <c r="H152" s="185">
        <f>'$1.5 per hr + $1 Projection'!H14</f>
        <v>88104.82964679999</v>
      </c>
      <c r="I152" s="185">
        <f>'$1.5 per hr + $1 Projection'!I14</f>
        <v>90747.974536203998</v>
      </c>
    </row>
    <row r="153" spans="1:9" x14ac:dyDescent="0.3">
      <c r="A153" s="187" t="s">
        <v>328</v>
      </c>
      <c r="B153" s="184">
        <f>'$1.5 per hr + $1 Projection'!B15</f>
        <v>0</v>
      </c>
      <c r="C153" s="185">
        <f>'$1.5 per hr + $1 Projection'!C15</f>
        <v>71197.977614915202</v>
      </c>
      <c r="D153" s="185">
        <f>'$1.5 per hr + $1 Projection'!D15</f>
        <v>67379.202903660233</v>
      </c>
      <c r="E153" s="185">
        <f>'$1.5 per hr + $1 Projection'!E15</f>
        <v>67716.098918178555</v>
      </c>
      <c r="F153" s="185">
        <f>'$1.5 per hr + $1 Projection'!F15</f>
        <v>68054.679412769416</v>
      </c>
      <c r="G153" s="185">
        <f>'$1.5 per hr + $1 Projection'!G15</f>
        <v>68394.952809833267</v>
      </c>
      <c r="H153" s="185">
        <f>'$1.5 per hr + $1 Projection'!H15</f>
        <v>68736.927573882422</v>
      </c>
      <c r="I153" s="185">
        <f>'$1.5 per hr + $1 Projection'!I15</f>
        <v>69080.61221175181</v>
      </c>
    </row>
    <row r="154" spans="1:9" x14ac:dyDescent="0.3">
      <c r="A154" s="187" t="s">
        <v>189</v>
      </c>
      <c r="B154" s="184">
        <f>'$1.5 per hr + $1 Projection'!B16</f>
        <v>0</v>
      </c>
      <c r="C154" s="185">
        <f>'$1.5 per hr + $1 Projection'!C16</f>
        <v>250000</v>
      </c>
      <c r="D154" s="185">
        <f>'$1.5 per hr + $1 Projection'!D16</f>
        <v>257500</v>
      </c>
      <c r="E154" s="185">
        <f>'$1.5 per hr + $1 Projection'!E16</f>
        <v>265225</v>
      </c>
      <c r="F154" s="185">
        <f>'$1.5 per hr + $1 Projection'!F16</f>
        <v>273181.75</v>
      </c>
      <c r="G154" s="185">
        <f>'$1.5 per hr + $1 Projection'!G16</f>
        <v>281377.20249999996</v>
      </c>
      <c r="H154" s="185">
        <f>'$1.5 per hr + $1 Projection'!H16</f>
        <v>289818.51857499994</v>
      </c>
      <c r="I154" s="185">
        <f>'$1.5 per hr + $1 Projection'!I16</f>
        <v>298513.07413224998</v>
      </c>
    </row>
    <row r="155" spans="1:9" x14ac:dyDescent="0.3">
      <c r="A155" s="183" t="s">
        <v>257</v>
      </c>
      <c r="B155" s="188">
        <f>'$1.5 per hr + $1 Projection'!B17</f>
        <v>848000</v>
      </c>
      <c r="C155" s="189">
        <f>'$1.5 per hr + $1 Projection'!C17</f>
        <v>1147197.9776149152</v>
      </c>
      <c r="D155" s="189">
        <f>'$1.5 per hr + $1 Projection'!D17</f>
        <v>1175659.2029036602</v>
      </c>
      <c r="E155" s="189">
        <f>'$1.5 per hr + $1 Projection'!E17</f>
        <v>1209244.4989181785</v>
      </c>
      <c r="F155" s="189">
        <f>'$1.5 per hr + $1 Projection'!F17</f>
        <v>1243828.9314127695</v>
      </c>
      <c r="G155" s="189">
        <f>'$1.5 per hr + $1 Projection'!G17</f>
        <v>1279442.4323698331</v>
      </c>
      <c r="H155" s="189">
        <f>'$1.5 per hr + $1 Projection'!H17</f>
        <v>1316115.8315206822</v>
      </c>
      <c r="I155" s="189">
        <f>'$1.5 per hr + $1 Projection'!I17</f>
        <v>1353880.8832769557</v>
      </c>
    </row>
    <row r="156" spans="1:9" x14ac:dyDescent="0.3">
      <c r="A156" s="180"/>
      <c r="B156" s="181"/>
      <c r="C156" s="182"/>
      <c r="D156" s="182"/>
      <c r="E156" s="182"/>
      <c r="F156" s="182"/>
      <c r="G156" s="182"/>
      <c r="H156" s="182"/>
      <c r="I156" s="182"/>
    </row>
    <row r="157" spans="1:9" x14ac:dyDescent="0.3">
      <c r="A157" s="190" t="s">
        <v>182</v>
      </c>
      <c r="B157" s="191">
        <f>'$1.5 per hr + $1 Projection'!B19</f>
        <v>-848000</v>
      </c>
      <c r="C157" s="192">
        <f>'$1.5 per hr + $1 Projection'!C19</f>
        <v>1489764.156270833</v>
      </c>
      <c r="D157" s="192">
        <f>'$1.5 per hr + $1 Projection'!D19</f>
        <v>1319866.8305652377</v>
      </c>
      <c r="E157" s="192">
        <f>'$1.5 per hr + $1 Projection'!E19</f>
        <v>1298759.164718064</v>
      </c>
      <c r="F157" s="192">
        <f>'$1.5 per hr + $1 Projection'!F19</f>
        <v>1276714.7505416535</v>
      </c>
      <c r="G157" s="192">
        <f>'$1.5 per hr + $1 Projection'!G19</f>
        <v>1253703.9679943619</v>
      </c>
      <c r="H157" s="192">
        <f>'$1.5 per hr + $1 Projection'!H19</f>
        <v>1229696.3008453334</v>
      </c>
      <c r="I157" s="192">
        <f>'$1.5 per hr + $1 Projection'!I19</f>
        <v>1204660.3097508894</v>
      </c>
    </row>
    <row r="161" spans="1:9" x14ac:dyDescent="0.3">
      <c r="A161" s="171" t="s">
        <v>292</v>
      </c>
      <c r="B161" s="172">
        <f>'$1.5 per hr + $1 Projection'!J3</f>
        <v>2033</v>
      </c>
      <c r="C161" s="173">
        <f>'$1.5 per hr + $1 Projection'!K3</f>
        <v>2034</v>
      </c>
      <c r="D161" s="173">
        <f>'$1.5 per hr + $1 Projection'!L3</f>
        <v>2035</v>
      </c>
      <c r="E161" s="173">
        <f>'$1.5 per hr + $1 Projection'!M3</f>
        <v>2036</v>
      </c>
      <c r="F161" s="173">
        <f>'$1.5 per hr + $1 Projection'!N3</f>
        <v>2037</v>
      </c>
      <c r="G161" s="173">
        <f>'$1.5 per hr + $1 Projection'!O3</f>
        <v>2038</v>
      </c>
      <c r="H161" s="173">
        <f>'$1.5 per hr + $1 Projection'!P3</f>
        <v>2039</v>
      </c>
      <c r="I161" s="173">
        <f>'$1.5 per hr + $1 Projection'!Q3</f>
        <v>2040</v>
      </c>
    </row>
    <row r="162" spans="1:9" x14ac:dyDescent="0.3">
      <c r="A162" s="174" t="s">
        <v>138</v>
      </c>
      <c r="B162" s="175"/>
      <c r="C162" s="176"/>
      <c r="D162" s="176"/>
      <c r="E162" s="176"/>
      <c r="F162" s="176"/>
      <c r="G162" s="176"/>
      <c r="H162" s="176"/>
      <c r="I162" s="176"/>
    </row>
    <row r="163" spans="1:9" x14ac:dyDescent="0.3">
      <c r="A163" s="177" t="s">
        <v>280</v>
      </c>
      <c r="B163" s="175">
        <f>'$1.5 per hr + $1 Projection'!J5</f>
        <v>2105345.6703696535</v>
      </c>
      <c r="C163" s="176">
        <f>'$1.5 per hr + $1 Projection'!K5</f>
        <v>2115872.3987215017</v>
      </c>
      <c r="D163" s="176">
        <f>'$1.5 per hr + $1 Projection'!L5</f>
        <v>3449577.3007156211</v>
      </c>
      <c r="E163" s="176">
        <f>'$1.5 per hr + $1 Projection'!M5</f>
        <v>3466825.1872191988</v>
      </c>
      <c r="F163" s="176">
        <f>'$1.5 per hr + $1 Projection'!N5</f>
        <v>3484159.3131552944</v>
      </c>
      <c r="G163" s="176">
        <f>'$1.5 per hr + $1 Projection'!O5</f>
        <v>3501580.1097210697</v>
      </c>
      <c r="H163" s="176">
        <f>'$1.5 per hr + $1 Projection'!P5</f>
        <v>3519088.0102696745</v>
      </c>
      <c r="I163" s="176">
        <f>'$1.5 per hr + $1 Projection'!Q5</f>
        <v>3536683.4503210224</v>
      </c>
    </row>
    <row r="164" spans="1:9" x14ac:dyDescent="0.3">
      <c r="A164" s="177" t="s">
        <v>299</v>
      </c>
      <c r="B164" s="175">
        <f>'$1.5 per hr + $1 Projection'!J6</f>
        <v>465988.22862333001</v>
      </c>
      <c r="C164" s="176">
        <f>'$1.5 per hr + $1 Projection'!K6</f>
        <v>468318.16976644658</v>
      </c>
      <c r="D164" s="176">
        <f>'$1.5 per hr + $1 Projection'!L6</f>
        <v>470659.76061527879</v>
      </c>
      <c r="E164" s="176">
        <f>'$1.5 per hr + $1 Projection'!M6</f>
        <v>473013.05941835511</v>
      </c>
      <c r="F164" s="176">
        <f>'$1.5 per hr + $1 Projection'!N6</f>
        <v>475378.12471544684</v>
      </c>
      <c r="G164" s="176">
        <f>'$1.5 per hr + $1 Projection'!O6</f>
        <v>477755.0153390239</v>
      </c>
      <c r="H164" s="176">
        <f>'$1.5 per hr + $1 Projection'!P6</f>
        <v>480143.79041571904</v>
      </c>
      <c r="I164" s="176">
        <f>'$1.5 per hr + $1 Projection'!Q6</f>
        <v>482544.50936779752</v>
      </c>
    </row>
    <row r="165" spans="1:9" x14ac:dyDescent="0.3">
      <c r="A165" s="174" t="s">
        <v>281</v>
      </c>
      <c r="B165" s="178">
        <f>'$1.5 per hr + $1 Projection'!J7</f>
        <v>2571333.8989929836</v>
      </c>
      <c r="C165" s="179">
        <f>'$1.5 per hr + $1 Projection'!K7</f>
        <v>2584190.5684879483</v>
      </c>
      <c r="D165" s="179">
        <f>'$1.5 per hr + $1 Projection'!L7</f>
        <v>3920237.0613309001</v>
      </c>
      <c r="E165" s="179">
        <f>'$1.5 per hr + $1 Projection'!M7</f>
        <v>3939838.2466375539</v>
      </c>
      <c r="F165" s="179">
        <f>'$1.5 per hr + $1 Projection'!N7</f>
        <v>3959537.4378707414</v>
      </c>
      <c r="G165" s="179">
        <f>'$1.5 per hr + $1 Projection'!O7</f>
        <v>3979335.1250600936</v>
      </c>
      <c r="H165" s="179">
        <f>'$1.5 per hr + $1 Projection'!P7</f>
        <v>3999231.8006853936</v>
      </c>
      <c r="I165" s="179">
        <f>'$1.5 per hr + $1 Projection'!Q7</f>
        <v>4019227.9596888199</v>
      </c>
    </row>
    <row r="166" spans="1:9" x14ac:dyDescent="0.3">
      <c r="A166" s="180"/>
      <c r="B166" s="181"/>
      <c r="C166" s="182"/>
      <c r="D166" s="182"/>
      <c r="E166" s="182"/>
      <c r="F166" s="182"/>
      <c r="G166" s="182"/>
      <c r="H166" s="182"/>
      <c r="I166" s="182"/>
    </row>
    <row r="167" spans="1:9" x14ac:dyDescent="0.3">
      <c r="A167" s="183" t="s">
        <v>181</v>
      </c>
      <c r="B167" s="184"/>
      <c r="C167" s="185"/>
      <c r="D167" s="185"/>
      <c r="E167" s="185"/>
      <c r="F167" s="185"/>
      <c r="G167" s="185"/>
      <c r="H167" s="185"/>
      <c r="I167" s="185"/>
    </row>
    <row r="168" spans="1:9" x14ac:dyDescent="0.3">
      <c r="A168" s="186" t="s">
        <v>320</v>
      </c>
      <c r="B168" s="184">
        <f>'$1.5 per hr + $1 Projection'!J10</f>
        <v>0</v>
      </c>
      <c r="C168" s="185">
        <f>'$1.5 per hr + $1 Projection'!K10</f>
        <v>0</v>
      </c>
      <c r="D168" s="185">
        <f>'$1.5 per hr + $1 Projection'!L10</f>
        <v>752593.1724327082</v>
      </c>
      <c r="E168" s="185">
        <f>'$1.5 per hr + $1 Projection'!M10</f>
        <v>0</v>
      </c>
      <c r="F168" s="185">
        <f>'$1.5 per hr + $1 Projection'!N10</f>
        <v>0</v>
      </c>
      <c r="G168" s="185">
        <f>'$1.5 per hr + $1 Projection'!O10</f>
        <v>0</v>
      </c>
      <c r="H168" s="185">
        <f>'$1.5 per hr + $1 Projection'!P10</f>
        <v>0</v>
      </c>
      <c r="I168" s="185">
        <f>'$1.5 per hr + $1 Projection'!Q10</f>
        <v>0</v>
      </c>
    </row>
    <row r="169" spans="1:9" x14ac:dyDescent="0.3">
      <c r="A169" s="186" t="s">
        <v>155</v>
      </c>
      <c r="B169" s="184">
        <f>'$1.5 per hr + $1 Projection'!J11</f>
        <v>0</v>
      </c>
      <c r="C169" s="185">
        <f>'$1.5 per hr + $1 Projection'!K11</f>
        <v>0</v>
      </c>
      <c r="D169" s="185">
        <f>'$1.5 per hr + $1 Projection'!L11</f>
        <v>236529.28276456543</v>
      </c>
      <c r="E169" s="185">
        <f>'$1.5 per hr + $1 Projection'!M11</f>
        <v>0</v>
      </c>
      <c r="F169" s="185">
        <f>'$1.5 per hr + $1 Projection'!N11</f>
        <v>0</v>
      </c>
      <c r="G169" s="185">
        <f>'$1.5 per hr + $1 Projection'!O11</f>
        <v>0</v>
      </c>
      <c r="H169" s="185">
        <f>'$1.5 per hr + $1 Projection'!P11</f>
        <v>0</v>
      </c>
      <c r="I169" s="185">
        <f>'$1.5 per hr + $1 Projection'!Q11</f>
        <v>0</v>
      </c>
    </row>
    <row r="170" spans="1:9" x14ac:dyDescent="0.3">
      <c r="A170" s="186" t="s">
        <v>154</v>
      </c>
      <c r="B170" s="184">
        <f>'$1.5 per hr + $1 Projection'!J12</f>
        <v>0</v>
      </c>
      <c r="C170" s="185">
        <f>'$1.5 per hr + $1 Projection'!K12</f>
        <v>0</v>
      </c>
      <c r="D170" s="185">
        <f>'$1.5 per hr + $1 Projection'!L12</f>
        <v>150518.63448654165</v>
      </c>
      <c r="E170" s="185">
        <f>'$1.5 per hr + $1 Projection'!M12</f>
        <v>0</v>
      </c>
      <c r="F170" s="185">
        <f>'$1.5 per hr + $1 Projection'!N12</f>
        <v>0</v>
      </c>
      <c r="G170" s="185">
        <f>'$1.5 per hr + $1 Projection'!O12</f>
        <v>0</v>
      </c>
      <c r="H170" s="185">
        <f>'$1.5 per hr + $1 Projection'!P12</f>
        <v>0</v>
      </c>
      <c r="I170" s="185">
        <f>'$1.5 per hr + $1 Projection'!Q12</f>
        <v>0</v>
      </c>
    </row>
    <row r="171" spans="1:9" x14ac:dyDescent="0.3">
      <c r="A171" s="186" t="s">
        <v>279</v>
      </c>
      <c r="B171" s="184">
        <f>'$1.5 per hr + $1 Projection'!J13</f>
        <v>922405.39906865254</v>
      </c>
      <c r="C171" s="185">
        <f>'$1.5 per hr + $1 Projection'!K13</f>
        <v>950077.56104071194</v>
      </c>
      <c r="D171" s="185">
        <f>'$1.5 per hr + $1 Projection'!L13</f>
        <v>978579.88787193329</v>
      </c>
      <c r="E171" s="185">
        <f>'$1.5 per hr + $1 Projection'!M13</f>
        <v>1007937.2845080913</v>
      </c>
      <c r="F171" s="185">
        <f>'$1.5 per hr + $1 Projection'!N13</f>
        <v>1038175.4030433341</v>
      </c>
      <c r="G171" s="185">
        <f>'$1.5 per hr + $1 Projection'!O13</f>
        <v>1069320.6651346339</v>
      </c>
      <c r="H171" s="185">
        <f>'$1.5 per hr + $1 Projection'!P13</f>
        <v>1101400.285088673</v>
      </c>
      <c r="I171" s="185">
        <f>'$1.5 per hr + $1 Projection'!Q13</f>
        <v>1134442.2936413332</v>
      </c>
    </row>
    <row r="172" spans="1:9" x14ac:dyDescent="0.3">
      <c r="A172" s="186" t="s">
        <v>282</v>
      </c>
      <c r="B172" s="184">
        <f>'$1.5 per hr + $1 Projection'!J14</f>
        <v>93470.413772290121</v>
      </c>
      <c r="C172" s="185">
        <f>'$1.5 per hr + $1 Projection'!K14</f>
        <v>96274.526185458817</v>
      </c>
      <c r="D172" s="185">
        <f>'$1.5 per hr + $1 Projection'!L14</f>
        <v>99162.761971022584</v>
      </c>
      <c r="E172" s="185">
        <f>'$1.5 per hr + $1 Projection'!M14</f>
        <v>102137.64483015325</v>
      </c>
      <c r="F172" s="185">
        <f>'$1.5 per hr + $1 Projection'!N14</f>
        <v>105201.77417505786</v>
      </c>
      <c r="G172" s="185">
        <f>'$1.5 per hr + $1 Projection'!O14</f>
        <v>108357.82740030957</v>
      </c>
      <c r="H172" s="185">
        <f>'$1.5 per hr + $1 Projection'!P14</f>
        <v>111608.56222231885</v>
      </c>
      <c r="I172" s="185">
        <f>'$1.5 per hr + $1 Projection'!Q14</f>
        <v>114956.81908898844</v>
      </c>
    </row>
    <row r="173" spans="1:9" x14ac:dyDescent="0.3">
      <c r="A173" s="187" t="s">
        <v>328</v>
      </c>
      <c r="B173" s="184">
        <f>'$1.5 per hr + $1 Projection'!J15</f>
        <v>69426.01527281056</v>
      </c>
      <c r="C173" s="185">
        <f>'$1.5 per hr + $1 Projection'!K15</f>
        <v>69773.145349174607</v>
      </c>
      <c r="D173" s="185">
        <f>'$1.5 per hr + $1 Projection'!L15</f>
        <v>105846.4006559343</v>
      </c>
      <c r="E173" s="185">
        <f>'$1.5 per hr + $1 Projection'!M15</f>
        <v>106375.63265921395</v>
      </c>
      <c r="F173" s="185">
        <f>'$1.5 per hr + $1 Projection'!N15</f>
        <v>106907.51082251001</v>
      </c>
      <c r="G173" s="185">
        <f>'$1.5 per hr + $1 Projection'!O15</f>
        <v>107442.04837662252</v>
      </c>
      <c r="H173" s="185">
        <f>'$1.5 per hr + $1 Projection'!P15</f>
        <v>107979.25861850563</v>
      </c>
      <c r="I173" s="185">
        <f>'$1.5 per hr + $1 Projection'!Q15</f>
        <v>108519.15491159813</v>
      </c>
    </row>
    <row r="174" spans="1:9" x14ac:dyDescent="0.3">
      <c r="A174" s="187" t="s">
        <v>189</v>
      </c>
      <c r="B174" s="184">
        <f>'$1.5 per hr + $1 Projection'!J16</f>
        <v>307468.46635621751</v>
      </c>
      <c r="C174" s="185">
        <f>'$1.5 per hr + $1 Projection'!K16</f>
        <v>316692.520346904</v>
      </c>
      <c r="D174" s="185">
        <f>'$1.5 per hr + $1 Projection'!L16</f>
        <v>326193.29595731111</v>
      </c>
      <c r="E174" s="185">
        <f>'$1.5 per hr + $1 Projection'!M16</f>
        <v>335979.09483603045</v>
      </c>
      <c r="F174" s="185">
        <f>'$1.5 per hr + $1 Projection'!N16</f>
        <v>346058.46768111136</v>
      </c>
      <c r="G174" s="185">
        <f>'$1.5 per hr + $1 Projection'!O16</f>
        <v>356440.22171154467</v>
      </c>
      <c r="H174" s="185">
        <f>'$1.5 per hr + $1 Projection'!P16</f>
        <v>367133.42836289096</v>
      </c>
      <c r="I174" s="185">
        <f>'$1.5 per hr + $1 Projection'!Q16</f>
        <v>378147.43121377775</v>
      </c>
    </row>
    <row r="175" spans="1:9" x14ac:dyDescent="0.3">
      <c r="A175" s="183" t="s">
        <v>257</v>
      </c>
      <c r="B175" s="188">
        <f>'$1.5 per hr + $1 Projection'!J17</f>
        <v>1392770.2944699707</v>
      </c>
      <c r="C175" s="189">
        <f>'$1.5 per hr + $1 Projection'!K17</f>
        <v>1432817.7529222493</v>
      </c>
      <c r="D175" s="189">
        <f>'$1.5 per hr + $1 Projection'!L17</f>
        <v>2649423.4361400162</v>
      </c>
      <c r="E175" s="189">
        <f>'$1.5 per hr + $1 Projection'!M17</f>
        <v>1552429.6568334887</v>
      </c>
      <c r="F175" s="189">
        <f>'$1.5 per hr + $1 Projection'!N17</f>
        <v>1596343.1557220134</v>
      </c>
      <c r="G175" s="189">
        <f>'$1.5 per hr + $1 Projection'!O17</f>
        <v>1641560.7626231108</v>
      </c>
      <c r="H175" s="189">
        <f>'$1.5 per hr + $1 Projection'!P17</f>
        <v>1688121.5342923887</v>
      </c>
      <c r="I175" s="189">
        <f>'$1.5 per hr + $1 Projection'!Q17</f>
        <v>1736065.6988556976</v>
      </c>
    </row>
    <row r="176" spans="1:9" x14ac:dyDescent="0.3">
      <c r="A176" s="180"/>
      <c r="B176" s="181"/>
      <c r="C176" s="182"/>
      <c r="D176" s="182"/>
      <c r="E176" s="182"/>
      <c r="F176" s="182"/>
      <c r="G176" s="182"/>
      <c r="H176" s="182"/>
      <c r="I176" s="182"/>
    </row>
    <row r="177" spans="1:9" x14ac:dyDescent="0.3">
      <c r="A177" s="190" t="s">
        <v>182</v>
      </c>
      <c r="B177" s="191">
        <f>'$1.5 per hr + $1 Projection'!J19</f>
        <v>1178563.6045230129</v>
      </c>
      <c r="C177" s="192">
        <f>'$1.5 per hr + $1 Projection'!K19</f>
        <v>1151372.815565699</v>
      </c>
      <c r="D177" s="192">
        <f>'$1.5 per hr + $1 Projection'!L19</f>
        <v>1270813.6251908839</v>
      </c>
      <c r="E177" s="192">
        <f>'$1.5 per hr + $1 Projection'!M19</f>
        <v>2387408.5898040654</v>
      </c>
      <c r="F177" s="192">
        <f>'$1.5 per hr + $1 Projection'!N19</f>
        <v>2363194.2821487281</v>
      </c>
      <c r="G177" s="192">
        <f>'$1.5 per hr + $1 Projection'!O19</f>
        <v>2337774.3624369828</v>
      </c>
      <c r="H177" s="192">
        <f>'$1.5 per hr + $1 Projection'!P19</f>
        <v>2311110.2663930049</v>
      </c>
      <c r="I177" s="192">
        <f>'$1.5 per hr + $1 Projection'!Q19</f>
        <v>2283162.2608331223</v>
      </c>
    </row>
    <row r="180" spans="1:9" ht="16.5" x14ac:dyDescent="0.3">
      <c r="A180" s="166" t="s">
        <v>315</v>
      </c>
    </row>
    <row r="182" spans="1:9" x14ac:dyDescent="0.3">
      <c r="A182" s="171" t="s">
        <v>292</v>
      </c>
      <c r="B182" s="172">
        <f>'$1.5 per hr + $1 Projection'!R3</f>
        <v>2041</v>
      </c>
      <c r="C182" s="173">
        <f>'$1.5 per hr + $1 Projection'!S3</f>
        <v>2042</v>
      </c>
      <c r="D182" s="173">
        <f>'$1.5 per hr + $1 Projection'!T3</f>
        <v>2043</v>
      </c>
      <c r="E182" s="173">
        <f>'$1.5 per hr + $1 Projection'!U3</f>
        <v>2044</v>
      </c>
      <c r="F182" s="173">
        <f>'$1.5 per hr + $1 Projection'!V3</f>
        <v>2045</v>
      </c>
      <c r="G182" s="173">
        <f>'$1.5 per hr + $1 Projection'!W3</f>
        <v>2046</v>
      </c>
      <c r="H182" s="173">
        <f>'$1.5 per hr + $1 Projection'!X3</f>
        <v>2047</v>
      </c>
      <c r="I182" s="173">
        <f>'$1.5 per hr + $1 Projection'!Y3</f>
        <v>2048</v>
      </c>
    </row>
    <row r="183" spans="1:9" x14ac:dyDescent="0.3">
      <c r="A183" s="174" t="s">
        <v>138</v>
      </c>
      <c r="B183" s="175"/>
      <c r="C183" s="176"/>
      <c r="D183" s="176"/>
      <c r="E183" s="176"/>
      <c r="F183" s="176"/>
      <c r="G183" s="176"/>
      <c r="H183" s="176"/>
      <c r="I183" s="176"/>
    </row>
    <row r="184" spans="1:9" x14ac:dyDescent="0.3">
      <c r="A184" s="177" t="s">
        <v>280</v>
      </c>
      <c r="B184" s="175">
        <f>'$1.5 per hr + $1 Projection'!R5</f>
        <v>3554366.867572627</v>
      </c>
      <c r="C184" s="176">
        <f>'$1.5 per hr + $1 Projection'!S5</f>
        <v>3572138.7019104897</v>
      </c>
      <c r="D184" s="176">
        <f>'$1.5 per hr + $1 Projection'!T5</f>
        <v>3589999.3954200423</v>
      </c>
      <c r="E184" s="176">
        <f>'$1.5 per hr + $1 Projection'!U5</f>
        <v>3607949.3923971415</v>
      </c>
      <c r="F184" s="176">
        <f>'$1.5 per hr + $1 Projection'!V5</f>
        <v>4995162.6383811338</v>
      </c>
      <c r="G184" s="176">
        <f>'$1.5 per hr + $1 Projection'!W5</f>
        <v>5020138.4515730385</v>
      </c>
      <c r="H184" s="176">
        <f>'$1.5 per hr + $1 Projection'!X5</f>
        <v>5045239.1438309029</v>
      </c>
      <c r="I184" s="176">
        <f>'$1.5 per hr + $1 Projection'!Y5</f>
        <v>5070465.3395500565</v>
      </c>
    </row>
    <row r="185" spans="1:9" x14ac:dyDescent="0.3">
      <c r="A185" s="177" t="s">
        <v>299</v>
      </c>
      <c r="B185" s="175">
        <f>'$1.5 per hr + $1 Projection'!R6</f>
        <v>484957.23191463639</v>
      </c>
      <c r="C185" s="176">
        <f>'$1.5 per hr + $1 Projection'!S6</f>
        <v>487382.01807420951</v>
      </c>
      <c r="D185" s="176">
        <f>'$1.5 per hr + $1 Projection'!T6</f>
        <v>489818.92816458055</v>
      </c>
      <c r="E185" s="176">
        <f>'$1.5 per hr + $1 Projection'!U6</f>
        <v>492268.02280540328</v>
      </c>
      <c r="F185" s="176">
        <f>'$1.5 per hr + $1 Projection'!V6</f>
        <v>494729.36291943025</v>
      </c>
      <c r="G185" s="176">
        <f>'$1.5 per hr + $1 Projection'!W6</f>
        <v>497203.00973402738</v>
      </c>
      <c r="H185" s="176">
        <f>'$1.5 per hr + $1 Projection'!X6</f>
        <v>499689.02478269738</v>
      </c>
      <c r="I185" s="176">
        <f>'$1.5 per hr + $1 Projection'!Y6</f>
        <v>502187.46990661079</v>
      </c>
    </row>
    <row r="186" spans="1:9" x14ac:dyDescent="0.3">
      <c r="A186" s="174" t="s">
        <v>281</v>
      </c>
      <c r="B186" s="178">
        <f>'$1.5 per hr + $1 Projection'!R7</f>
        <v>4039324.0994872632</v>
      </c>
      <c r="C186" s="179">
        <f>'$1.5 per hr + $1 Projection'!S7</f>
        <v>4059520.719984699</v>
      </c>
      <c r="D186" s="179">
        <f>'$1.5 per hr + $1 Projection'!T7</f>
        <v>4079818.3235846227</v>
      </c>
      <c r="E186" s="179">
        <f>'$1.5 per hr + $1 Projection'!U7</f>
        <v>4100217.415202545</v>
      </c>
      <c r="F186" s="179">
        <f>'$1.5 per hr + $1 Projection'!V7</f>
        <v>5489892.001300564</v>
      </c>
      <c r="G186" s="179">
        <f>'$1.5 per hr + $1 Projection'!W7</f>
        <v>5517341.4613070656</v>
      </c>
      <c r="H186" s="179">
        <f>'$1.5 per hr + $1 Projection'!X7</f>
        <v>5544928.1686136005</v>
      </c>
      <c r="I186" s="179">
        <f>'$1.5 per hr + $1 Projection'!Y7</f>
        <v>5572652.8094566669</v>
      </c>
    </row>
    <row r="187" spans="1:9" x14ac:dyDescent="0.3">
      <c r="A187" s="180"/>
      <c r="B187" s="181"/>
      <c r="C187" s="182"/>
      <c r="D187" s="182"/>
      <c r="E187" s="182"/>
      <c r="F187" s="182"/>
      <c r="G187" s="182"/>
      <c r="H187" s="182"/>
      <c r="I187" s="182"/>
    </row>
    <row r="188" spans="1:9" x14ac:dyDescent="0.3">
      <c r="A188" s="183" t="s">
        <v>181</v>
      </c>
      <c r="B188" s="184"/>
      <c r="C188" s="185"/>
      <c r="D188" s="185"/>
      <c r="E188" s="185"/>
      <c r="F188" s="185"/>
      <c r="G188" s="185"/>
      <c r="H188" s="185"/>
      <c r="I188" s="185"/>
    </row>
    <row r="189" spans="1:9" x14ac:dyDescent="0.3">
      <c r="A189" s="186" t="s">
        <v>320</v>
      </c>
      <c r="B189" s="184">
        <f>'$1.5 per hr + $1 Projection'!R10</f>
        <v>0</v>
      </c>
      <c r="C189" s="185">
        <f>'$1.5 per hr + $1 Projection'!S10</f>
        <v>0</v>
      </c>
      <c r="D189" s="185">
        <f>'$1.5 per hr + $1 Projection'!T10</f>
        <v>0</v>
      </c>
      <c r="E189" s="185">
        <f>'$1.5 per hr + $1 Projection'!U10</f>
        <v>0</v>
      </c>
      <c r="F189" s="185">
        <f>'$1.5 per hr + $1 Projection'!V10</f>
        <v>1011422.2914148715</v>
      </c>
      <c r="G189" s="185">
        <f>'$1.5 per hr + $1 Projection'!W10</f>
        <v>0</v>
      </c>
      <c r="H189" s="185">
        <f>'$1.5 per hr + $1 Projection'!X10</f>
        <v>0</v>
      </c>
      <c r="I189" s="185">
        <f>'$1.5 per hr + $1 Projection'!Y10</f>
        <v>0</v>
      </c>
    </row>
    <row r="190" spans="1:9" x14ac:dyDescent="0.3">
      <c r="A190" s="186" t="s">
        <v>155</v>
      </c>
      <c r="B190" s="184">
        <f>'$1.5 per hr + $1 Projection'!R11</f>
        <v>0</v>
      </c>
      <c r="C190" s="185">
        <f>'$1.5 per hr + $1 Projection'!S11</f>
        <v>0</v>
      </c>
      <c r="D190" s="185">
        <f>'$1.5 per hr + $1 Projection'!T11</f>
        <v>0</v>
      </c>
      <c r="E190" s="185">
        <f>'$1.5 per hr + $1 Projection'!U11</f>
        <v>0</v>
      </c>
      <c r="F190" s="185">
        <f>'$1.5 per hr + $1 Projection'!V11</f>
        <v>317875.57730181672</v>
      </c>
      <c r="G190" s="185">
        <f>'$1.5 per hr + $1 Projection'!W11</f>
        <v>0</v>
      </c>
      <c r="H190" s="185">
        <f>'$1.5 per hr + $1 Projection'!X11</f>
        <v>0</v>
      </c>
      <c r="I190" s="185">
        <f>'$1.5 per hr + $1 Projection'!Y11</f>
        <v>0</v>
      </c>
    </row>
    <row r="191" spans="1:9" x14ac:dyDescent="0.3">
      <c r="A191" s="186" t="s">
        <v>154</v>
      </c>
      <c r="B191" s="184">
        <f>'$1.5 per hr + $1 Projection'!R12</f>
        <v>0</v>
      </c>
      <c r="C191" s="185">
        <f>'$1.5 per hr + $1 Projection'!S12</f>
        <v>0</v>
      </c>
      <c r="D191" s="185">
        <f>'$1.5 per hr + $1 Projection'!T12</f>
        <v>0</v>
      </c>
      <c r="E191" s="185">
        <f>'$1.5 per hr + $1 Projection'!U12</f>
        <v>0</v>
      </c>
      <c r="F191" s="185">
        <f>'$1.5 per hr + $1 Projection'!V12</f>
        <v>202284.45828297429</v>
      </c>
      <c r="G191" s="185">
        <f>'$1.5 per hr + $1 Projection'!W12</f>
        <v>0</v>
      </c>
      <c r="H191" s="185">
        <f>'$1.5 per hr + $1 Projection'!X12</f>
        <v>0</v>
      </c>
      <c r="I191" s="185">
        <f>'$1.5 per hr + $1 Projection'!Y12</f>
        <v>0</v>
      </c>
    </row>
    <row r="192" spans="1:9" x14ac:dyDescent="0.3">
      <c r="A192" s="186" t="s">
        <v>279</v>
      </c>
      <c r="B192" s="184">
        <f>'$1.5 per hr + $1 Projection'!R13</f>
        <v>1168475.5624505733</v>
      </c>
      <c r="C192" s="185">
        <f>'$1.5 per hr + $1 Projection'!S13</f>
        <v>1203529.8293240904</v>
      </c>
      <c r="D192" s="185">
        <f>'$1.5 per hr + $1 Projection'!T13</f>
        <v>1239635.7242038131</v>
      </c>
      <c r="E192" s="185">
        <f>'$1.5 per hr + $1 Projection'!U13</f>
        <v>1276824.7959299274</v>
      </c>
      <c r="F192" s="185">
        <f>'$1.5 per hr + $1 Projection'!V13</f>
        <v>1315129.5398078251</v>
      </c>
      <c r="G192" s="185">
        <f>'$1.5 per hr + $1 Projection'!W13</f>
        <v>1354583.4260020598</v>
      </c>
      <c r="H192" s="185">
        <f>'$1.5 per hr + $1 Projection'!X13</f>
        <v>1395220.9287821215</v>
      </c>
      <c r="I192" s="185">
        <f>'$1.5 per hr + $1 Projection'!Y13</f>
        <v>1437077.5566455855</v>
      </c>
    </row>
    <row r="193" spans="1:9" x14ac:dyDescent="0.3">
      <c r="A193" s="186" t="s">
        <v>282</v>
      </c>
      <c r="B193" s="184">
        <f>'$1.5 per hr + $1 Projection'!R14</f>
        <v>118405.5236616581</v>
      </c>
      <c r="C193" s="185">
        <f>'$1.5 per hr + $1 Projection'!S14</f>
        <v>121957.68937150782</v>
      </c>
      <c r="D193" s="185">
        <f>'$1.5 per hr + $1 Projection'!T14</f>
        <v>125616.42005265305</v>
      </c>
      <c r="E193" s="185">
        <f>'$1.5 per hr + $1 Projection'!U14</f>
        <v>129384.91265423264</v>
      </c>
      <c r="F193" s="185">
        <f>'$1.5 per hr + $1 Projection'!V14</f>
        <v>133266.46003385962</v>
      </c>
      <c r="G193" s="185">
        <f>'$1.5 per hr + $1 Projection'!W14</f>
        <v>137264.4538348754</v>
      </c>
      <c r="H193" s="185">
        <f>'$1.5 per hr + $1 Projection'!X14</f>
        <v>141382.38744992166</v>
      </c>
      <c r="I193" s="185">
        <f>'$1.5 per hr + $1 Projection'!Y14</f>
        <v>145623.85907341933</v>
      </c>
    </row>
    <row r="194" spans="1:9" x14ac:dyDescent="0.3">
      <c r="A194" s="187" t="s">
        <v>328</v>
      </c>
      <c r="B194" s="184">
        <f>'$1.5 per hr + $1 Projection'!R15</f>
        <v>109061.75068615611</v>
      </c>
      <c r="C194" s="185">
        <f>'$1.5 per hr + $1 Projection'!S15</f>
        <v>109607.05943958688</v>
      </c>
      <c r="D194" s="185">
        <f>'$1.5 per hr + $1 Projection'!T15</f>
        <v>110155.09473678481</v>
      </c>
      <c r="E194" s="185">
        <f>'$1.5 per hr + $1 Projection'!U15</f>
        <v>110705.87021046871</v>
      </c>
      <c r="F194" s="185">
        <f>'$1.5 per hr + $1 Projection'!V15</f>
        <v>148227.08403511523</v>
      </c>
      <c r="G194" s="185">
        <f>'$1.5 per hr + $1 Projection'!W15</f>
        <v>148968.21945529076</v>
      </c>
      <c r="H194" s="185">
        <f>'$1.5 per hr + $1 Projection'!X15</f>
        <v>149713.06055256721</v>
      </c>
      <c r="I194" s="185">
        <f>'$1.5 per hr + $1 Projection'!Y15</f>
        <v>150461.62585533</v>
      </c>
    </row>
    <row r="195" spans="1:9" x14ac:dyDescent="0.3">
      <c r="A195" s="187" t="s">
        <v>189</v>
      </c>
      <c r="B195" s="184">
        <f>'$1.5 per hr + $1 Projection'!R16</f>
        <v>389491.85415019112</v>
      </c>
      <c r="C195" s="185">
        <f>'$1.5 per hr + $1 Projection'!S16</f>
        <v>401176.60977469676</v>
      </c>
      <c r="D195" s="185">
        <f>'$1.5 per hr + $1 Projection'!T16</f>
        <v>413211.90806793765</v>
      </c>
      <c r="E195" s="185">
        <f>'$1.5 per hr + $1 Projection'!U16</f>
        <v>425608.26530997583</v>
      </c>
      <c r="F195" s="185">
        <f>'$1.5 per hr + $1 Projection'!V16</f>
        <v>438376.51326927508</v>
      </c>
      <c r="G195" s="185">
        <f>'$1.5 per hr + $1 Projection'!W16</f>
        <v>451527.8086673533</v>
      </c>
      <c r="H195" s="185">
        <f>'$1.5 per hr + $1 Projection'!X16</f>
        <v>465073.64292737388</v>
      </c>
      <c r="I195" s="185">
        <f>'$1.5 per hr + $1 Projection'!Y16</f>
        <v>479025.85221519513</v>
      </c>
    </row>
    <row r="196" spans="1:9" x14ac:dyDescent="0.3">
      <c r="A196" s="183" t="s">
        <v>257</v>
      </c>
      <c r="B196" s="188">
        <f>'$1.5 per hr + $1 Projection'!R17</f>
        <v>1785434.6909485788</v>
      </c>
      <c r="C196" s="189">
        <f>'$1.5 per hr + $1 Projection'!S17</f>
        <v>1836271.1879098821</v>
      </c>
      <c r="D196" s="189">
        <f>'$1.5 per hr + $1 Projection'!T17</f>
        <v>1888619.1470611885</v>
      </c>
      <c r="E196" s="189">
        <f>'$1.5 per hr + $1 Projection'!U17</f>
        <v>1942523.8441046048</v>
      </c>
      <c r="F196" s="189">
        <f>'$1.5 per hr + $1 Projection'!V17</f>
        <v>3566581.9241457377</v>
      </c>
      <c r="G196" s="189">
        <f>'$1.5 per hr + $1 Projection'!W17</f>
        <v>2092343.9079595795</v>
      </c>
      <c r="H196" s="189">
        <f>'$1.5 per hr + $1 Projection'!X17</f>
        <v>2151390.0197119843</v>
      </c>
      <c r="I196" s="189">
        <f>'$1.5 per hr + $1 Projection'!Y17</f>
        <v>2212188.8937895298</v>
      </c>
    </row>
    <row r="197" spans="1:9" x14ac:dyDescent="0.3">
      <c r="A197" s="180"/>
      <c r="B197" s="181"/>
      <c r="C197" s="182"/>
      <c r="D197" s="182"/>
      <c r="E197" s="182"/>
      <c r="F197" s="182"/>
      <c r="G197" s="182"/>
      <c r="H197" s="182"/>
      <c r="I197" s="182"/>
    </row>
    <row r="198" spans="1:9" x14ac:dyDescent="0.3">
      <c r="A198" s="190" t="s">
        <v>182</v>
      </c>
      <c r="B198" s="191">
        <f>'$1.5 per hr + $1 Projection'!R19</f>
        <v>2253889.4085386842</v>
      </c>
      <c r="C198" s="192">
        <f>'$1.5 per hr + $1 Projection'!S19</f>
        <v>2223249.532074817</v>
      </c>
      <c r="D198" s="192">
        <f>'$1.5 per hr + $1 Projection'!T19</f>
        <v>2191199.176523434</v>
      </c>
      <c r="E198" s="192">
        <f>'$1.5 per hr + $1 Projection'!U19</f>
        <v>2157693.5710979402</v>
      </c>
      <c r="F198" s="192">
        <f>'$1.5 per hr + $1 Projection'!V19</f>
        <v>1923310.0771548264</v>
      </c>
      <c r="G198" s="192">
        <f>'$1.5 per hr + $1 Projection'!W19</f>
        <v>3424997.5533474861</v>
      </c>
      <c r="H198" s="192">
        <f>'$1.5 per hr + $1 Projection'!X19</f>
        <v>3393538.1489016162</v>
      </c>
      <c r="I198" s="192">
        <f>'$1.5 per hr + $1 Projection'!Y19</f>
        <v>3360463.9156671371</v>
      </c>
    </row>
    <row r="202" spans="1:9" x14ac:dyDescent="0.3">
      <c r="A202" s="171" t="s">
        <v>292</v>
      </c>
      <c r="B202" s="172">
        <f>'$1.5 per hr + $1 Projection'!Z3</f>
        <v>2049</v>
      </c>
      <c r="C202" s="173">
        <f>'$1.5 per hr + $1 Projection'!AA3</f>
        <v>2050</v>
      </c>
    </row>
    <row r="203" spans="1:9" x14ac:dyDescent="0.3">
      <c r="A203" s="174" t="s">
        <v>138</v>
      </c>
      <c r="B203" s="175"/>
      <c r="C203" s="176"/>
    </row>
    <row r="204" spans="1:9" x14ac:dyDescent="0.3">
      <c r="A204" s="177" t="s">
        <v>280</v>
      </c>
      <c r="B204" s="175">
        <f>'$1.5 per hr + $1 Projection'!Z5</f>
        <v>5095817.6662478056</v>
      </c>
      <c r="C204" s="176">
        <f>'$1.5 per hr + $1 Projection'!AA5</f>
        <v>5121296.7545790439</v>
      </c>
    </row>
    <row r="205" spans="1:9" x14ac:dyDescent="0.3">
      <c r="A205" s="177" t="s">
        <v>299</v>
      </c>
      <c r="B205" s="175">
        <f>'$1.5 per hr + $1 Projection'!Z6</f>
        <v>504698.40725614375</v>
      </c>
      <c r="C205" s="176">
        <f>'$1.5 per hr + $1 Projection'!AA6</f>
        <v>507221.8992924245</v>
      </c>
    </row>
    <row r="206" spans="1:9" x14ac:dyDescent="0.3">
      <c r="A206" s="174" t="s">
        <v>281</v>
      </c>
      <c r="B206" s="178">
        <f>'$1.5 per hr + $1 Projection'!Z7</f>
        <v>5600516.0735039497</v>
      </c>
      <c r="C206" s="179">
        <f>'$1.5 per hr + $1 Projection'!AA7</f>
        <v>5628518.6538714683</v>
      </c>
    </row>
    <row r="207" spans="1:9" x14ac:dyDescent="0.3">
      <c r="A207" s="180"/>
      <c r="B207" s="181"/>
      <c r="C207" s="182"/>
    </row>
    <row r="208" spans="1:9" x14ac:dyDescent="0.3">
      <c r="A208" s="183" t="s">
        <v>181</v>
      </c>
      <c r="B208" s="184"/>
      <c r="C208" s="185"/>
    </row>
    <row r="209" spans="1:9" x14ac:dyDescent="0.3">
      <c r="A209" s="186" t="s">
        <v>320</v>
      </c>
      <c r="B209" s="184">
        <f>'$1.5 per hr + $1 Projection'!Z10</f>
        <v>0</v>
      </c>
      <c r="C209" s="185">
        <f>'$1.5 per hr + $1 Projection'!AA10</f>
        <v>0</v>
      </c>
    </row>
    <row r="210" spans="1:9" x14ac:dyDescent="0.3">
      <c r="A210" s="186" t="s">
        <v>155</v>
      </c>
      <c r="B210" s="184">
        <f>'$1.5 per hr + $1 Projection'!Z11</f>
        <v>0</v>
      </c>
      <c r="C210" s="185">
        <f>'$1.5 per hr + $1 Projection'!AA11</f>
        <v>0</v>
      </c>
    </row>
    <row r="211" spans="1:9" x14ac:dyDescent="0.3">
      <c r="A211" s="186" t="s">
        <v>154</v>
      </c>
      <c r="B211" s="184">
        <f>'$1.5 per hr + $1 Projection'!Z12</f>
        <v>0</v>
      </c>
      <c r="C211" s="185">
        <f>'$1.5 per hr + $1 Projection'!AA12</f>
        <v>0</v>
      </c>
    </row>
    <row r="212" spans="1:9" x14ac:dyDescent="0.3">
      <c r="A212" s="186" t="s">
        <v>279</v>
      </c>
      <c r="B212" s="184">
        <f>'$1.5 per hr + $1 Projection'!Z13</f>
        <v>1480189.8833449529</v>
      </c>
      <c r="C212" s="185">
        <f>'$1.5 per hr + $1 Projection'!AA13</f>
        <v>1524595.5798453013</v>
      </c>
    </row>
    <row r="213" spans="1:9" x14ac:dyDescent="0.3">
      <c r="A213" s="186" t="s">
        <v>282</v>
      </c>
      <c r="B213" s="184">
        <f>'$1.5 per hr + $1 Projection'!Z14</f>
        <v>149992.57484562192</v>
      </c>
      <c r="C213" s="185">
        <f>'$1.5 per hr + $1 Projection'!AA14</f>
        <v>154492.35209099055</v>
      </c>
    </row>
    <row r="214" spans="1:9" x14ac:dyDescent="0.3">
      <c r="A214" s="187" t="s">
        <v>328</v>
      </c>
      <c r="B214" s="184">
        <f>'$1.5 per hr + $1 Projection'!Z15</f>
        <v>151213.93398460664</v>
      </c>
      <c r="C214" s="185">
        <f>'$1.5 per hr + $1 Projection'!AA15</f>
        <v>151970.00365452966</v>
      </c>
    </row>
    <row r="215" spans="1:9" x14ac:dyDescent="0.3">
      <c r="A215" s="187" t="s">
        <v>189</v>
      </c>
      <c r="B215" s="184">
        <f>'$1.5 per hr + $1 Projection'!Z16</f>
        <v>493396.62778165098</v>
      </c>
      <c r="C215" s="185">
        <f>'$1.5 per hr + $1 Projection'!AA16</f>
        <v>508198.52661510045</v>
      </c>
    </row>
    <row r="216" spans="1:9" x14ac:dyDescent="0.3">
      <c r="A216" s="183" t="s">
        <v>257</v>
      </c>
      <c r="B216" s="188">
        <f>'$1.5 per hr + $1 Projection'!Z17</f>
        <v>2274793.0199568323</v>
      </c>
      <c r="C216" s="189">
        <f>'$1.5 per hr + $1 Projection'!AA17</f>
        <v>2339256.4622059222</v>
      </c>
    </row>
    <row r="217" spans="1:9" x14ac:dyDescent="0.3">
      <c r="A217" s="180"/>
      <c r="B217" s="181"/>
      <c r="C217" s="182"/>
    </row>
    <row r="218" spans="1:9" x14ac:dyDescent="0.3">
      <c r="A218" s="190" t="s">
        <v>182</v>
      </c>
      <c r="B218" s="191">
        <f>'$1.5 per hr + $1 Projection'!Z19</f>
        <v>3325723.0535471174</v>
      </c>
      <c r="C218" s="192">
        <f>'$1.5 per hr + $1 Projection'!AA19</f>
        <v>3289262.191665546</v>
      </c>
    </row>
    <row r="221" spans="1:9" ht="16.5" x14ac:dyDescent="0.3">
      <c r="A221" s="166" t="s">
        <v>316</v>
      </c>
    </row>
    <row r="223" spans="1:9" x14ac:dyDescent="0.3">
      <c r="A223" s="171" t="s">
        <v>292</v>
      </c>
      <c r="B223" s="172">
        <f>'$2 per hr + $0.5 Projection'!B3</f>
        <v>2025</v>
      </c>
      <c r="C223" s="173">
        <f>'$2 per hr + $0.5 Projection'!C3</f>
        <v>2026</v>
      </c>
      <c r="D223" s="173">
        <f>'$2 per hr + $0.5 Projection'!D3</f>
        <v>2027</v>
      </c>
      <c r="E223" s="173">
        <f>'$2 per hr + $0.5 Projection'!E3</f>
        <v>2028</v>
      </c>
      <c r="F223" s="173">
        <f>'$2 per hr + $0.5 Projection'!F3</f>
        <v>2029</v>
      </c>
      <c r="G223" s="173">
        <f>'$2 per hr + $0.5 Projection'!G3</f>
        <v>2030</v>
      </c>
      <c r="H223" s="173">
        <f>'$2 per hr + $0.5 Projection'!H3</f>
        <v>2031</v>
      </c>
      <c r="I223" s="173">
        <f>'$2 per hr + $0.5 Projection'!I3</f>
        <v>2032</v>
      </c>
    </row>
    <row r="224" spans="1:9" x14ac:dyDescent="0.3">
      <c r="A224" s="174" t="s">
        <v>138</v>
      </c>
      <c r="B224" s="175"/>
      <c r="C224" s="176"/>
      <c r="D224" s="176"/>
      <c r="E224" s="176"/>
      <c r="F224" s="176"/>
      <c r="G224" s="176"/>
      <c r="H224" s="176"/>
      <c r="I224" s="176"/>
    </row>
    <row r="225" spans="1:9" x14ac:dyDescent="0.3">
      <c r="A225" s="177" t="s">
        <v>280</v>
      </c>
      <c r="B225" s="175">
        <f>'$2 per hr + $0.5 Projection'!B5</f>
        <v>0</v>
      </c>
      <c r="C225" s="176">
        <f>'$2 per hr + $0.5 Projection'!C5</f>
        <v>2822468.4049209259</v>
      </c>
      <c r="D225" s="176">
        <f>'$2 per hr + $0.5 Projection'!D5</f>
        <v>2634626.9038940645</v>
      </c>
      <c r="E225" s="176">
        <f>'$2 per hr + $0.5 Projection'!E5</f>
        <v>2647800.0384135344</v>
      </c>
      <c r="F225" s="176">
        <f>'$2 per hr + $0.5 Projection'!F5</f>
        <v>2661039.038605602</v>
      </c>
      <c r="G225" s="176">
        <f>'$2 per hr + $0.5 Projection'!G5</f>
        <v>2674344.2337986296</v>
      </c>
      <c r="H225" s="176">
        <f>'$2 per hr + $0.5 Projection'!H5</f>
        <v>2687715.9549676217</v>
      </c>
      <c r="I225" s="176">
        <f>'$2 per hr + $0.5 Projection'!I5</f>
        <v>2701154.5347424597</v>
      </c>
    </row>
    <row r="226" spans="1:9" x14ac:dyDescent="0.3">
      <c r="A226" s="177" t="s">
        <v>299</v>
      </c>
      <c r="B226" s="175">
        <f>'$2 per hr + $0.5 Projection'!B6</f>
        <v>0</v>
      </c>
      <c r="C226" s="176">
        <f>'$2 per hr + $0.5 Projection'!C6</f>
        <v>450000</v>
      </c>
      <c r="D226" s="176">
        <f>'$2 per hr + $0.5 Projection'!D6</f>
        <v>452249.99999999994</v>
      </c>
      <c r="E226" s="176">
        <f>'$2 per hr + $0.5 Projection'!E6</f>
        <v>454511.24999999988</v>
      </c>
      <c r="F226" s="176">
        <f>'$2 per hr + $0.5 Projection'!F6</f>
        <v>456783.80624999985</v>
      </c>
      <c r="G226" s="176">
        <f>'$2 per hr + $0.5 Projection'!G6</f>
        <v>459067.72528124973</v>
      </c>
      <c r="H226" s="176">
        <f>'$2 per hr + $0.5 Projection'!H6</f>
        <v>461363.06390765589</v>
      </c>
      <c r="I226" s="176">
        <f>'$2 per hr + $0.5 Projection'!I6</f>
        <v>463669.87922719406</v>
      </c>
    </row>
    <row r="227" spans="1:9" x14ac:dyDescent="0.3">
      <c r="A227" s="174" t="s">
        <v>281</v>
      </c>
      <c r="B227" s="178">
        <f>'$2 per hr + $0.5 Projection'!B7</f>
        <v>0</v>
      </c>
      <c r="C227" s="179">
        <f>'$2 per hr + $0.5 Projection'!C7</f>
        <v>3272468.4049209259</v>
      </c>
      <c r="D227" s="179">
        <f>'$2 per hr + $0.5 Projection'!D7</f>
        <v>3086876.9038940645</v>
      </c>
      <c r="E227" s="179">
        <f>'$2 per hr + $0.5 Projection'!E7</f>
        <v>3102311.2884135344</v>
      </c>
      <c r="F227" s="179">
        <f>'$2 per hr + $0.5 Projection'!F7</f>
        <v>3117822.8448556019</v>
      </c>
      <c r="G227" s="179">
        <f>'$2 per hr + $0.5 Projection'!G7</f>
        <v>3133411.9590798793</v>
      </c>
      <c r="H227" s="179">
        <f>'$2 per hr + $0.5 Projection'!H7</f>
        <v>3149079.0188752776</v>
      </c>
      <c r="I227" s="179">
        <f>'$2 per hr + $0.5 Projection'!I7</f>
        <v>3164824.4139696537</v>
      </c>
    </row>
    <row r="228" spans="1:9" x14ac:dyDescent="0.3">
      <c r="A228" s="180"/>
      <c r="B228" s="181"/>
      <c r="C228" s="182"/>
      <c r="D228" s="182"/>
      <c r="E228" s="182"/>
      <c r="F228" s="182"/>
      <c r="G228" s="182"/>
      <c r="H228" s="182"/>
      <c r="I228" s="182"/>
    </row>
    <row r="229" spans="1:9" x14ac:dyDescent="0.3">
      <c r="A229" s="183" t="s">
        <v>181</v>
      </c>
      <c r="B229" s="184"/>
      <c r="C229" s="185"/>
      <c r="D229" s="185"/>
      <c r="E229" s="185"/>
      <c r="F229" s="185"/>
      <c r="G229" s="185"/>
      <c r="H229" s="185"/>
      <c r="I229" s="185"/>
    </row>
    <row r="230" spans="1:9" x14ac:dyDescent="0.3">
      <c r="A230" s="186" t="s">
        <v>320</v>
      </c>
      <c r="B230" s="184">
        <f>'$2 per hr + $0.5 Projection'!B10</f>
        <v>560000</v>
      </c>
      <c r="C230" s="185">
        <f>'$2 per hr + $0.5 Projection'!C10</f>
        <v>0</v>
      </c>
      <c r="D230" s="185">
        <f>'$2 per hr + $0.5 Projection'!D10</f>
        <v>0</v>
      </c>
      <c r="E230" s="185">
        <f>'$2 per hr + $0.5 Projection'!E10</f>
        <v>0</v>
      </c>
      <c r="F230" s="185">
        <f>'$2 per hr + $0.5 Projection'!F10</f>
        <v>0</v>
      </c>
      <c r="G230" s="185">
        <f>'$2 per hr + $0.5 Projection'!G10</f>
        <v>0</v>
      </c>
      <c r="H230" s="185">
        <f>'$2 per hr + $0.5 Projection'!H10</f>
        <v>0</v>
      </c>
      <c r="I230" s="185">
        <f>'$2 per hr + $0.5 Projection'!I10</f>
        <v>0</v>
      </c>
    </row>
    <row r="231" spans="1:9" x14ac:dyDescent="0.3">
      <c r="A231" s="186" t="s">
        <v>155</v>
      </c>
      <c r="B231" s="184">
        <f>'$2 per hr + $0.5 Projection'!B11</f>
        <v>176000</v>
      </c>
      <c r="C231" s="185">
        <f>'$2 per hr + $0.5 Projection'!C11</f>
        <v>0</v>
      </c>
      <c r="D231" s="185">
        <f>'$2 per hr + $0.5 Projection'!D11</f>
        <v>0</v>
      </c>
      <c r="E231" s="185">
        <f>'$2 per hr + $0.5 Projection'!E11</f>
        <v>0</v>
      </c>
      <c r="F231" s="185">
        <f>'$2 per hr + $0.5 Projection'!F11</f>
        <v>0</v>
      </c>
      <c r="G231" s="185">
        <f>'$2 per hr + $0.5 Projection'!G11</f>
        <v>0</v>
      </c>
      <c r="H231" s="185">
        <f>'$2 per hr + $0.5 Projection'!H11</f>
        <v>0</v>
      </c>
      <c r="I231" s="185">
        <f>'$2 per hr + $0.5 Projection'!I11</f>
        <v>0</v>
      </c>
    </row>
    <row r="232" spans="1:9" x14ac:dyDescent="0.3">
      <c r="A232" s="186" t="s">
        <v>154</v>
      </c>
      <c r="B232" s="184">
        <f>'$2 per hr + $0.5 Projection'!B12</f>
        <v>112000</v>
      </c>
      <c r="C232" s="185">
        <f>'$2 per hr + $0.5 Projection'!C12</f>
        <v>0</v>
      </c>
      <c r="D232" s="185">
        <f>'$2 per hr + $0.5 Projection'!D12</f>
        <v>0</v>
      </c>
      <c r="E232" s="185">
        <f>'$2 per hr + $0.5 Projection'!E12</f>
        <v>0</v>
      </c>
      <c r="F232" s="185">
        <f>'$2 per hr + $0.5 Projection'!F12</f>
        <v>0</v>
      </c>
      <c r="G232" s="185">
        <f>'$2 per hr + $0.5 Projection'!G12</f>
        <v>0</v>
      </c>
      <c r="H232" s="185">
        <f>'$2 per hr + $0.5 Projection'!H12</f>
        <v>0</v>
      </c>
      <c r="I232" s="185">
        <f>'$2 per hr + $0.5 Projection'!I12</f>
        <v>0</v>
      </c>
    </row>
    <row r="233" spans="1:9" x14ac:dyDescent="0.3">
      <c r="A233" s="186" t="s">
        <v>279</v>
      </c>
      <c r="B233" s="184">
        <f>'$2 per hr + $0.5 Projection'!B13</f>
        <v>0</v>
      </c>
      <c r="C233" s="185">
        <f>'$2 per hr + $0.5 Projection'!C13</f>
        <v>750000</v>
      </c>
      <c r="D233" s="185">
        <f>'$2 per hr + $0.5 Projection'!D13</f>
        <v>772500</v>
      </c>
      <c r="E233" s="185">
        <f>'$2 per hr + $0.5 Projection'!E13</f>
        <v>795675</v>
      </c>
      <c r="F233" s="185">
        <f>'$2 per hr + $0.5 Projection'!F13</f>
        <v>819545.25</v>
      </c>
      <c r="G233" s="185">
        <f>'$2 per hr + $0.5 Projection'!G13</f>
        <v>844131.60749999993</v>
      </c>
      <c r="H233" s="185">
        <f>'$2 per hr + $0.5 Projection'!H13</f>
        <v>869455.55572499987</v>
      </c>
      <c r="I233" s="185">
        <f>'$2 per hr + $0.5 Projection'!I13</f>
        <v>895539.22239674989</v>
      </c>
    </row>
    <row r="234" spans="1:9" x14ac:dyDescent="0.3">
      <c r="A234" s="186" t="s">
        <v>282</v>
      </c>
      <c r="B234" s="184">
        <f>'$2 per hr + $0.5 Projection'!B14</f>
        <v>0</v>
      </c>
      <c r="C234" s="185">
        <f>'$2 per hr + $0.5 Projection'!C14</f>
        <v>76000</v>
      </c>
      <c r="D234" s="185">
        <f>'$2 per hr + $0.5 Projection'!D14</f>
        <v>78280</v>
      </c>
      <c r="E234" s="185">
        <f>'$2 per hr + $0.5 Projection'!E14</f>
        <v>80628.399999999994</v>
      </c>
      <c r="F234" s="185">
        <f>'$2 per hr + $0.5 Projection'!F14</f>
        <v>83047.251999999993</v>
      </c>
      <c r="G234" s="185">
        <f>'$2 per hr + $0.5 Projection'!G14</f>
        <v>85538.669559999995</v>
      </c>
      <c r="H234" s="185">
        <f>'$2 per hr + $0.5 Projection'!H14</f>
        <v>88104.82964679999</v>
      </c>
      <c r="I234" s="185">
        <f>'$2 per hr + $0.5 Projection'!I14</f>
        <v>90747.974536203998</v>
      </c>
    </row>
    <row r="235" spans="1:9" x14ac:dyDescent="0.3">
      <c r="A235" s="187" t="s">
        <v>328</v>
      </c>
      <c r="B235" s="184">
        <f>'$2 per hr + $0.5 Projection'!B15</f>
        <v>0</v>
      </c>
      <c r="C235" s="185">
        <f>'$2 per hr + $0.5 Projection'!C15</f>
        <v>88356.646932864998</v>
      </c>
      <c r="D235" s="185">
        <f>'$2 per hr + $0.5 Projection'!D15</f>
        <v>83345.676405139748</v>
      </c>
      <c r="E235" s="185">
        <f>'$2 per hr + $0.5 Projection'!E15</f>
        <v>83762.404787165433</v>
      </c>
      <c r="F235" s="185">
        <f>'$2 per hr + $0.5 Projection'!F15</f>
        <v>84181.216811101258</v>
      </c>
      <c r="G235" s="185">
        <f>'$2 per hr + $0.5 Projection'!G15</f>
        <v>84602.122895156732</v>
      </c>
      <c r="H235" s="185">
        <f>'$2 per hr + $0.5 Projection'!H15</f>
        <v>85025.133509632491</v>
      </c>
      <c r="I235" s="185">
        <f>'$2 per hr + $0.5 Projection'!I15</f>
        <v>85450.259177180647</v>
      </c>
    </row>
    <row r="236" spans="1:9" x14ac:dyDescent="0.3">
      <c r="A236" s="187" t="s">
        <v>189</v>
      </c>
      <c r="B236" s="184">
        <f>'$2 per hr + $0.5 Projection'!B16</f>
        <v>0</v>
      </c>
      <c r="C236" s="185">
        <f>'$2 per hr + $0.5 Projection'!C16</f>
        <v>250000</v>
      </c>
      <c r="D236" s="185">
        <f>'$2 per hr + $0.5 Projection'!D16</f>
        <v>257500</v>
      </c>
      <c r="E236" s="185">
        <f>'$2 per hr + $0.5 Projection'!E16</f>
        <v>265225</v>
      </c>
      <c r="F236" s="185">
        <f>'$2 per hr + $0.5 Projection'!F16</f>
        <v>273181.75</v>
      </c>
      <c r="G236" s="185">
        <f>'$2 per hr + $0.5 Projection'!G16</f>
        <v>281377.20249999996</v>
      </c>
      <c r="H236" s="185">
        <f>'$2 per hr + $0.5 Projection'!H16</f>
        <v>289818.51857499994</v>
      </c>
      <c r="I236" s="185">
        <f>'$2 per hr + $0.5 Projection'!I16</f>
        <v>298513.07413224998</v>
      </c>
    </row>
    <row r="237" spans="1:9" x14ac:dyDescent="0.3">
      <c r="A237" s="183" t="s">
        <v>257</v>
      </c>
      <c r="B237" s="188">
        <f>'$2 per hr + $0.5 Projection'!B17</f>
        <v>848000</v>
      </c>
      <c r="C237" s="189">
        <f>'$2 per hr + $0.5 Projection'!C17</f>
        <v>1164356.646932865</v>
      </c>
      <c r="D237" s="189">
        <f>'$2 per hr + $0.5 Projection'!D17</f>
        <v>1191625.6764051397</v>
      </c>
      <c r="E237" s="189">
        <f>'$2 per hr + $0.5 Projection'!E17</f>
        <v>1225290.8047871655</v>
      </c>
      <c r="F237" s="189">
        <f>'$2 per hr + $0.5 Projection'!F17</f>
        <v>1259955.4688111013</v>
      </c>
      <c r="G237" s="189">
        <f>'$2 per hr + $0.5 Projection'!G17</f>
        <v>1295649.6024551566</v>
      </c>
      <c r="H237" s="189">
        <f>'$2 per hr + $0.5 Projection'!H17</f>
        <v>1332404.0374564321</v>
      </c>
      <c r="I237" s="189">
        <f>'$2 per hr + $0.5 Projection'!I17</f>
        <v>1370250.5302423844</v>
      </c>
    </row>
    <row r="238" spans="1:9" x14ac:dyDescent="0.3">
      <c r="A238" s="180"/>
      <c r="B238" s="181"/>
      <c r="C238" s="182"/>
      <c r="D238" s="182"/>
      <c r="E238" s="182"/>
      <c r="F238" s="182"/>
      <c r="G238" s="182"/>
      <c r="H238" s="182"/>
      <c r="I238" s="182"/>
    </row>
    <row r="239" spans="1:9" x14ac:dyDescent="0.3">
      <c r="A239" s="190" t="s">
        <v>182</v>
      </c>
      <c r="B239" s="191">
        <f>'$2 per hr + $0.5 Projection'!B19</f>
        <v>-848000</v>
      </c>
      <c r="C239" s="192">
        <f>'$2 per hr + $0.5 Projection'!C19</f>
        <v>2108111.7579880608</v>
      </c>
      <c r="D239" s="192">
        <f>'$2 per hr + $0.5 Projection'!D19</f>
        <v>1895251.2274889247</v>
      </c>
      <c r="E239" s="192">
        <f>'$2 per hr + $0.5 Projection'!E19</f>
        <v>1877020.4836263689</v>
      </c>
      <c r="F239" s="192">
        <f>'$2 per hr + $0.5 Projection'!F19</f>
        <v>1857867.3760445006</v>
      </c>
      <c r="G239" s="192">
        <f>'$2 per hr + $0.5 Projection'!G19</f>
        <v>1837762.3566247227</v>
      </c>
      <c r="H239" s="192">
        <f>'$2 per hr + $0.5 Projection'!H19</f>
        <v>1816674.9814188455</v>
      </c>
      <c r="I239" s="192">
        <f>'$2 per hr + $0.5 Projection'!I19</f>
        <v>1794573.8837272692</v>
      </c>
    </row>
    <row r="243" spans="1:9" x14ac:dyDescent="0.3">
      <c r="A243" s="171" t="s">
        <v>292</v>
      </c>
      <c r="B243" s="172">
        <f>'$2 per hr + $0.5 Projection'!J3</f>
        <v>2033</v>
      </c>
      <c r="C243" s="173">
        <f>'$2 per hr + $0.5 Projection'!K3</f>
        <v>2034</v>
      </c>
      <c r="D243" s="173">
        <f>'$2 per hr + $0.5 Projection'!L3</f>
        <v>2035</v>
      </c>
      <c r="E243" s="173">
        <f>'$2 per hr + $0.5 Projection'!M3</f>
        <v>2036</v>
      </c>
      <c r="F243" s="173">
        <f>'$2 per hr + $0.5 Projection'!N3</f>
        <v>2037</v>
      </c>
      <c r="G243" s="173">
        <f>'$2 per hr + $0.5 Projection'!O3</f>
        <v>2038</v>
      </c>
      <c r="H243" s="173">
        <f>'$2 per hr + $0.5 Projection'!P3</f>
        <v>2039</v>
      </c>
      <c r="I243" s="173">
        <f>'$2 per hr + $0.5 Projection'!Q3</f>
        <v>2040</v>
      </c>
    </row>
    <row r="244" spans="1:9" x14ac:dyDescent="0.3">
      <c r="A244" s="174" t="s">
        <v>138</v>
      </c>
      <c r="B244" s="175"/>
      <c r="C244" s="176"/>
      <c r="D244" s="176"/>
      <c r="E244" s="176"/>
      <c r="F244" s="176"/>
      <c r="G244" s="176"/>
      <c r="H244" s="176"/>
      <c r="I244" s="176"/>
    </row>
    <row r="245" spans="1:9" x14ac:dyDescent="0.3">
      <c r="A245" s="177" t="s">
        <v>280</v>
      </c>
      <c r="B245" s="175">
        <f>'$2 per hr + $0.5 Projection'!J5</f>
        <v>2714660.3074161713</v>
      </c>
      <c r="C245" s="176">
        <f>'$2 per hr + $0.5 Projection'!K5</f>
        <v>2728233.608953252</v>
      </c>
      <c r="D245" s="176">
        <f>'$2 per hr + $0.5 Projection'!L5</f>
        <v>3393070.0365350475</v>
      </c>
      <c r="E245" s="176">
        <f>'$2 per hr + $0.5 Projection'!M5</f>
        <v>3410035.3867177223</v>
      </c>
      <c r="F245" s="176">
        <f>'$2 per hr + $0.5 Projection'!N5</f>
        <v>3427085.5636513103</v>
      </c>
      <c r="G245" s="176">
        <f>'$2 per hr + $0.5 Projection'!O5</f>
        <v>3444220.9914695658</v>
      </c>
      <c r="H245" s="176">
        <f>'$2 per hr + $0.5 Projection'!P5</f>
        <v>3461442.096426913</v>
      </c>
      <c r="I245" s="176">
        <f>'$2 per hr + $0.5 Projection'!Q5</f>
        <v>3478749.3069090471</v>
      </c>
    </row>
    <row r="246" spans="1:9" x14ac:dyDescent="0.3">
      <c r="A246" s="177" t="s">
        <v>299</v>
      </c>
      <c r="B246" s="175">
        <f>'$2 per hr + $0.5 Projection'!J6</f>
        <v>465988.22862333001</v>
      </c>
      <c r="C246" s="176">
        <f>'$2 per hr + $0.5 Projection'!K6</f>
        <v>468318.16976644658</v>
      </c>
      <c r="D246" s="176">
        <f>'$2 per hr + $0.5 Projection'!L6</f>
        <v>470659.76061527879</v>
      </c>
      <c r="E246" s="176">
        <f>'$2 per hr + $0.5 Projection'!M6</f>
        <v>473013.05941835511</v>
      </c>
      <c r="F246" s="176">
        <f>'$2 per hr + $0.5 Projection'!N6</f>
        <v>475378.12471544684</v>
      </c>
      <c r="G246" s="176">
        <f>'$2 per hr + $0.5 Projection'!O6</f>
        <v>477755.0153390239</v>
      </c>
      <c r="H246" s="176">
        <f>'$2 per hr + $0.5 Projection'!P6</f>
        <v>480143.79041571904</v>
      </c>
      <c r="I246" s="176">
        <f>'$2 per hr + $0.5 Projection'!Q6</f>
        <v>482544.50936779752</v>
      </c>
    </row>
    <row r="247" spans="1:9" x14ac:dyDescent="0.3">
      <c r="A247" s="174" t="s">
        <v>281</v>
      </c>
      <c r="B247" s="178">
        <f>'$2 per hr + $0.5 Projection'!J7</f>
        <v>3180648.5360395014</v>
      </c>
      <c r="C247" s="179">
        <f>'$2 per hr + $0.5 Projection'!K7</f>
        <v>3196551.7787196985</v>
      </c>
      <c r="D247" s="179">
        <f>'$2 per hr + $0.5 Projection'!L7</f>
        <v>3863729.7971503264</v>
      </c>
      <c r="E247" s="179">
        <f>'$2 per hr + $0.5 Projection'!M7</f>
        <v>3883048.4461360774</v>
      </c>
      <c r="F247" s="179">
        <f>'$2 per hr + $0.5 Projection'!N7</f>
        <v>3902463.6883667572</v>
      </c>
      <c r="G247" s="179">
        <f>'$2 per hr + $0.5 Projection'!O7</f>
        <v>3921976.0068085897</v>
      </c>
      <c r="H247" s="179">
        <f>'$2 per hr + $0.5 Projection'!P7</f>
        <v>3941585.8868426322</v>
      </c>
      <c r="I247" s="179">
        <f>'$2 per hr + $0.5 Projection'!Q7</f>
        <v>3961293.8162768446</v>
      </c>
    </row>
    <row r="248" spans="1:9" x14ac:dyDescent="0.3">
      <c r="A248" s="180"/>
      <c r="B248" s="181"/>
      <c r="C248" s="182"/>
      <c r="D248" s="182"/>
      <c r="E248" s="182"/>
      <c r="F248" s="182"/>
      <c r="G248" s="182"/>
      <c r="H248" s="182"/>
      <c r="I248" s="182"/>
    </row>
    <row r="249" spans="1:9" x14ac:dyDescent="0.3">
      <c r="A249" s="183" t="s">
        <v>181</v>
      </c>
      <c r="B249" s="184"/>
      <c r="C249" s="185"/>
      <c r="D249" s="185"/>
      <c r="E249" s="185"/>
      <c r="F249" s="185"/>
      <c r="G249" s="185"/>
      <c r="H249" s="185"/>
      <c r="I249" s="185"/>
    </row>
    <row r="250" spans="1:9" x14ac:dyDescent="0.3">
      <c r="A250" s="186" t="s">
        <v>320</v>
      </c>
      <c r="B250" s="184">
        <f>'$2 per hr + $0.5 Projection'!J10</f>
        <v>0</v>
      </c>
      <c r="C250" s="185">
        <f>'$2 per hr + $0.5 Projection'!K10</f>
        <v>0</v>
      </c>
      <c r="D250" s="185">
        <f>'$2 per hr + $0.5 Projection'!L10</f>
        <v>752593.1724327082</v>
      </c>
      <c r="E250" s="185">
        <f>'$2 per hr + $0.5 Projection'!M10</f>
        <v>0</v>
      </c>
      <c r="F250" s="185">
        <f>'$2 per hr + $0.5 Projection'!N10</f>
        <v>0</v>
      </c>
      <c r="G250" s="185">
        <f>'$2 per hr + $0.5 Projection'!O10</f>
        <v>0</v>
      </c>
      <c r="H250" s="185">
        <f>'$2 per hr + $0.5 Projection'!P10</f>
        <v>0</v>
      </c>
      <c r="I250" s="185">
        <f>'$2 per hr + $0.5 Projection'!Q10</f>
        <v>0</v>
      </c>
    </row>
    <row r="251" spans="1:9" x14ac:dyDescent="0.3">
      <c r="A251" s="186" t="s">
        <v>155</v>
      </c>
      <c r="B251" s="184">
        <f>'$2 per hr + $0.5 Projection'!J11</f>
        <v>0</v>
      </c>
      <c r="C251" s="185">
        <f>'$2 per hr + $0.5 Projection'!K11</f>
        <v>0</v>
      </c>
      <c r="D251" s="185">
        <f>'$2 per hr + $0.5 Projection'!L11</f>
        <v>236529.28276456543</v>
      </c>
      <c r="E251" s="185">
        <f>'$2 per hr + $0.5 Projection'!M11</f>
        <v>0</v>
      </c>
      <c r="F251" s="185">
        <f>'$2 per hr + $0.5 Projection'!N11</f>
        <v>0</v>
      </c>
      <c r="G251" s="185">
        <f>'$2 per hr + $0.5 Projection'!O11</f>
        <v>0</v>
      </c>
      <c r="H251" s="185">
        <f>'$2 per hr + $0.5 Projection'!P11</f>
        <v>0</v>
      </c>
      <c r="I251" s="185">
        <f>'$2 per hr + $0.5 Projection'!Q11</f>
        <v>0</v>
      </c>
    </row>
    <row r="252" spans="1:9" x14ac:dyDescent="0.3">
      <c r="A252" s="186" t="s">
        <v>154</v>
      </c>
      <c r="B252" s="184">
        <f>'$2 per hr + $0.5 Projection'!J12</f>
        <v>0</v>
      </c>
      <c r="C252" s="185">
        <f>'$2 per hr + $0.5 Projection'!K12</f>
        <v>0</v>
      </c>
      <c r="D252" s="185">
        <f>'$2 per hr + $0.5 Projection'!L12</f>
        <v>150518.63448654165</v>
      </c>
      <c r="E252" s="185">
        <f>'$2 per hr + $0.5 Projection'!M12</f>
        <v>0</v>
      </c>
      <c r="F252" s="185">
        <f>'$2 per hr + $0.5 Projection'!N12</f>
        <v>0</v>
      </c>
      <c r="G252" s="185">
        <f>'$2 per hr + $0.5 Projection'!O12</f>
        <v>0</v>
      </c>
      <c r="H252" s="185">
        <f>'$2 per hr + $0.5 Projection'!P12</f>
        <v>0</v>
      </c>
      <c r="I252" s="185">
        <f>'$2 per hr + $0.5 Projection'!Q12</f>
        <v>0</v>
      </c>
    </row>
    <row r="253" spans="1:9" x14ac:dyDescent="0.3">
      <c r="A253" s="186" t="s">
        <v>279</v>
      </c>
      <c r="B253" s="184">
        <f>'$2 per hr + $0.5 Projection'!J13</f>
        <v>922405.39906865254</v>
      </c>
      <c r="C253" s="185">
        <f>'$2 per hr + $0.5 Projection'!K13</f>
        <v>950077.56104071194</v>
      </c>
      <c r="D253" s="185">
        <f>'$2 per hr + $0.5 Projection'!L13</f>
        <v>978579.88787193329</v>
      </c>
      <c r="E253" s="185">
        <f>'$2 per hr + $0.5 Projection'!M13</f>
        <v>1007937.2845080913</v>
      </c>
      <c r="F253" s="185">
        <f>'$2 per hr + $0.5 Projection'!N13</f>
        <v>1038175.4030433341</v>
      </c>
      <c r="G253" s="185">
        <f>'$2 per hr + $0.5 Projection'!O13</f>
        <v>1069320.6651346339</v>
      </c>
      <c r="H253" s="185">
        <f>'$2 per hr + $0.5 Projection'!P13</f>
        <v>1101400.285088673</v>
      </c>
      <c r="I253" s="185">
        <f>'$2 per hr + $0.5 Projection'!Q13</f>
        <v>1134442.2936413332</v>
      </c>
    </row>
    <row r="254" spans="1:9" x14ac:dyDescent="0.3">
      <c r="A254" s="186" t="s">
        <v>282</v>
      </c>
      <c r="B254" s="184">
        <f>'$2 per hr + $0.5 Projection'!J14</f>
        <v>93470.413772290121</v>
      </c>
      <c r="C254" s="185">
        <f>'$2 per hr + $0.5 Projection'!K14</f>
        <v>96274.526185458817</v>
      </c>
      <c r="D254" s="185">
        <f>'$2 per hr + $0.5 Projection'!L14</f>
        <v>99162.761971022584</v>
      </c>
      <c r="E254" s="185">
        <f>'$2 per hr + $0.5 Projection'!M14</f>
        <v>102137.64483015325</v>
      </c>
      <c r="F254" s="185">
        <f>'$2 per hr + $0.5 Projection'!N14</f>
        <v>105201.77417505786</v>
      </c>
      <c r="G254" s="185">
        <f>'$2 per hr + $0.5 Projection'!O14</f>
        <v>108357.82740030957</v>
      </c>
      <c r="H254" s="185">
        <f>'$2 per hr + $0.5 Projection'!P14</f>
        <v>111608.56222231885</v>
      </c>
      <c r="I254" s="185">
        <f>'$2 per hr + $0.5 Projection'!Q14</f>
        <v>114956.81908898844</v>
      </c>
    </row>
    <row r="255" spans="1:9" x14ac:dyDescent="0.3">
      <c r="A255" s="187" t="s">
        <v>328</v>
      </c>
      <c r="B255" s="184">
        <f>'$2 per hr + $0.5 Projection'!J15</f>
        <v>85877.510473066533</v>
      </c>
      <c r="C255" s="185">
        <f>'$2 per hr + $0.5 Projection'!K15</f>
        <v>86306.898025431859</v>
      </c>
      <c r="D255" s="185">
        <f>'$2 per hr + $0.5 Projection'!L15</f>
        <v>104320.70452305881</v>
      </c>
      <c r="E255" s="185">
        <f>'$2 per hr + $0.5 Projection'!M15</f>
        <v>104842.30804567409</v>
      </c>
      <c r="F255" s="185">
        <f>'$2 per hr + $0.5 Projection'!N15</f>
        <v>105366.51958590245</v>
      </c>
      <c r="G255" s="185">
        <f>'$2 per hr + $0.5 Projection'!O15</f>
        <v>105893.35218383191</v>
      </c>
      <c r="H255" s="185">
        <f>'$2 per hr + $0.5 Projection'!P15</f>
        <v>106422.81894475107</v>
      </c>
      <c r="I255" s="185">
        <f>'$2 per hr + $0.5 Projection'!Q15</f>
        <v>106954.9330394748</v>
      </c>
    </row>
    <row r="256" spans="1:9" x14ac:dyDescent="0.3">
      <c r="A256" s="187" t="s">
        <v>189</v>
      </c>
      <c r="B256" s="184">
        <f>'$2 per hr + $0.5 Projection'!J16</f>
        <v>307468.46635621751</v>
      </c>
      <c r="C256" s="185">
        <f>'$2 per hr + $0.5 Projection'!K16</f>
        <v>316692.520346904</v>
      </c>
      <c r="D256" s="185">
        <f>'$2 per hr + $0.5 Projection'!L16</f>
        <v>326193.29595731111</v>
      </c>
      <c r="E256" s="185">
        <f>'$2 per hr + $0.5 Projection'!M16</f>
        <v>335979.09483603045</v>
      </c>
      <c r="F256" s="185">
        <f>'$2 per hr + $0.5 Projection'!N16</f>
        <v>346058.46768111136</v>
      </c>
      <c r="G256" s="185">
        <f>'$2 per hr + $0.5 Projection'!O16</f>
        <v>356440.22171154467</v>
      </c>
      <c r="H256" s="185">
        <f>'$2 per hr + $0.5 Projection'!P16</f>
        <v>367133.42836289096</v>
      </c>
      <c r="I256" s="185">
        <f>'$2 per hr + $0.5 Projection'!Q16</f>
        <v>378147.43121377775</v>
      </c>
    </row>
    <row r="257" spans="1:9" x14ac:dyDescent="0.3">
      <c r="A257" s="183" t="s">
        <v>257</v>
      </c>
      <c r="B257" s="188">
        <f>'$2 per hr + $0.5 Projection'!J17</f>
        <v>1409221.7896702266</v>
      </c>
      <c r="C257" s="189">
        <f>'$2 per hr + $0.5 Projection'!K17</f>
        <v>1449351.5055985067</v>
      </c>
      <c r="D257" s="189">
        <f>'$2 per hr + $0.5 Projection'!L17</f>
        <v>2647897.7400071407</v>
      </c>
      <c r="E257" s="189">
        <f>'$2 per hr + $0.5 Projection'!M17</f>
        <v>1550896.332219949</v>
      </c>
      <c r="F257" s="189">
        <f>'$2 per hr + $0.5 Projection'!N17</f>
        <v>1594802.1644854057</v>
      </c>
      <c r="G257" s="189">
        <f>'$2 per hr + $0.5 Projection'!O17</f>
        <v>1640012.06643032</v>
      </c>
      <c r="H257" s="189">
        <f>'$2 per hr + $0.5 Projection'!P17</f>
        <v>1686565.0946186339</v>
      </c>
      <c r="I257" s="189">
        <f>'$2 per hr + $0.5 Projection'!Q17</f>
        <v>1734501.4769835742</v>
      </c>
    </row>
    <row r="258" spans="1:9" x14ac:dyDescent="0.3">
      <c r="A258" s="180"/>
      <c r="B258" s="181"/>
      <c r="C258" s="182"/>
      <c r="D258" s="182"/>
      <c r="E258" s="182"/>
      <c r="F258" s="182"/>
      <c r="G258" s="182"/>
      <c r="H258" s="182"/>
      <c r="I258" s="182"/>
    </row>
    <row r="259" spans="1:9" x14ac:dyDescent="0.3">
      <c r="A259" s="190" t="s">
        <v>182</v>
      </c>
      <c r="B259" s="191">
        <f>'$2 per hr + $0.5 Projection'!J19</f>
        <v>1771426.7463692748</v>
      </c>
      <c r="C259" s="192">
        <f>'$2 per hr + $0.5 Projection'!K19</f>
        <v>1747200.2731211919</v>
      </c>
      <c r="D259" s="192">
        <f>'$2 per hr + $0.5 Projection'!L19</f>
        <v>1215832.0571431858</v>
      </c>
      <c r="E259" s="192">
        <f>'$2 per hr + $0.5 Projection'!M19</f>
        <v>2332152.1139161284</v>
      </c>
      <c r="F259" s="192">
        <f>'$2 per hr + $0.5 Projection'!N19</f>
        <v>2307661.5238813516</v>
      </c>
      <c r="G259" s="192">
        <f>'$2 per hr + $0.5 Projection'!O19</f>
        <v>2281963.9403782696</v>
      </c>
      <c r="H259" s="192">
        <f>'$2 per hr + $0.5 Projection'!P19</f>
        <v>2255020.7922239983</v>
      </c>
      <c r="I259" s="192">
        <f>'$2 per hr + $0.5 Projection'!Q19</f>
        <v>2226792.3392932704</v>
      </c>
    </row>
    <row r="262" spans="1:9" ht="16.5" x14ac:dyDescent="0.3">
      <c r="A262" s="166" t="s">
        <v>317</v>
      </c>
    </row>
    <row r="264" spans="1:9" x14ac:dyDescent="0.3">
      <c r="A264" s="171" t="s">
        <v>292</v>
      </c>
      <c r="B264" s="172">
        <f>'$2 per hr + $0.5 Projection'!R3</f>
        <v>2041</v>
      </c>
      <c r="C264" s="173">
        <f>'$2 per hr + $0.5 Projection'!S3</f>
        <v>2042</v>
      </c>
      <c r="D264" s="173">
        <f>'$2 per hr + $0.5 Projection'!T3</f>
        <v>2043</v>
      </c>
      <c r="E264" s="173">
        <f>'$2 per hr + $0.5 Projection'!U3</f>
        <v>2044</v>
      </c>
      <c r="F264" s="173">
        <f>'$2 per hr + $0.5 Projection'!V3</f>
        <v>2045</v>
      </c>
      <c r="G264" s="173">
        <f>'$2 per hr + $0.5 Projection'!W3</f>
        <v>2046</v>
      </c>
      <c r="H264" s="173">
        <f>'$2 per hr + $0.5 Projection'!X3</f>
        <v>2047</v>
      </c>
      <c r="I264" s="173">
        <f>'$2 per hr + $0.5 Projection'!Y3</f>
        <v>2048</v>
      </c>
    </row>
    <row r="265" spans="1:9" x14ac:dyDescent="0.3">
      <c r="A265" s="174" t="s">
        <v>138</v>
      </c>
      <c r="B265" s="175"/>
      <c r="C265" s="176"/>
      <c r="D265" s="176"/>
      <c r="E265" s="176"/>
      <c r="F265" s="176"/>
      <c r="G265" s="176"/>
      <c r="H265" s="176"/>
      <c r="I265" s="176"/>
    </row>
    <row r="266" spans="1:9" x14ac:dyDescent="0.3">
      <c r="A266" s="177" t="s">
        <v>280</v>
      </c>
      <c r="B266" s="175">
        <f>'$2 per hr + $0.5 Projection'!R5</f>
        <v>3496143.053443592</v>
      </c>
      <c r="C266" s="176">
        <f>'$2 per hr + $0.5 Projection'!S5</f>
        <v>3513623.7687108098</v>
      </c>
      <c r="D266" s="176">
        <f>'$2 per hr + $0.5 Projection'!T5</f>
        <v>3531191.8875543633</v>
      </c>
      <c r="E266" s="176">
        <f>'$2 per hr + $0.5 Projection'!U5</f>
        <v>3548847.8469921346</v>
      </c>
      <c r="F266" s="176">
        <f>'$2 per hr + $0.5 Projection'!V5</f>
        <v>4245671.219444734</v>
      </c>
      <c r="G266" s="176">
        <f>'$2 per hr + $0.5 Projection'!W5</f>
        <v>4266899.5755419564</v>
      </c>
      <c r="H266" s="176">
        <f>'$2 per hr + $0.5 Projection'!X5</f>
        <v>4288234.0734196659</v>
      </c>
      <c r="I266" s="176">
        <f>'$2 per hr + $0.5 Projection'!Y5</f>
        <v>4309675.2437867634</v>
      </c>
    </row>
    <row r="267" spans="1:9" x14ac:dyDescent="0.3">
      <c r="A267" s="177" t="s">
        <v>299</v>
      </c>
      <c r="B267" s="175">
        <f>'$2 per hr + $0.5 Projection'!R6</f>
        <v>484957.23191463639</v>
      </c>
      <c r="C267" s="176">
        <f>'$2 per hr + $0.5 Projection'!S6</f>
        <v>487382.01807420951</v>
      </c>
      <c r="D267" s="176">
        <f>'$2 per hr + $0.5 Projection'!T6</f>
        <v>489818.92816458055</v>
      </c>
      <c r="E267" s="176">
        <f>'$2 per hr + $0.5 Projection'!U6</f>
        <v>492268.02280540328</v>
      </c>
      <c r="F267" s="176">
        <f>'$2 per hr + $0.5 Projection'!V6</f>
        <v>494729.36291943025</v>
      </c>
      <c r="G267" s="176">
        <f>'$2 per hr + $0.5 Projection'!W6</f>
        <v>497203.00973402738</v>
      </c>
      <c r="H267" s="176">
        <f>'$2 per hr + $0.5 Projection'!X6</f>
        <v>499689.02478269738</v>
      </c>
      <c r="I267" s="176">
        <f>'$2 per hr + $0.5 Projection'!Y6</f>
        <v>502187.46990661079</v>
      </c>
    </row>
    <row r="268" spans="1:9" x14ac:dyDescent="0.3">
      <c r="A268" s="174" t="s">
        <v>281</v>
      </c>
      <c r="B268" s="178">
        <f>'$2 per hr + $0.5 Projection'!R7</f>
        <v>3981100.2853582283</v>
      </c>
      <c r="C268" s="179">
        <f>'$2 per hr + $0.5 Projection'!S7</f>
        <v>4001005.7867850191</v>
      </c>
      <c r="D268" s="179">
        <f>'$2 per hr + $0.5 Projection'!T7</f>
        <v>4021010.8157189437</v>
      </c>
      <c r="E268" s="179">
        <f>'$2 per hr + $0.5 Projection'!U7</f>
        <v>4041115.869797538</v>
      </c>
      <c r="F268" s="179">
        <f>'$2 per hr + $0.5 Projection'!V7</f>
        <v>4740400.5823641643</v>
      </c>
      <c r="G268" s="179">
        <f>'$2 per hr + $0.5 Projection'!W7</f>
        <v>4764102.5852759834</v>
      </c>
      <c r="H268" s="179">
        <f>'$2 per hr + $0.5 Projection'!X7</f>
        <v>4787923.0982023636</v>
      </c>
      <c r="I268" s="179">
        <f>'$2 per hr + $0.5 Projection'!Y7</f>
        <v>4811862.7136933738</v>
      </c>
    </row>
    <row r="269" spans="1:9" x14ac:dyDescent="0.3">
      <c r="A269" s="180"/>
      <c r="B269" s="181"/>
      <c r="C269" s="182"/>
      <c r="D269" s="182"/>
      <c r="E269" s="182"/>
      <c r="F269" s="182"/>
      <c r="G269" s="182"/>
      <c r="H269" s="182"/>
      <c r="I269" s="182"/>
    </row>
    <row r="270" spans="1:9" x14ac:dyDescent="0.3">
      <c r="A270" s="183" t="s">
        <v>181</v>
      </c>
      <c r="B270" s="184"/>
      <c r="C270" s="185"/>
      <c r="D270" s="185"/>
      <c r="E270" s="185"/>
      <c r="F270" s="185"/>
      <c r="G270" s="185"/>
      <c r="H270" s="185"/>
      <c r="I270" s="185"/>
    </row>
    <row r="271" spans="1:9" x14ac:dyDescent="0.3">
      <c r="A271" s="186" t="s">
        <v>320</v>
      </c>
      <c r="B271" s="184">
        <f>'$2 per hr + $0.5 Projection'!R10</f>
        <v>0</v>
      </c>
      <c r="C271" s="185">
        <f>'$2 per hr + $0.5 Projection'!S10</f>
        <v>0</v>
      </c>
      <c r="D271" s="185">
        <f>'$2 per hr + $0.5 Projection'!T10</f>
        <v>0</v>
      </c>
      <c r="E271" s="185">
        <f>'$2 per hr + $0.5 Projection'!U10</f>
        <v>0</v>
      </c>
      <c r="F271" s="185">
        <f>'$2 per hr + $0.5 Projection'!V10</f>
        <v>1011422.2914148715</v>
      </c>
      <c r="G271" s="185">
        <f>'$2 per hr + $0.5 Projection'!W10</f>
        <v>0</v>
      </c>
      <c r="H271" s="185">
        <f>'$2 per hr + $0.5 Projection'!X10</f>
        <v>0</v>
      </c>
      <c r="I271" s="185">
        <f>'$2 per hr + $0.5 Projection'!Y10</f>
        <v>0</v>
      </c>
    </row>
    <row r="272" spans="1:9" x14ac:dyDescent="0.3">
      <c r="A272" s="186" t="s">
        <v>155</v>
      </c>
      <c r="B272" s="184">
        <f>'$2 per hr + $0.5 Projection'!R11</f>
        <v>0</v>
      </c>
      <c r="C272" s="185">
        <f>'$2 per hr + $0.5 Projection'!S11</f>
        <v>0</v>
      </c>
      <c r="D272" s="185">
        <f>'$2 per hr + $0.5 Projection'!T11</f>
        <v>0</v>
      </c>
      <c r="E272" s="185">
        <f>'$2 per hr + $0.5 Projection'!U11</f>
        <v>0</v>
      </c>
      <c r="F272" s="185">
        <f>'$2 per hr + $0.5 Projection'!V11</f>
        <v>317875.57730181672</v>
      </c>
      <c r="G272" s="185">
        <f>'$2 per hr + $0.5 Projection'!W11</f>
        <v>0</v>
      </c>
      <c r="H272" s="185">
        <f>'$2 per hr + $0.5 Projection'!X11</f>
        <v>0</v>
      </c>
      <c r="I272" s="185">
        <f>'$2 per hr + $0.5 Projection'!Y11</f>
        <v>0</v>
      </c>
    </row>
    <row r="273" spans="1:9" x14ac:dyDescent="0.3">
      <c r="A273" s="186" t="s">
        <v>154</v>
      </c>
      <c r="B273" s="184">
        <f>'$2 per hr + $0.5 Projection'!R12</f>
        <v>0</v>
      </c>
      <c r="C273" s="185">
        <f>'$2 per hr + $0.5 Projection'!S12</f>
        <v>0</v>
      </c>
      <c r="D273" s="185">
        <f>'$2 per hr + $0.5 Projection'!T12</f>
        <v>0</v>
      </c>
      <c r="E273" s="185">
        <f>'$2 per hr + $0.5 Projection'!U12</f>
        <v>0</v>
      </c>
      <c r="F273" s="185">
        <f>'$2 per hr + $0.5 Projection'!V12</f>
        <v>202284.45828297429</v>
      </c>
      <c r="G273" s="185">
        <f>'$2 per hr + $0.5 Projection'!W12</f>
        <v>0</v>
      </c>
      <c r="H273" s="185">
        <f>'$2 per hr + $0.5 Projection'!X12</f>
        <v>0</v>
      </c>
      <c r="I273" s="185">
        <f>'$2 per hr + $0.5 Projection'!Y12</f>
        <v>0</v>
      </c>
    </row>
    <row r="274" spans="1:9" x14ac:dyDescent="0.3">
      <c r="A274" s="186" t="s">
        <v>279</v>
      </c>
      <c r="B274" s="184">
        <f>'$2 per hr + $0.5 Projection'!R13</f>
        <v>1168475.5624505733</v>
      </c>
      <c r="C274" s="185">
        <f>'$2 per hr + $0.5 Projection'!S13</f>
        <v>1203529.8293240904</v>
      </c>
      <c r="D274" s="185">
        <f>'$2 per hr + $0.5 Projection'!T13</f>
        <v>1239635.7242038131</v>
      </c>
      <c r="E274" s="185">
        <f>'$2 per hr + $0.5 Projection'!U13</f>
        <v>1276824.7959299274</v>
      </c>
      <c r="F274" s="185">
        <f>'$2 per hr + $0.5 Projection'!V13</f>
        <v>1315129.5398078251</v>
      </c>
      <c r="G274" s="185">
        <f>'$2 per hr + $0.5 Projection'!W13</f>
        <v>1354583.4260020598</v>
      </c>
      <c r="H274" s="185">
        <f>'$2 per hr + $0.5 Projection'!X13</f>
        <v>1395220.9287821215</v>
      </c>
      <c r="I274" s="185">
        <f>'$2 per hr + $0.5 Projection'!Y13</f>
        <v>1437077.5566455855</v>
      </c>
    </row>
    <row r="275" spans="1:9" x14ac:dyDescent="0.3">
      <c r="A275" s="186" t="s">
        <v>282</v>
      </c>
      <c r="B275" s="184">
        <f>'$2 per hr + $0.5 Projection'!R14</f>
        <v>118405.5236616581</v>
      </c>
      <c r="C275" s="185">
        <f>'$2 per hr + $0.5 Projection'!S14</f>
        <v>121957.68937150782</v>
      </c>
      <c r="D275" s="185">
        <f>'$2 per hr + $0.5 Projection'!T14</f>
        <v>125616.42005265305</v>
      </c>
      <c r="E275" s="185">
        <f>'$2 per hr + $0.5 Projection'!U14</f>
        <v>129384.91265423264</v>
      </c>
      <c r="F275" s="185">
        <f>'$2 per hr + $0.5 Projection'!V14</f>
        <v>133266.46003385962</v>
      </c>
      <c r="G275" s="185">
        <f>'$2 per hr + $0.5 Projection'!W14</f>
        <v>137264.4538348754</v>
      </c>
      <c r="H275" s="185">
        <f>'$2 per hr + $0.5 Projection'!X14</f>
        <v>141382.38744992166</v>
      </c>
      <c r="I275" s="185">
        <f>'$2 per hr + $0.5 Projection'!Y14</f>
        <v>145623.85907341933</v>
      </c>
    </row>
    <row r="276" spans="1:9" x14ac:dyDescent="0.3">
      <c r="A276" s="187" t="s">
        <v>328</v>
      </c>
      <c r="B276" s="184">
        <f>'$2 per hr + $0.5 Projection'!R15</f>
        <v>107489.70770467217</v>
      </c>
      <c r="C276" s="185">
        <f>'$2 per hr + $0.5 Projection'!S15</f>
        <v>108027.15624319552</v>
      </c>
      <c r="D276" s="185">
        <f>'$2 per hr + $0.5 Projection'!T15</f>
        <v>108567.29202441148</v>
      </c>
      <c r="E276" s="185">
        <f>'$2 per hr + $0.5 Projection'!U15</f>
        <v>109110.12848453352</v>
      </c>
      <c r="F276" s="185">
        <f>'$2 per hr + $0.5 Projection'!V15</f>
        <v>127990.81572383242</v>
      </c>
      <c r="G276" s="185">
        <f>'$2 per hr + $0.5 Projection'!W15</f>
        <v>128630.76980245156</v>
      </c>
      <c r="H276" s="185">
        <f>'$2 per hr + $0.5 Projection'!X15</f>
        <v>129273.9236514638</v>
      </c>
      <c r="I276" s="185">
        <f>'$2 per hr + $0.5 Projection'!Y15</f>
        <v>129920.29326972108</v>
      </c>
    </row>
    <row r="277" spans="1:9" x14ac:dyDescent="0.3">
      <c r="A277" s="187" t="s">
        <v>189</v>
      </c>
      <c r="B277" s="184">
        <f>'$2 per hr + $0.5 Projection'!R16</f>
        <v>389491.85415019112</v>
      </c>
      <c r="C277" s="185">
        <f>'$2 per hr + $0.5 Projection'!S16</f>
        <v>401176.60977469676</v>
      </c>
      <c r="D277" s="185">
        <f>'$2 per hr + $0.5 Projection'!T16</f>
        <v>413211.90806793765</v>
      </c>
      <c r="E277" s="185">
        <f>'$2 per hr + $0.5 Projection'!U16</f>
        <v>425608.26530997583</v>
      </c>
      <c r="F277" s="185">
        <f>'$2 per hr + $0.5 Projection'!V16</f>
        <v>438376.51326927508</v>
      </c>
      <c r="G277" s="185">
        <f>'$2 per hr + $0.5 Projection'!W16</f>
        <v>451527.8086673533</v>
      </c>
      <c r="H277" s="185">
        <f>'$2 per hr + $0.5 Projection'!X16</f>
        <v>465073.64292737388</v>
      </c>
      <c r="I277" s="185">
        <f>'$2 per hr + $0.5 Projection'!Y16</f>
        <v>479025.85221519513</v>
      </c>
    </row>
    <row r="278" spans="1:9" x14ac:dyDescent="0.3">
      <c r="A278" s="183" t="s">
        <v>257</v>
      </c>
      <c r="B278" s="188">
        <f>'$2 per hr + $0.5 Projection'!R17</f>
        <v>1783862.6479670948</v>
      </c>
      <c r="C278" s="189">
        <f>'$2 per hr + $0.5 Projection'!S17</f>
        <v>1834691.2847134904</v>
      </c>
      <c r="D278" s="189">
        <f>'$2 per hr + $0.5 Projection'!T17</f>
        <v>1887031.3443488153</v>
      </c>
      <c r="E278" s="189">
        <f>'$2 per hr + $0.5 Projection'!U17</f>
        <v>1940928.1023786697</v>
      </c>
      <c r="F278" s="189">
        <f>'$2 per hr + $0.5 Projection'!V17</f>
        <v>3546345.6558344546</v>
      </c>
      <c r="G278" s="189">
        <f>'$2 per hr + $0.5 Projection'!W17</f>
        <v>2072006.4583067403</v>
      </c>
      <c r="H278" s="189">
        <f>'$2 per hr + $0.5 Projection'!X17</f>
        <v>2130950.8828108809</v>
      </c>
      <c r="I278" s="189">
        <f>'$2 per hr + $0.5 Projection'!Y17</f>
        <v>2191647.5612039212</v>
      </c>
    </row>
    <row r="279" spans="1:9" x14ac:dyDescent="0.3">
      <c r="A279" s="180"/>
      <c r="B279" s="181"/>
      <c r="C279" s="182"/>
      <c r="D279" s="182"/>
      <c r="E279" s="182"/>
      <c r="F279" s="182"/>
      <c r="G279" s="182"/>
      <c r="H279" s="182"/>
      <c r="I279" s="182"/>
    </row>
    <row r="280" spans="1:9" x14ac:dyDescent="0.3">
      <c r="A280" s="190" t="s">
        <v>182</v>
      </c>
      <c r="B280" s="191">
        <f>'$2 per hr + $0.5 Projection'!R19</f>
        <v>2197237.6373911332</v>
      </c>
      <c r="C280" s="192">
        <f>'$2 per hr + $0.5 Projection'!S19</f>
        <v>2166314.5020715287</v>
      </c>
      <c r="D280" s="192">
        <f>'$2 per hr + $0.5 Projection'!T19</f>
        <v>2133979.4713701284</v>
      </c>
      <c r="E280" s="192">
        <f>'$2 per hr + $0.5 Projection'!U19</f>
        <v>2100187.7674188684</v>
      </c>
      <c r="F280" s="192">
        <f>'$2 per hr + $0.5 Projection'!V19</f>
        <v>1194054.9265297097</v>
      </c>
      <c r="G280" s="192">
        <f>'$2 per hr + $0.5 Projection'!W19</f>
        <v>2692096.1269692434</v>
      </c>
      <c r="H280" s="192">
        <f>'$2 per hr + $0.5 Projection'!X19</f>
        <v>2656972.2153914827</v>
      </c>
      <c r="I280" s="192">
        <f>'$2 per hr + $0.5 Projection'!Y19</f>
        <v>2620215.1524894526</v>
      </c>
    </row>
    <row r="284" spans="1:9" x14ac:dyDescent="0.3">
      <c r="A284" s="171" t="s">
        <v>292</v>
      </c>
      <c r="B284" s="172">
        <f>'$2 per hr + $0.5 Projection'!Z3</f>
        <v>2049</v>
      </c>
      <c r="C284" s="173">
        <f>'$2 per hr + $0.5 Projection'!AA3</f>
        <v>2050</v>
      </c>
    </row>
    <row r="285" spans="1:9" x14ac:dyDescent="0.3">
      <c r="A285" s="174" t="s">
        <v>138</v>
      </c>
      <c r="B285" s="175"/>
      <c r="C285" s="176"/>
    </row>
    <row r="286" spans="1:9" x14ac:dyDescent="0.3">
      <c r="A286" s="177" t="s">
        <v>280</v>
      </c>
      <c r="B286" s="175">
        <f>'$2 per hr + $0.5 Projection'!Z5</f>
        <v>4331223.6200056961</v>
      </c>
      <c r="C286" s="176">
        <f>'$2 per hr + $0.5 Projection'!AA5</f>
        <v>4352879.7381057236</v>
      </c>
    </row>
    <row r="287" spans="1:9" x14ac:dyDescent="0.3">
      <c r="A287" s="177" t="s">
        <v>299</v>
      </c>
      <c r="B287" s="175">
        <f>'$2 per hr + $0.5 Projection'!Z6</f>
        <v>504698.40725614375</v>
      </c>
      <c r="C287" s="176">
        <f>'$2 per hr + $0.5 Projection'!AA6</f>
        <v>507221.8992924245</v>
      </c>
    </row>
    <row r="288" spans="1:9" x14ac:dyDescent="0.3">
      <c r="A288" s="174" t="s">
        <v>281</v>
      </c>
      <c r="B288" s="178">
        <f>'$2 per hr + $0.5 Projection'!Z7</f>
        <v>4835922.0272618402</v>
      </c>
      <c r="C288" s="179">
        <f>'$2 per hr + $0.5 Projection'!AA7</f>
        <v>4860101.637398148</v>
      </c>
    </row>
    <row r="289" spans="1:3" x14ac:dyDescent="0.3">
      <c r="A289" s="180"/>
      <c r="B289" s="181"/>
      <c r="C289" s="182"/>
    </row>
    <row r="290" spans="1:3" x14ac:dyDescent="0.3">
      <c r="A290" s="183" t="s">
        <v>181</v>
      </c>
      <c r="B290" s="184"/>
      <c r="C290" s="185"/>
    </row>
    <row r="291" spans="1:3" x14ac:dyDescent="0.3">
      <c r="A291" s="186" t="s">
        <v>320</v>
      </c>
      <c r="B291" s="184">
        <f>'$2 per hr + $0.5 Projection'!Z10</f>
        <v>0</v>
      </c>
      <c r="C291" s="185">
        <f>'$2 per hr + $0.5 Projection'!AA10</f>
        <v>0</v>
      </c>
    </row>
    <row r="292" spans="1:3" x14ac:dyDescent="0.3">
      <c r="A292" s="186" t="s">
        <v>155</v>
      </c>
      <c r="B292" s="184">
        <f>'$2 per hr + $0.5 Projection'!Z11</f>
        <v>0</v>
      </c>
      <c r="C292" s="185">
        <f>'$2 per hr + $0.5 Projection'!AA11</f>
        <v>0</v>
      </c>
    </row>
    <row r="293" spans="1:3" x14ac:dyDescent="0.3">
      <c r="A293" s="186" t="s">
        <v>154</v>
      </c>
      <c r="B293" s="184">
        <f>'$2 per hr + $0.5 Projection'!Z12</f>
        <v>0</v>
      </c>
      <c r="C293" s="185">
        <f>'$2 per hr + $0.5 Projection'!AA12</f>
        <v>0</v>
      </c>
    </row>
    <row r="294" spans="1:3" x14ac:dyDescent="0.3">
      <c r="A294" s="186" t="s">
        <v>279</v>
      </c>
      <c r="B294" s="184">
        <f>'$2 per hr + $0.5 Projection'!Z13</f>
        <v>1480189.8833449529</v>
      </c>
      <c r="C294" s="185">
        <f>'$2 per hr + $0.5 Projection'!AA13</f>
        <v>1524595.5798453013</v>
      </c>
    </row>
    <row r="295" spans="1:3" x14ac:dyDescent="0.3">
      <c r="A295" s="186" t="s">
        <v>282</v>
      </c>
      <c r="B295" s="184">
        <f>'$2 per hr + $0.5 Projection'!Z14</f>
        <v>149992.57484562192</v>
      </c>
      <c r="C295" s="185">
        <f>'$2 per hr + $0.5 Projection'!AA14</f>
        <v>154492.35209099055</v>
      </c>
    </row>
    <row r="296" spans="1:3" x14ac:dyDescent="0.3">
      <c r="A296" s="187" t="s">
        <v>328</v>
      </c>
      <c r="B296" s="184">
        <f>'$2 per hr + $0.5 Projection'!Z15</f>
        <v>130569.89473606969</v>
      </c>
      <c r="C296" s="185">
        <f>'$2 per hr + $0.5 Projection'!AA15</f>
        <v>131222.74420975</v>
      </c>
    </row>
    <row r="297" spans="1:3" x14ac:dyDescent="0.3">
      <c r="A297" s="187" t="s">
        <v>189</v>
      </c>
      <c r="B297" s="184">
        <f>'$2 per hr + $0.5 Projection'!Z16</f>
        <v>493396.62778165098</v>
      </c>
      <c r="C297" s="185">
        <f>'$2 per hr + $0.5 Projection'!AA16</f>
        <v>508198.52661510045</v>
      </c>
    </row>
    <row r="298" spans="1:3" x14ac:dyDescent="0.3">
      <c r="A298" s="183" t="s">
        <v>257</v>
      </c>
      <c r="B298" s="188">
        <f>'$2 per hr + $0.5 Projection'!Z17</f>
        <v>2254148.9807082955</v>
      </c>
      <c r="C298" s="189">
        <f>'$2 per hr + $0.5 Projection'!AA17</f>
        <v>2318509.2027611425</v>
      </c>
    </row>
    <row r="299" spans="1:3" x14ac:dyDescent="0.3">
      <c r="A299" s="180"/>
      <c r="B299" s="181"/>
      <c r="C299" s="182"/>
    </row>
    <row r="300" spans="1:3" x14ac:dyDescent="0.3">
      <c r="A300" s="190" t="s">
        <v>182</v>
      </c>
      <c r="B300" s="191">
        <f>'$2 per hr + $0.5 Projection'!Z19</f>
        <v>2581773.0465535447</v>
      </c>
      <c r="C300" s="192">
        <f>'$2 per hr + $0.5 Projection'!AA19</f>
        <v>2541592.4346370054</v>
      </c>
    </row>
    <row r="303" spans="1:3" ht="16.5" x14ac:dyDescent="0.3">
      <c r="A303" s="166" t="s">
        <v>318</v>
      </c>
    </row>
    <row r="305" spans="1:9" x14ac:dyDescent="0.3">
      <c r="A305" s="171" t="s">
        <v>292</v>
      </c>
      <c r="B305" s="172">
        <f>'$2 per hr + $1 Projection'!B3</f>
        <v>2025</v>
      </c>
      <c r="C305" s="173">
        <f>'$2 per hr + $1 Projection'!C3</f>
        <v>2026</v>
      </c>
      <c r="D305" s="173">
        <f>'$2 per hr + $1 Projection'!D3</f>
        <v>2027</v>
      </c>
      <c r="E305" s="173">
        <f>'$2 per hr + $1 Projection'!E3</f>
        <v>2028</v>
      </c>
      <c r="F305" s="173">
        <f>'$2 per hr + $1 Projection'!F3</f>
        <v>2029</v>
      </c>
      <c r="G305" s="173">
        <f>'$2 per hr + $1 Projection'!G3</f>
        <v>2030</v>
      </c>
      <c r="H305" s="173">
        <f>'$2 per hr + $1 Projection'!H3</f>
        <v>2031</v>
      </c>
      <c r="I305" s="173">
        <f>'$2 per hr + $1 Projection'!I3</f>
        <v>2032</v>
      </c>
    </row>
    <row r="306" spans="1:9" x14ac:dyDescent="0.3">
      <c r="A306" s="174" t="s">
        <v>138</v>
      </c>
      <c r="B306" s="175"/>
      <c r="C306" s="176"/>
      <c r="D306" s="176"/>
      <c r="E306" s="176"/>
      <c r="F306" s="176"/>
      <c r="G306" s="176"/>
      <c r="H306" s="176"/>
      <c r="I306" s="176"/>
    </row>
    <row r="307" spans="1:9" x14ac:dyDescent="0.3">
      <c r="A307" s="177" t="s">
        <v>280</v>
      </c>
      <c r="B307" s="175">
        <f>'$2 per hr + $1 Projection'!B5</f>
        <v>0</v>
      </c>
      <c r="C307" s="176">
        <f>'$2 per hr + $1 Projection'!C5</f>
        <v>2822468.4049209259</v>
      </c>
      <c r="D307" s="176">
        <f>'$2 per hr + $1 Projection'!D5</f>
        <v>2634626.9038940645</v>
      </c>
      <c r="E307" s="176">
        <f>'$2 per hr + $1 Projection'!E5</f>
        <v>2647800.0384135344</v>
      </c>
      <c r="F307" s="176">
        <f>'$2 per hr + $1 Projection'!F5</f>
        <v>2661039.038605602</v>
      </c>
      <c r="G307" s="176">
        <f>'$2 per hr + $1 Projection'!G5</f>
        <v>2674344.2337986296</v>
      </c>
      <c r="H307" s="176">
        <f>'$2 per hr + $1 Projection'!H5</f>
        <v>2687715.9549676217</v>
      </c>
      <c r="I307" s="176">
        <f>'$2 per hr + $1 Projection'!I5</f>
        <v>2701154.5347424597</v>
      </c>
    </row>
    <row r="308" spans="1:9" x14ac:dyDescent="0.3">
      <c r="A308" s="177" t="s">
        <v>299</v>
      </c>
      <c r="B308" s="175">
        <f>'$2 per hr + $1 Projection'!B6</f>
        <v>0</v>
      </c>
      <c r="C308" s="176">
        <f>'$2 per hr + $1 Projection'!C6</f>
        <v>450000</v>
      </c>
      <c r="D308" s="176">
        <f>'$2 per hr + $1 Projection'!D6</f>
        <v>452249.99999999994</v>
      </c>
      <c r="E308" s="176">
        <f>'$2 per hr + $1 Projection'!E6</f>
        <v>454511.24999999988</v>
      </c>
      <c r="F308" s="176">
        <f>'$2 per hr + $1 Projection'!F6</f>
        <v>456783.80624999985</v>
      </c>
      <c r="G308" s="176">
        <f>'$2 per hr + $1 Projection'!G6</f>
        <v>459067.72528124973</v>
      </c>
      <c r="H308" s="176">
        <f>'$2 per hr + $1 Projection'!H6</f>
        <v>461363.06390765589</v>
      </c>
      <c r="I308" s="176">
        <f>'$2 per hr + $1 Projection'!I6</f>
        <v>463669.87922719406</v>
      </c>
    </row>
    <row r="309" spans="1:9" x14ac:dyDescent="0.3">
      <c r="A309" s="174" t="s">
        <v>281</v>
      </c>
      <c r="B309" s="178">
        <f>'$2 per hr + $1 Projection'!B7</f>
        <v>0</v>
      </c>
      <c r="C309" s="179">
        <f>'$2 per hr + $1 Projection'!C7</f>
        <v>3272468.4049209259</v>
      </c>
      <c r="D309" s="179">
        <f>'$2 per hr + $1 Projection'!D7</f>
        <v>3086876.9038940645</v>
      </c>
      <c r="E309" s="179">
        <f>'$2 per hr + $1 Projection'!E7</f>
        <v>3102311.2884135344</v>
      </c>
      <c r="F309" s="179">
        <f>'$2 per hr + $1 Projection'!F7</f>
        <v>3117822.8448556019</v>
      </c>
      <c r="G309" s="179">
        <f>'$2 per hr + $1 Projection'!G7</f>
        <v>3133411.9590798793</v>
      </c>
      <c r="H309" s="179">
        <f>'$2 per hr + $1 Projection'!H7</f>
        <v>3149079.0188752776</v>
      </c>
      <c r="I309" s="179">
        <f>'$2 per hr + $1 Projection'!I7</f>
        <v>3164824.4139696537</v>
      </c>
    </row>
    <row r="310" spans="1:9" x14ac:dyDescent="0.3">
      <c r="A310" s="180"/>
      <c r="B310" s="181"/>
      <c r="C310" s="182"/>
      <c r="D310" s="182"/>
      <c r="E310" s="182"/>
      <c r="F310" s="182"/>
      <c r="G310" s="182"/>
      <c r="H310" s="182"/>
      <c r="I310" s="182"/>
    </row>
    <row r="311" spans="1:9" x14ac:dyDescent="0.3">
      <c r="A311" s="183" t="s">
        <v>181</v>
      </c>
      <c r="B311" s="184"/>
      <c r="C311" s="185"/>
      <c r="D311" s="185"/>
      <c r="E311" s="185"/>
      <c r="F311" s="185"/>
      <c r="G311" s="185"/>
      <c r="H311" s="185"/>
      <c r="I311" s="185"/>
    </row>
    <row r="312" spans="1:9" x14ac:dyDescent="0.3">
      <c r="A312" s="186" t="s">
        <v>320</v>
      </c>
      <c r="B312" s="184">
        <f>'$2 per hr + $1 Projection'!B10</f>
        <v>560000</v>
      </c>
      <c r="C312" s="185">
        <f>'$2 per hr + $1 Projection'!C10</f>
        <v>0</v>
      </c>
      <c r="D312" s="185">
        <f>'$2 per hr + $1 Projection'!D10</f>
        <v>0</v>
      </c>
      <c r="E312" s="185">
        <f>'$2 per hr + $1 Projection'!E10</f>
        <v>0</v>
      </c>
      <c r="F312" s="185">
        <f>'$2 per hr + $1 Projection'!F10</f>
        <v>0</v>
      </c>
      <c r="G312" s="185">
        <f>'$2 per hr + $1 Projection'!G10</f>
        <v>0</v>
      </c>
      <c r="H312" s="185">
        <f>'$2 per hr + $1 Projection'!H10</f>
        <v>0</v>
      </c>
      <c r="I312" s="185">
        <f>'$2 per hr + $1 Projection'!I10</f>
        <v>0</v>
      </c>
    </row>
    <row r="313" spans="1:9" x14ac:dyDescent="0.3">
      <c r="A313" s="186" t="s">
        <v>155</v>
      </c>
      <c r="B313" s="184">
        <f>'$2 per hr + $1 Projection'!B11</f>
        <v>176000</v>
      </c>
      <c r="C313" s="185">
        <f>'$2 per hr + $1 Projection'!C11</f>
        <v>0</v>
      </c>
      <c r="D313" s="185">
        <f>'$2 per hr + $1 Projection'!D11</f>
        <v>0</v>
      </c>
      <c r="E313" s="185">
        <f>'$2 per hr + $1 Projection'!E11</f>
        <v>0</v>
      </c>
      <c r="F313" s="185">
        <f>'$2 per hr + $1 Projection'!F11</f>
        <v>0</v>
      </c>
      <c r="G313" s="185">
        <f>'$2 per hr + $1 Projection'!G11</f>
        <v>0</v>
      </c>
      <c r="H313" s="185">
        <f>'$2 per hr + $1 Projection'!H11</f>
        <v>0</v>
      </c>
      <c r="I313" s="185">
        <f>'$2 per hr + $1 Projection'!I11</f>
        <v>0</v>
      </c>
    </row>
    <row r="314" spans="1:9" x14ac:dyDescent="0.3">
      <c r="A314" s="186" t="s">
        <v>154</v>
      </c>
      <c r="B314" s="184">
        <f>'$2 per hr + $1 Projection'!B12</f>
        <v>112000</v>
      </c>
      <c r="C314" s="185">
        <f>'$2 per hr + $1 Projection'!C12</f>
        <v>0</v>
      </c>
      <c r="D314" s="185">
        <f>'$2 per hr + $1 Projection'!D12</f>
        <v>0</v>
      </c>
      <c r="E314" s="185">
        <f>'$2 per hr + $1 Projection'!E12</f>
        <v>0</v>
      </c>
      <c r="F314" s="185">
        <f>'$2 per hr + $1 Projection'!F12</f>
        <v>0</v>
      </c>
      <c r="G314" s="185">
        <f>'$2 per hr + $1 Projection'!G12</f>
        <v>0</v>
      </c>
      <c r="H314" s="185">
        <f>'$2 per hr + $1 Projection'!H12</f>
        <v>0</v>
      </c>
      <c r="I314" s="185">
        <f>'$2 per hr + $1 Projection'!I12</f>
        <v>0</v>
      </c>
    </row>
    <row r="315" spans="1:9" x14ac:dyDescent="0.3">
      <c r="A315" s="186" t="s">
        <v>279</v>
      </c>
      <c r="B315" s="184">
        <f>'$2 per hr + $1 Projection'!B13</f>
        <v>0</v>
      </c>
      <c r="C315" s="185">
        <f>'$2 per hr + $1 Projection'!C13</f>
        <v>750000</v>
      </c>
      <c r="D315" s="185">
        <f>'$2 per hr + $1 Projection'!D13</f>
        <v>772500</v>
      </c>
      <c r="E315" s="185">
        <f>'$2 per hr + $1 Projection'!E13</f>
        <v>795675</v>
      </c>
      <c r="F315" s="185">
        <f>'$2 per hr + $1 Projection'!F13</f>
        <v>819545.25</v>
      </c>
      <c r="G315" s="185">
        <f>'$2 per hr + $1 Projection'!G13</f>
        <v>844131.60749999993</v>
      </c>
      <c r="H315" s="185">
        <f>'$2 per hr + $1 Projection'!H13</f>
        <v>869455.55572499987</v>
      </c>
      <c r="I315" s="185">
        <f>'$2 per hr + $1 Projection'!I13</f>
        <v>895539.22239674989</v>
      </c>
    </row>
    <row r="316" spans="1:9" x14ac:dyDescent="0.3">
      <c r="A316" s="186" t="s">
        <v>282</v>
      </c>
      <c r="B316" s="184">
        <f>'$2 per hr + $1 Projection'!B14</f>
        <v>0</v>
      </c>
      <c r="C316" s="185">
        <f>'$2 per hr + $1 Projection'!C14</f>
        <v>76000</v>
      </c>
      <c r="D316" s="185">
        <f>'$2 per hr + $1 Projection'!D14</f>
        <v>78280</v>
      </c>
      <c r="E316" s="185">
        <f>'$2 per hr + $1 Projection'!E14</f>
        <v>80628.399999999994</v>
      </c>
      <c r="F316" s="185">
        <f>'$2 per hr + $1 Projection'!F14</f>
        <v>83047.251999999993</v>
      </c>
      <c r="G316" s="185">
        <f>'$2 per hr + $1 Projection'!G14</f>
        <v>85538.669559999995</v>
      </c>
      <c r="H316" s="185">
        <f>'$2 per hr + $1 Projection'!H14</f>
        <v>88104.82964679999</v>
      </c>
      <c r="I316" s="185">
        <f>'$2 per hr + $1 Projection'!I14</f>
        <v>90747.974536203998</v>
      </c>
    </row>
    <row r="317" spans="1:9" x14ac:dyDescent="0.3">
      <c r="A317" s="187" t="s">
        <v>328</v>
      </c>
      <c r="B317" s="184">
        <f>'$2 per hr + $1 Projection'!B15</f>
        <v>0</v>
      </c>
      <c r="C317" s="185">
        <f>'$2 per hr + $1 Projection'!C15</f>
        <v>88356.646932864998</v>
      </c>
      <c r="D317" s="185">
        <f>'$2 per hr + $1 Projection'!D15</f>
        <v>83345.676405139748</v>
      </c>
      <c r="E317" s="185">
        <f>'$2 per hr + $1 Projection'!E15</f>
        <v>83762.404787165433</v>
      </c>
      <c r="F317" s="185">
        <f>'$2 per hr + $1 Projection'!F15</f>
        <v>84181.216811101258</v>
      </c>
      <c r="G317" s="185">
        <f>'$2 per hr + $1 Projection'!G15</f>
        <v>84602.122895156732</v>
      </c>
      <c r="H317" s="185">
        <f>'$2 per hr + $1 Projection'!H15</f>
        <v>85025.133509632491</v>
      </c>
      <c r="I317" s="185">
        <f>'$2 per hr + $1 Projection'!I15</f>
        <v>85450.259177180647</v>
      </c>
    </row>
    <row r="318" spans="1:9" x14ac:dyDescent="0.3">
      <c r="A318" s="187" t="s">
        <v>189</v>
      </c>
      <c r="B318" s="184">
        <f>'$2 per hr + $1 Projection'!B16</f>
        <v>0</v>
      </c>
      <c r="C318" s="185">
        <f>'$2 per hr + $1 Projection'!C16</f>
        <v>250000</v>
      </c>
      <c r="D318" s="185">
        <f>'$2 per hr + $1 Projection'!D16</f>
        <v>257500</v>
      </c>
      <c r="E318" s="185">
        <f>'$2 per hr + $1 Projection'!E16</f>
        <v>265225</v>
      </c>
      <c r="F318" s="185">
        <f>'$2 per hr + $1 Projection'!F16</f>
        <v>273181.75</v>
      </c>
      <c r="G318" s="185">
        <f>'$2 per hr + $1 Projection'!G16</f>
        <v>281377.20249999996</v>
      </c>
      <c r="H318" s="185">
        <f>'$2 per hr + $1 Projection'!H16</f>
        <v>289818.51857499994</v>
      </c>
      <c r="I318" s="185">
        <f>'$2 per hr + $1 Projection'!I16</f>
        <v>298513.07413224998</v>
      </c>
    </row>
    <row r="319" spans="1:9" x14ac:dyDescent="0.3">
      <c r="A319" s="183" t="s">
        <v>257</v>
      </c>
      <c r="B319" s="188">
        <f>'$2 per hr + $1 Projection'!B17</f>
        <v>848000</v>
      </c>
      <c r="C319" s="189">
        <f>'$2 per hr + $1 Projection'!C17</f>
        <v>1164356.646932865</v>
      </c>
      <c r="D319" s="189">
        <f>'$2 per hr + $1 Projection'!D17</f>
        <v>1191625.6764051397</v>
      </c>
      <c r="E319" s="189">
        <f>'$2 per hr + $1 Projection'!E17</f>
        <v>1225290.8047871655</v>
      </c>
      <c r="F319" s="189">
        <f>'$2 per hr + $1 Projection'!F17</f>
        <v>1259955.4688111013</v>
      </c>
      <c r="G319" s="189">
        <f>'$2 per hr + $1 Projection'!G17</f>
        <v>1295649.6024551566</v>
      </c>
      <c r="H319" s="189">
        <f>'$2 per hr + $1 Projection'!H17</f>
        <v>1332404.0374564321</v>
      </c>
      <c r="I319" s="189">
        <f>'$2 per hr + $1 Projection'!I17</f>
        <v>1370250.5302423844</v>
      </c>
    </row>
    <row r="320" spans="1:9" x14ac:dyDescent="0.3">
      <c r="A320" s="180"/>
      <c r="B320" s="181"/>
      <c r="C320" s="182"/>
      <c r="D320" s="182"/>
      <c r="E320" s="182"/>
      <c r="F320" s="182"/>
      <c r="G320" s="182"/>
      <c r="H320" s="182"/>
      <c r="I320" s="182"/>
    </row>
    <row r="321" spans="1:9" x14ac:dyDescent="0.3">
      <c r="A321" s="190" t="s">
        <v>182</v>
      </c>
      <c r="B321" s="191">
        <f>'$2 per hr + $1 Projection'!B19</f>
        <v>-848000</v>
      </c>
      <c r="C321" s="192">
        <f>'$2 per hr + $1 Projection'!C19</f>
        <v>2108111.7579880608</v>
      </c>
      <c r="D321" s="192">
        <f>'$2 per hr + $1 Projection'!D19</f>
        <v>1895251.2274889247</v>
      </c>
      <c r="E321" s="192">
        <f>'$2 per hr + $1 Projection'!E19</f>
        <v>1877020.4836263689</v>
      </c>
      <c r="F321" s="192">
        <f>'$2 per hr + $1 Projection'!F19</f>
        <v>1857867.3760445006</v>
      </c>
      <c r="G321" s="192">
        <f>'$2 per hr + $1 Projection'!G19</f>
        <v>1837762.3566247227</v>
      </c>
      <c r="H321" s="192">
        <f>'$2 per hr + $1 Projection'!H19</f>
        <v>1816674.9814188455</v>
      </c>
      <c r="I321" s="192">
        <f>'$2 per hr + $1 Projection'!I19</f>
        <v>1794573.8837272692</v>
      </c>
    </row>
    <row r="325" spans="1:9" x14ac:dyDescent="0.3">
      <c r="A325" s="171" t="s">
        <v>292</v>
      </c>
      <c r="B325" s="172">
        <f>'$2 per hr + $1 Projection'!J3</f>
        <v>2033</v>
      </c>
      <c r="C325" s="173">
        <f>'$2 per hr + $1 Projection'!K3</f>
        <v>2034</v>
      </c>
      <c r="D325" s="173">
        <f>'$2 per hr + $1 Projection'!L3</f>
        <v>2035</v>
      </c>
      <c r="E325" s="173">
        <f>'$2 per hr + $1 Projection'!M3</f>
        <v>2036</v>
      </c>
      <c r="F325" s="173">
        <f>'$2 per hr + $1 Projection'!N3</f>
        <v>2037</v>
      </c>
      <c r="G325" s="173">
        <f>'$2 per hr + $1 Projection'!O3</f>
        <v>2038</v>
      </c>
      <c r="H325" s="173">
        <f>'$2 per hr + $1 Projection'!P3</f>
        <v>2039</v>
      </c>
      <c r="I325" s="173">
        <f>'$2 per hr + $1 Projection'!Q3</f>
        <v>2040</v>
      </c>
    </row>
    <row r="326" spans="1:9" x14ac:dyDescent="0.3">
      <c r="A326" s="174" t="s">
        <v>138</v>
      </c>
      <c r="B326" s="175"/>
      <c r="C326" s="176"/>
      <c r="D326" s="176"/>
      <c r="E326" s="176"/>
      <c r="F326" s="176"/>
      <c r="G326" s="176"/>
      <c r="H326" s="176"/>
      <c r="I326" s="176"/>
    </row>
    <row r="327" spans="1:9" x14ac:dyDescent="0.3">
      <c r="A327" s="177" t="s">
        <v>280</v>
      </c>
      <c r="B327" s="175">
        <f>'$2 per hr + $1 Projection'!J5</f>
        <v>2714660.3074161713</v>
      </c>
      <c r="C327" s="176">
        <f>'$2 per hr + $1 Projection'!K5</f>
        <v>2728233.608953252</v>
      </c>
      <c r="D327" s="176">
        <f>'$2 per hr + $1 Projection'!L5</f>
        <v>4030555.9221870862</v>
      </c>
      <c r="E327" s="176">
        <f>'$2 per hr + $1 Projection'!M5</f>
        <v>4050708.7017980209</v>
      </c>
      <c r="F327" s="176">
        <f>'$2 per hr + $1 Projection'!N5</f>
        <v>4070962.2453070106</v>
      </c>
      <c r="G327" s="176">
        <f>'$2 per hr + $1 Projection'!O5</f>
        <v>4091317.0565335448</v>
      </c>
      <c r="H327" s="176">
        <f>'$2 per hr + $1 Projection'!P5</f>
        <v>4111773.6418162114</v>
      </c>
      <c r="I327" s="176">
        <f>'$2 per hr + $1 Projection'!Q5</f>
        <v>4132332.5100252917</v>
      </c>
    </row>
    <row r="328" spans="1:9" x14ac:dyDescent="0.3">
      <c r="A328" s="177" t="s">
        <v>299</v>
      </c>
      <c r="B328" s="175">
        <f>'$2 per hr + $1 Projection'!J6</f>
        <v>465988.22862333001</v>
      </c>
      <c r="C328" s="176">
        <f>'$2 per hr + $1 Projection'!K6</f>
        <v>468318.16976644658</v>
      </c>
      <c r="D328" s="176">
        <f>'$2 per hr + $1 Projection'!L6</f>
        <v>470659.76061527879</v>
      </c>
      <c r="E328" s="176">
        <f>'$2 per hr + $1 Projection'!M6</f>
        <v>473013.05941835511</v>
      </c>
      <c r="F328" s="176">
        <f>'$2 per hr + $1 Projection'!N6</f>
        <v>475378.12471544684</v>
      </c>
      <c r="G328" s="176">
        <f>'$2 per hr + $1 Projection'!O6</f>
        <v>477755.0153390239</v>
      </c>
      <c r="H328" s="176">
        <f>'$2 per hr + $1 Projection'!P6</f>
        <v>480143.79041571904</v>
      </c>
      <c r="I328" s="176">
        <f>'$2 per hr + $1 Projection'!Q6</f>
        <v>482544.50936779752</v>
      </c>
    </row>
    <row r="329" spans="1:9" x14ac:dyDescent="0.3">
      <c r="A329" s="174" t="s">
        <v>281</v>
      </c>
      <c r="B329" s="178">
        <f>'$2 per hr + $1 Projection'!J7</f>
        <v>3180648.5360395014</v>
      </c>
      <c r="C329" s="179">
        <f>'$2 per hr + $1 Projection'!K7</f>
        <v>3196551.7787196985</v>
      </c>
      <c r="D329" s="179">
        <f>'$2 per hr + $1 Projection'!L7</f>
        <v>4501215.6828023652</v>
      </c>
      <c r="E329" s="179">
        <f>'$2 per hr + $1 Projection'!M7</f>
        <v>4523721.761216376</v>
      </c>
      <c r="F329" s="179">
        <f>'$2 per hr + $1 Projection'!N7</f>
        <v>4546340.3700224571</v>
      </c>
      <c r="G329" s="179">
        <f>'$2 per hr + $1 Projection'!O7</f>
        <v>4569072.0718725687</v>
      </c>
      <c r="H329" s="179">
        <f>'$2 per hr + $1 Projection'!P7</f>
        <v>4591917.4322319301</v>
      </c>
      <c r="I329" s="179">
        <f>'$2 per hr + $1 Projection'!Q7</f>
        <v>4614877.0193930892</v>
      </c>
    </row>
    <row r="330" spans="1:9" x14ac:dyDescent="0.3">
      <c r="A330" s="180"/>
      <c r="B330" s="181"/>
      <c r="C330" s="182"/>
      <c r="D330" s="182"/>
      <c r="E330" s="182"/>
      <c r="F330" s="182"/>
      <c r="G330" s="182"/>
      <c r="H330" s="182"/>
      <c r="I330" s="182"/>
    </row>
    <row r="331" spans="1:9" x14ac:dyDescent="0.3">
      <c r="A331" s="183" t="s">
        <v>181</v>
      </c>
      <c r="B331" s="184"/>
      <c r="C331" s="185"/>
      <c r="D331" s="185"/>
      <c r="E331" s="185"/>
      <c r="F331" s="185"/>
      <c r="G331" s="185"/>
      <c r="H331" s="185"/>
      <c r="I331" s="185"/>
    </row>
    <row r="332" spans="1:9" x14ac:dyDescent="0.3">
      <c r="A332" s="186" t="s">
        <v>320</v>
      </c>
      <c r="B332" s="184">
        <f>'$2 per hr + $1 Projection'!J10</f>
        <v>0</v>
      </c>
      <c r="C332" s="185">
        <f>'$2 per hr + $1 Projection'!K10</f>
        <v>0</v>
      </c>
      <c r="D332" s="185">
        <f>'$2 per hr + $1 Projection'!L10</f>
        <v>752593.1724327082</v>
      </c>
      <c r="E332" s="185">
        <f>'$2 per hr + $1 Projection'!M10</f>
        <v>0</v>
      </c>
      <c r="F332" s="185">
        <f>'$2 per hr + $1 Projection'!N10</f>
        <v>0</v>
      </c>
      <c r="G332" s="185">
        <f>'$2 per hr + $1 Projection'!O10</f>
        <v>0</v>
      </c>
      <c r="H332" s="185">
        <f>'$2 per hr + $1 Projection'!P10</f>
        <v>0</v>
      </c>
      <c r="I332" s="185">
        <f>'$2 per hr + $1 Projection'!Q10</f>
        <v>0</v>
      </c>
    </row>
    <row r="333" spans="1:9" x14ac:dyDescent="0.3">
      <c r="A333" s="186" t="s">
        <v>155</v>
      </c>
      <c r="B333" s="184">
        <f>'$2 per hr + $1 Projection'!J11</f>
        <v>0</v>
      </c>
      <c r="C333" s="185">
        <f>'$2 per hr + $1 Projection'!K11</f>
        <v>0</v>
      </c>
      <c r="D333" s="185">
        <f>'$2 per hr + $1 Projection'!L11</f>
        <v>236529.28276456543</v>
      </c>
      <c r="E333" s="185">
        <f>'$2 per hr + $1 Projection'!M11</f>
        <v>0</v>
      </c>
      <c r="F333" s="185">
        <f>'$2 per hr + $1 Projection'!N11</f>
        <v>0</v>
      </c>
      <c r="G333" s="185">
        <f>'$2 per hr + $1 Projection'!O11</f>
        <v>0</v>
      </c>
      <c r="H333" s="185">
        <f>'$2 per hr + $1 Projection'!P11</f>
        <v>0</v>
      </c>
      <c r="I333" s="185">
        <f>'$2 per hr + $1 Projection'!Q11</f>
        <v>0</v>
      </c>
    </row>
    <row r="334" spans="1:9" x14ac:dyDescent="0.3">
      <c r="A334" s="186" t="s">
        <v>154</v>
      </c>
      <c r="B334" s="184">
        <f>'$2 per hr + $1 Projection'!J12</f>
        <v>0</v>
      </c>
      <c r="C334" s="185">
        <f>'$2 per hr + $1 Projection'!K12</f>
        <v>0</v>
      </c>
      <c r="D334" s="185">
        <f>'$2 per hr + $1 Projection'!L12</f>
        <v>150518.63448654165</v>
      </c>
      <c r="E334" s="185">
        <f>'$2 per hr + $1 Projection'!M12</f>
        <v>0</v>
      </c>
      <c r="F334" s="185">
        <f>'$2 per hr + $1 Projection'!N12</f>
        <v>0</v>
      </c>
      <c r="G334" s="185">
        <f>'$2 per hr + $1 Projection'!O12</f>
        <v>0</v>
      </c>
      <c r="H334" s="185">
        <f>'$2 per hr + $1 Projection'!P12</f>
        <v>0</v>
      </c>
      <c r="I334" s="185">
        <f>'$2 per hr + $1 Projection'!Q12</f>
        <v>0</v>
      </c>
    </row>
    <row r="335" spans="1:9" x14ac:dyDescent="0.3">
      <c r="A335" s="186" t="s">
        <v>279</v>
      </c>
      <c r="B335" s="184">
        <f>'$2 per hr + $1 Projection'!J13</f>
        <v>922405.39906865254</v>
      </c>
      <c r="C335" s="185">
        <f>'$2 per hr + $1 Projection'!K13</f>
        <v>950077.56104071194</v>
      </c>
      <c r="D335" s="185">
        <f>'$2 per hr + $1 Projection'!L13</f>
        <v>978579.88787193329</v>
      </c>
      <c r="E335" s="185">
        <f>'$2 per hr + $1 Projection'!M13</f>
        <v>1007937.2845080913</v>
      </c>
      <c r="F335" s="185">
        <f>'$2 per hr + $1 Projection'!N13</f>
        <v>1038175.4030433341</v>
      </c>
      <c r="G335" s="185">
        <f>'$2 per hr + $1 Projection'!O13</f>
        <v>1069320.6651346339</v>
      </c>
      <c r="H335" s="185">
        <f>'$2 per hr + $1 Projection'!P13</f>
        <v>1101400.285088673</v>
      </c>
      <c r="I335" s="185">
        <f>'$2 per hr + $1 Projection'!Q13</f>
        <v>1134442.2936413332</v>
      </c>
    </row>
    <row r="336" spans="1:9" x14ac:dyDescent="0.3">
      <c r="A336" s="186" t="s">
        <v>282</v>
      </c>
      <c r="B336" s="184">
        <f>'$2 per hr + $1 Projection'!J14</f>
        <v>93470.413772290121</v>
      </c>
      <c r="C336" s="185">
        <f>'$2 per hr + $1 Projection'!K14</f>
        <v>96274.526185458817</v>
      </c>
      <c r="D336" s="185">
        <f>'$2 per hr + $1 Projection'!L14</f>
        <v>99162.761971022584</v>
      </c>
      <c r="E336" s="185">
        <f>'$2 per hr + $1 Projection'!M14</f>
        <v>102137.64483015325</v>
      </c>
      <c r="F336" s="185">
        <f>'$2 per hr + $1 Projection'!N14</f>
        <v>105201.77417505786</v>
      </c>
      <c r="G336" s="185">
        <f>'$2 per hr + $1 Projection'!O14</f>
        <v>108357.82740030957</v>
      </c>
      <c r="H336" s="185">
        <f>'$2 per hr + $1 Projection'!P14</f>
        <v>111608.56222231885</v>
      </c>
      <c r="I336" s="185">
        <f>'$2 per hr + $1 Projection'!Q14</f>
        <v>114956.81908898844</v>
      </c>
    </row>
    <row r="337" spans="1:9" x14ac:dyDescent="0.3">
      <c r="A337" s="187" t="s">
        <v>328</v>
      </c>
      <c r="B337" s="184">
        <f>'$2 per hr + $1 Projection'!J15</f>
        <v>85877.510473066533</v>
      </c>
      <c r="C337" s="185">
        <f>'$2 per hr + $1 Projection'!K15</f>
        <v>86306.898025431859</v>
      </c>
      <c r="D337" s="185">
        <f>'$2 per hr + $1 Projection'!L15</f>
        <v>121532.82343566386</v>
      </c>
      <c r="E337" s="185">
        <f>'$2 per hr + $1 Projection'!M15</f>
        <v>122140.48755284214</v>
      </c>
      <c r="F337" s="185">
        <f>'$2 per hr + $1 Projection'!N15</f>
        <v>122751.18999060635</v>
      </c>
      <c r="G337" s="185">
        <f>'$2 per hr + $1 Projection'!O15</f>
        <v>123364.94594055934</v>
      </c>
      <c r="H337" s="185">
        <f>'$2 per hr + $1 Projection'!P15</f>
        <v>123981.77067026209</v>
      </c>
      <c r="I337" s="185">
        <f>'$2 per hr + $1 Projection'!Q15</f>
        <v>124601.67952361341</v>
      </c>
    </row>
    <row r="338" spans="1:9" x14ac:dyDescent="0.3">
      <c r="A338" s="187" t="s">
        <v>189</v>
      </c>
      <c r="B338" s="184">
        <f>'$2 per hr + $1 Projection'!J16</f>
        <v>307468.46635621751</v>
      </c>
      <c r="C338" s="185">
        <f>'$2 per hr + $1 Projection'!K16</f>
        <v>316692.520346904</v>
      </c>
      <c r="D338" s="185">
        <f>'$2 per hr + $1 Projection'!L16</f>
        <v>326193.29595731111</v>
      </c>
      <c r="E338" s="185">
        <f>'$2 per hr + $1 Projection'!M16</f>
        <v>335979.09483603045</v>
      </c>
      <c r="F338" s="185">
        <f>'$2 per hr + $1 Projection'!N16</f>
        <v>346058.46768111136</v>
      </c>
      <c r="G338" s="185">
        <f>'$2 per hr + $1 Projection'!O16</f>
        <v>356440.22171154467</v>
      </c>
      <c r="H338" s="185">
        <f>'$2 per hr + $1 Projection'!P16</f>
        <v>367133.42836289096</v>
      </c>
      <c r="I338" s="185">
        <f>'$2 per hr + $1 Projection'!Q16</f>
        <v>378147.43121377775</v>
      </c>
    </row>
    <row r="339" spans="1:9" x14ac:dyDescent="0.3">
      <c r="A339" s="183" t="s">
        <v>257</v>
      </c>
      <c r="B339" s="188">
        <f>'$2 per hr + $1 Projection'!J17</f>
        <v>1409221.7896702266</v>
      </c>
      <c r="C339" s="189">
        <f>'$2 per hr + $1 Projection'!K17</f>
        <v>1449351.5055985067</v>
      </c>
      <c r="D339" s="189">
        <f>'$2 per hr + $1 Projection'!L17</f>
        <v>2665109.8589197458</v>
      </c>
      <c r="E339" s="189">
        <f>'$2 per hr + $1 Projection'!M17</f>
        <v>1568194.511727117</v>
      </c>
      <c r="F339" s="189">
        <f>'$2 per hr + $1 Projection'!N17</f>
        <v>1612186.8348901097</v>
      </c>
      <c r="G339" s="189">
        <f>'$2 per hr + $1 Projection'!O17</f>
        <v>1657483.6601870474</v>
      </c>
      <c r="H339" s="189">
        <f>'$2 per hr + $1 Projection'!P17</f>
        <v>1704124.0463441452</v>
      </c>
      <c r="I339" s="189">
        <f>'$2 per hr + $1 Projection'!Q17</f>
        <v>1752148.2234677128</v>
      </c>
    </row>
    <row r="340" spans="1:9" x14ac:dyDescent="0.3">
      <c r="A340" s="180"/>
      <c r="B340" s="181"/>
      <c r="C340" s="182"/>
      <c r="D340" s="182"/>
      <c r="E340" s="182"/>
      <c r="F340" s="182"/>
      <c r="G340" s="182"/>
      <c r="H340" s="182"/>
      <c r="I340" s="182"/>
    </row>
    <row r="341" spans="1:9" x14ac:dyDescent="0.3">
      <c r="A341" s="190" t="s">
        <v>182</v>
      </c>
      <c r="B341" s="191">
        <f>'$2 per hr + $1 Projection'!J19</f>
        <v>1771426.7463692748</v>
      </c>
      <c r="C341" s="192">
        <f>'$2 per hr + $1 Projection'!K19</f>
        <v>1747200.2731211919</v>
      </c>
      <c r="D341" s="192">
        <f>'$2 per hr + $1 Projection'!L19</f>
        <v>1836105.8238826194</v>
      </c>
      <c r="E341" s="192">
        <f>'$2 per hr + $1 Projection'!M19</f>
        <v>2955527.249489259</v>
      </c>
      <c r="F341" s="192">
        <f>'$2 per hr + $1 Projection'!N19</f>
        <v>2934153.5351323476</v>
      </c>
      <c r="G341" s="192">
        <f>'$2 per hr + $1 Projection'!O19</f>
        <v>2911588.4116855212</v>
      </c>
      <c r="H341" s="192">
        <f>'$2 per hr + $1 Projection'!P19</f>
        <v>2887793.3858877849</v>
      </c>
      <c r="I341" s="192">
        <f>'$2 per hr + $1 Projection'!Q19</f>
        <v>2862728.7959253765</v>
      </c>
    </row>
    <row r="344" spans="1:9" ht="16.5" x14ac:dyDescent="0.3">
      <c r="A344" s="166" t="s">
        <v>319</v>
      </c>
    </row>
    <row r="346" spans="1:9" x14ac:dyDescent="0.3">
      <c r="A346" s="171" t="s">
        <v>292</v>
      </c>
      <c r="B346" s="172">
        <f>'$2 per hr + $1 Projection'!R3</f>
        <v>2041</v>
      </c>
      <c r="C346" s="173">
        <f>'$2 per hr + $1 Projection'!S3</f>
        <v>2042</v>
      </c>
      <c r="D346" s="173">
        <f>'$2 per hr + $1 Projection'!T3</f>
        <v>2043</v>
      </c>
      <c r="E346" s="173">
        <f>'$2 per hr + $1 Projection'!U3</f>
        <v>2044</v>
      </c>
      <c r="F346" s="173">
        <f>'$2 per hr + $1 Projection'!V3</f>
        <v>2045</v>
      </c>
      <c r="G346" s="173">
        <f>'$2 per hr + $1 Projection'!W3</f>
        <v>2046</v>
      </c>
      <c r="H346" s="173">
        <f>'$2 per hr + $1 Projection'!X3</f>
        <v>2047</v>
      </c>
      <c r="I346" s="173">
        <f>'$2 per hr + $1 Projection'!Y3</f>
        <v>2048</v>
      </c>
    </row>
    <row r="347" spans="1:9" x14ac:dyDescent="0.3">
      <c r="A347" s="174" t="s">
        <v>138</v>
      </c>
      <c r="B347" s="175"/>
      <c r="C347" s="176"/>
      <c r="D347" s="176"/>
      <c r="E347" s="176"/>
      <c r="F347" s="176"/>
      <c r="G347" s="176"/>
      <c r="H347" s="176"/>
      <c r="I347" s="176"/>
    </row>
    <row r="348" spans="1:9" x14ac:dyDescent="0.3">
      <c r="A348" s="177" t="s">
        <v>280</v>
      </c>
      <c r="B348" s="175">
        <f>'$2 per hr + $1 Projection'!R5</f>
        <v>4152994.1725754179</v>
      </c>
      <c r="C348" s="176">
        <f>'$2 per hr + $1 Projection'!S5</f>
        <v>4173759.1434382945</v>
      </c>
      <c r="D348" s="176">
        <f>'$2 per hr + $1 Projection'!T5</f>
        <v>4194627.9391554855</v>
      </c>
      <c r="E348" s="176">
        <f>'$2 per hr + $1 Projection'!U5</f>
        <v>4215601.078851263</v>
      </c>
      <c r="F348" s="176">
        <f>'$2 per hr + $1 Projection'!V5</f>
        <v>5573586.7063852167</v>
      </c>
      <c r="G348" s="176">
        <f>'$2 per hr + $1 Projection'!W5</f>
        <v>5601454.6399171418</v>
      </c>
      <c r="H348" s="176">
        <f>'$2 per hr + $1 Projection'!X5</f>
        <v>5629461.913116727</v>
      </c>
      <c r="I348" s="176">
        <f>'$2 per hr + $1 Projection'!Y5</f>
        <v>5657609.2226823084</v>
      </c>
    </row>
    <row r="349" spans="1:9" x14ac:dyDescent="0.3">
      <c r="A349" s="177" t="s">
        <v>299</v>
      </c>
      <c r="B349" s="175">
        <f>'$2 per hr + $1 Projection'!R6</f>
        <v>484957.23191463639</v>
      </c>
      <c r="C349" s="176">
        <f>'$2 per hr + $1 Projection'!S6</f>
        <v>487382.01807420951</v>
      </c>
      <c r="D349" s="176">
        <f>'$2 per hr + $1 Projection'!T6</f>
        <v>489818.92816458055</v>
      </c>
      <c r="E349" s="176">
        <f>'$2 per hr + $1 Projection'!U6</f>
        <v>492268.02280540328</v>
      </c>
      <c r="F349" s="176">
        <f>'$2 per hr + $1 Projection'!V6</f>
        <v>494729.36291943025</v>
      </c>
      <c r="G349" s="176">
        <f>'$2 per hr + $1 Projection'!W6</f>
        <v>497203.00973402738</v>
      </c>
      <c r="H349" s="176">
        <f>'$2 per hr + $1 Projection'!X6</f>
        <v>499689.02478269738</v>
      </c>
      <c r="I349" s="176">
        <f>'$2 per hr + $1 Projection'!Y6</f>
        <v>502187.46990661079</v>
      </c>
    </row>
    <row r="350" spans="1:9" x14ac:dyDescent="0.3">
      <c r="A350" s="174" t="s">
        <v>281</v>
      </c>
      <c r="B350" s="178">
        <f>'$2 per hr + $1 Projection'!R7</f>
        <v>4637951.4044900546</v>
      </c>
      <c r="C350" s="179">
        <f>'$2 per hr + $1 Projection'!S7</f>
        <v>4661141.1615125043</v>
      </c>
      <c r="D350" s="179">
        <f>'$2 per hr + $1 Projection'!T7</f>
        <v>4684446.8673200663</v>
      </c>
      <c r="E350" s="179">
        <f>'$2 per hr + $1 Projection'!U7</f>
        <v>4707869.101656666</v>
      </c>
      <c r="F350" s="179">
        <f>'$2 per hr + $1 Projection'!V7</f>
        <v>6068316.0693046469</v>
      </c>
      <c r="G350" s="179">
        <f>'$2 per hr + $1 Projection'!W7</f>
        <v>6098657.6496511688</v>
      </c>
      <c r="H350" s="179">
        <f>'$2 per hr + $1 Projection'!X7</f>
        <v>6129150.9378994247</v>
      </c>
      <c r="I350" s="179">
        <f>'$2 per hr + $1 Projection'!Y7</f>
        <v>6159796.6925889188</v>
      </c>
    </row>
    <row r="351" spans="1:9" x14ac:dyDescent="0.3">
      <c r="A351" s="180"/>
      <c r="B351" s="181"/>
      <c r="C351" s="182"/>
      <c r="D351" s="182"/>
      <c r="E351" s="182"/>
      <c r="F351" s="182"/>
      <c r="G351" s="182"/>
      <c r="H351" s="182"/>
      <c r="I351" s="182"/>
    </row>
    <row r="352" spans="1:9" x14ac:dyDescent="0.3">
      <c r="A352" s="183" t="s">
        <v>181</v>
      </c>
      <c r="B352" s="184"/>
      <c r="C352" s="185"/>
      <c r="D352" s="185"/>
      <c r="E352" s="185"/>
      <c r="F352" s="185"/>
      <c r="G352" s="185"/>
      <c r="H352" s="185"/>
      <c r="I352" s="185"/>
    </row>
    <row r="353" spans="1:9" x14ac:dyDescent="0.3">
      <c r="A353" s="186" t="s">
        <v>320</v>
      </c>
      <c r="B353" s="184">
        <f>'$2 per hr + $1 Projection'!R10</f>
        <v>0</v>
      </c>
      <c r="C353" s="185">
        <f>'$2 per hr + $1 Projection'!S10</f>
        <v>0</v>
      </c>
      <c r="D353" s="185">
        <f>'$2 per hr + $1 Projection'!T10</f>
        <v>0</v>
      </c>
      <c r="E353" s="185">
        <f>'$2 per hr + $1 Projection'!U10</f>
        <v>0</v>
      </c>
      <c r="F353" s="185">
        <f>'$2 per hr + $1 Projection'!V10</f>
        <v>1011422.2914148715</v>
      </c>
      <c r="G353" s="185">
        <f>'$2 per hr + $1 Projection'!W10</f>
        <v>0</v>
      </c>
      <c r="H353" s="185">
        <f>'$2 per hr + $1 Projection'!X10</f>
        <v>0</v>
      </c>
      <c r="I353" s="185">
        <f>'$2 per hr + $1 Projection'!Y10</f>
        <v>0</v>
      </c>
    </row>
    <row r="354" spans="1:9" x14ac:dyDescent="0.3">
      <c r="A354" s="186" t="s">
        <v>155</v>
      </c>
      <c r="B354" s="184">
        <f>'$2 per hr + $1 Projection'!R11</f>
        <v>0</v>
      </c>
      <c r="C354" s="185">
        <f>'$2 per hr + $1 Projection'!S11</f>
        <v>0</v>
      </c>
      <c r="D354" s="185">
        <f>'$2 per hr + $1 Projection'!T11</f>
        <v>0</v>
      </c>
      <c r="E354" s="185">
        <f>'$2 per hr + $1 Projection'!U11</f>
        <v>0</v>
      </c>
      <c r="F354" s="185">
        <f>'$2 per hr + $1 Projection'!V11</f>
        <v>317875.57730181672</v>
      </c>
      <c r="G354" s="185">
        <f>'$2 per hr + $1 Projection'!W11</f>
        <v>0</v>
      </c>
      <c r="H354" s="185">
        <f>'$2 per hr + $1 Projection'!X11</f>
        <v>0</v>
      </c>
      <c r="I354" s="185">
        <f>'$2 per hr + $1 Projection'!Y11</f>
        <v>0</v>
      </c>
    </row>
    <row r="355" spans="1:9" x14ac:dyDescent="0.3">
      <c r="A355" s="186" t="s">
        <v>154</v>
      </c>
      <c r="B355" s="184">
        <f>'$2 per hr + $1 Projection'!R12</f>
        <v>0</v>
      </c>
      <c r="C355" s="185">
        <f>'$2 per hr + $1 Projection'!S12</f>
        <v>0</v>
      </c>
      <c r="D355" s="185">
        <f>'$2 per hr + $1 Projection'!T12</f>
        <v>0</v>
      </c>
      <c r="E355" s="185">
        <f>'$2 per hr + $1 Projection'!U12</f>
        <v>0</v>
      </c>
      <c r="F355" s="185">
        <f>'$2 per hr + $1 Projection'!V12</f>
        <v>202284.45828297429</v>
      </c>
      <c r="G355" s="185">
        <f>'$2 per hr + $1 Projection'!W12</f>
        <v>0</v>
      </c>
      <c r="H355" s="185">
        <f>'$2 per hr + $1 Projection'!X12</f>
        <v>0</v>
      </c>
      <c r="I355" s="185">
        <f>'$2 per hr + $1 Projection'!Y12</f>
        <v>0</v>
      </c>
    </row>
    <row r="356" spans="1:9" x14ac:dyDescent="0.3">
      <c r="A356" s="186" t="s">
        <v>279</v>
      </c>
      <c r="B356" s="184">
        <f>'$2 per hr + $1 Projection'!R13</f>
        <v>1168475.5624505733</v>
      </c>
      <c r="C356" s="185">
        <f>'$2 per hr + $1 Projection'!S13</f>
        <v>1203529.8293240904</v>
      </c>
      <c r="D356" s="185">
        <f>'$2 per hr + $1 Projection'!T13</f>
        <v>1239635.7242038131</v>
      </c>
      <c r="E356" s="185">
        <f>'$2 per hr + $1 Projection'!U13</f>
        <v>1276824.7959299274</v>
      </c>
      <c r="F356" s="185">
        <f>'$2 per hr + $1 Projection'!V13</f>
        <v>1315129.5398078251</v>
      </c>
      <c r="G356" s="185">
        <f>'$2 per hr + $1 Projection'!W13</f>
        <v>1354583.4260020598</v>
      </c>
      <c r="H356" s="185">
        <f>'$2 per hr + $1 Projection'!X13</f>
        <v>1395220.9287821215</v>
      </c>
      <c r="I356" s="185">
        <f>'$2 per hr + $1 Projection'!Y13</f>
        <v>1437077.5566455855</v>
      </c>
    </row>
    <row r="357" spans="1:9" x14ac:dyDescent="0.3">
      <c r="A357" s="186" t="s">
        <v>282</v>
      </c>
      <c r="B357" s="184">
        <f>'$2 per hr + $1 Projection'!R14</f>
        <v>118405.5236616581</v>
      </c>
      <c r="C357" s="185">
        <f>'$2 per hr + $1 Projection'!S14</f>
        <v>121957.68937150782</v>
      </c>
      <c r="D357" s="185">
        <f>'$2 per hr + $1 Projection'!T14</f>
        <v>125616.42005265305</v>
      </c>
      <c r="E357" s="185">
        <f>'$2 per hr + $1 Projection'!U14</f>
        <v>129384.91265423264</v>
      </c>
      <c r="F357" s="185">
        <f>'$2 per hr + $1 Projection'!V14</f>
        <v>133266.46003385962</v>
      </c>
      <c r="G357" s="185">
        <f>'$2 per hr + $1 Projection'!W14</f>
        <v>137264.4538348754</v>
      </c>
      <c r="H357" s="185">
        <f>'$2 per hr + $1 Projection'!X14</f>
        <v>141382.38744992166</v>
      </c>
      <c r="I357" s="185">
        <f>'$2 per hr + $1 Projection'!Y14</f>
        <v>145623.85907341933</v>
      </c>
    </row>
    <row r="358" spans="1:9" x14ac:dyDescent="0.3">
      <c r="A358" s="187" t="s">
        <v>328</v>
      </c>
      <c r="B358" s="184">
        <f>'$2 per hr + $1 Projection'!R15</f>
        <v>125224.68792123147</v>
      </c>
      <c r="C358" s="185">
        <f>'$2 per hr + $1 Projection'!S15</f>
        <v>125850.81136083762</v>
      </c>
      <c r="D358" s="185">
        <f>'$2 per hr + $1 Projection'!T15</f>
        <v>126480.06541764177</v>
      </c>
      <c r="E358" s="185">
        <f>'$2 per hr + $1 Projection'!U15</f>
        <v>127112.46574472998</v>
      </c>
      <c r="F358" s="185">
        <f>'$2 per hr + $1 Projection'!V15</f>
        <v>163844.53387122546</v>
      </c>
      <c r="G358" s="185">
        <f>'$2 per hr + $1 Projection'!W15</f>
        <v>164663.75654058155</v>
      </c>
      <c r="H358" s="185">
        <f>'$2 per hr + $1 Projection'!X15</f>
        <v>165487.07532328446</v>
      </c>
      <c r="I358" s="185">
        <f>'$2 per hr + $1 Projection'!Y15</f>
        <v>166314.5106999008</v>
      </c>
    </row>
    <row r="359" spans="1:9" x14ac:dyDescent="0.3">
      <c r="A359" s="187" t="s">
        <v>189</v>
      </c>
      <c r="B359" s="184">
        <f>'$2 per hr + $1 Projection'!R16</f>
        <v>389491.85415019112</v>
      </c>
      <c r="C359" s="185">
        <f>'$2 per hr + $1 Projection'!S16</f>
        <v>401176.60977469676</v>
      </c>
      <c r="D359" s="185">
        <f>'$2 per hr + $1 Projection'!T16</f>
        <v>413211.90806793765</v>
      </c>
      <c r="E359" s="185">
        <f>'$2 per hr + $1 Projection'!U16</f>
        <v>425608.26530997583</v>
      </c>
      <c r="F359" s="185">
        <f>'$2 per hr + $1 Projection'!V16</f>
        <v>438376.51326927508</v>
      </c>
      <c r="G359" s="185">
        <f>'$2 per hr + $1 Projection'!W16</f>
        <v>451527.8086673533</v>
      </c>
      <c r="H359" s="185">
        <f>'$2 per hr + $1 Projection'!X16</f>
        <v>465073.64292737388</v>
      </c>
      <c r="I359" s="185">
        <f>'$2 per hr + $1 Projection'!Y16</f>
        <v>479025.85221519513</v>
      </c>
    </row>
    <row r="360" spans="1:9" x14ac:dyDescent="0.3">
      <c r="A360" s="183" t="s">
        <v>257</v>
      </c>
      <c r="B360" s="188">
        <f>'$2 per hr + $1 Projection'!R17</f>
        <v>1801597.628183654</v>
      </c>
      <c r="C360" s="189">
        <f>'$2 per hr + $1 Projection'!S17</f>
        <v>1852514.9398311325</v>
      </c>
      <c r="D360" s="189">
        <f>'$2 per hr + $1 Projection'!T17</f>
        <v>1904944.1177420455</v>
      </c>
      <c r="E360" s="189">
        <f>'$2 per hr + $1 Projection'!U17</f>
        <v>1958930.4396388661</v>
      </c>
      <c r="F360" s="189">
        <f>'$2 per hr + $1 Projection'!V17</f>
        <v>3582199.3739818479</v>
      </c>
      <c r="G360" s="189">
        <f>'$2 per hr + $1 Projection'!W17</f>
        <v>2108039.44504487</v>
      </c>
      <c r="H360" s="189">
        <f>'$2 per hr + $1 Projection'!X17</f>
        <v>2167164.0344827012</v>
      </c>
      <c r="I360" s="189">
        <f>'$2 per hr + $1 Projection'!Y17</f>
        <v>2228041.7786341007</v>
      </c>
    </row>
    <row r="361" spans="1:9" x14ac:dyDescent="0.3">
      <c r="A361" s="180"/>
      <c r="B361" s="181"/>
      <c r="C361" s="182"/>
      <c r="D361" s="182"/>
      <c r="E361" s="182"/>
      <c r="F361" s="182"/>
      <c r="G361" s="182"/>
      <c r="H361" s="182"/>
      <c r="I361" s="182"/>
    </row>
    <row r="362" spans="1:9" x14ac:dyDescent="0.3">
      <c r="A362" s="190" t="s">
        <v>182</v>
      </c>
      <c r="B362" s="191">
        <f>'$2 per hr + $1 Projection'!R19</f>
        <v>2836353.7763064005</v>
      </c>
      <c r="C362" s="192">
        <f>'$2 per hr + $1 Projection'!S19</f>
        <v>2808626.2216813718</v>
      </c>
      <c r="D362" s="192">
        <f>'$2 per hr + $1 Projection'!T19</f>
        <v>2779502.7495780205</v>
      </c>
      <c r="E362" s="192">
        <f>'$2 per hr + $1 Projection'!U19</f>
        <v>2748938.6620177999</v>
      </c>
      <c r="F362" s="192">
        <f>'$2 per hr + $1 Projection'!V19</f>
        <v>2486116.695322799</v>
      </c>
      <c r="G362" s="192">
        <f>'$2 per hr + $1 Projection'!W19</f>
        <v>3990618.2046062988</v>
      </c>
      <c r="H362" s="192">
        <f>'$2 per hr + $1 Projection'!X19</f>
        <v>3961986.9034167235</v>
      </c>
      <c r="I362" s="192">
        <f>'$2 per hr + $1 Projection'!Y19</f>
        <v>3931754.9139548182</v>
      </c>
    </row>
    <row r="366" spans="1:9" x14ac:dyDescent="0.3">
      <c r="A366" s="171" t="s">
        <v>292</v>
      </c>
      <c r="B366" s="172">
        <f>'$2 per hr + $1 Projection'!Z3</f>
        <v>2049</v>
      </c>
      <c r="C366" s="173">
        <f>'$2 per hr + $1 Projection'!AA3</f>
        <v>2050</v>
      </c>
    </row>
    <row r="367" spans="1:9" x14ac:dyDescent="0.3">
      <c r="A367" s="174" t="s">
        <v>138</v>
      </c>
      <c r="B367" s="175"/>
      <c r="C367" s="176"/>
    </row>
    <row r="368" spans="1:9" x14ac:dyDescent="0.3">
      <c r="A368" s="177" t="s">
        <v>280</v>
      </c>
      <c r="B368" s="175">
        <f>'$2 per hr + $1 Projection'!Z5</f>
        <v>5685897.2687957194</v>
      </c>
      <c r="C368" s="176">
        <f>'$2 per hr + $1 Projection'!AA5</f>
        <v>5714326.7551396973</v>
      </c>
    </row>
    <row r="369" spans="1:3" x14ac:dyDescent="0.3">
      <c r="A369" s="177" t="s">
        <v>299</v>
      </c>
      <c r="B369" s="175">
        <f>'$2 per hr + $1 Projection'!Z6</f>
        <v>504698.40725614375</v>
      </c>
      <c r="C369" s="176">
        <f>'$2 per hr + $1 Projection'!AA6</f>
        <v>507221.8992924245</v>
      </c>
    </row>
    <row r="370" spans="1:3" x14ac:dyDescent="0.3">
      <c r="A370" s="174" t="s">
        <v>281</v>
      </c>
      <c r="B370" s="178">
        <f>'$2 per hr + $1 Projection'!Z7</f>
        <v>6190595.6760518635</v>
      </c>
      <c r="C370" s="179">
        <f>'$2 per hr + $1 Projection'!AA7</f>
        <v>6221548.6544321217</v>
      </c>
    </row>
    <row r="371" spans="1:3" x14ac:dyDescent="0.3">
      <c r="A371" s="180"/>
      <c r="B371" s="181"/>
      <c r="C371" s="182"/>
    </row>
    <row r="372" spans="1:3" x14ac:dyDescent="0.3">
      <c r="A372" s="183" t="s">
        <v>181</v>
      </c>
      <c r="B372" s="184"/>
      <c r="C372" s="185"/>
    </row>
    <row r="373" spans="1:3" x14ac:dyDescent="0.3">
      <c r="A373" s="186" t="s">
        <v>320</v>
      </c>
      <c r="B373" s="184">
        <f>'$2 per hr + $1 Projection'!Z10</f>
        <v>0</v>
      </c>
      <c r="C373" s="185">
        <f>'$2 per hr + $1 Projection'!AA10</f>
        <v>0</v>
      </c>
    </row>
    <row r="374" spans="1:3" x14ac:dyDescent="0.3">
      <c r="A374" s="186" t="s">
        <v>155</v>
      </c>
      <c r="B374" s="184">
        <f>'$2 per hr + $1 Projection'!Z11</f>
        <v>0</v>
      </c>
      <c r="C374" s="185">
        <f>'$2 per hr + $1 Projection'!AA11</f>
        <v>0</v>
      </c>
    </row>
    <row r="375" spans="1:3" x14ac:dyDescent="0.3">
      <c r="A375" s="186" t="s">
        <v>154</v>
      </c>
      <c r="B375" s="184">
        <f>'$2 per hr + $1 Projection'!Z12</f>
        <v>0</v>
      </c>
      <c r="C375" s="185">
        <f>'$2 per hr + $1 Projection'!AA12</f>
        <v>0</v>
      </c>
    </row>
    <row r="376" spans="1:3" x14ac:dyDescent="0.3">
      <c r="A376" s="186" t="s">
        <v>279</v>
      </c>
      <c r="B376" s="184">
        <f>'$2 per hr + $1 Projection'!Z13</f>
        <v>1480189.8833449529</v>
      </c>
      <c r="C376" s="185">
        <f>'$2 per hr + $1 Projection'!AA13</f>
        <v>1524595.5798453013</v>
      </c>
    </row>
    <row r="377" spans="1:3" x14ac:dyDescent="0.3">
      <c r="A377" s="186" t="s">
        <v>282</v>
      </c>
      <c r="B377" s="184">
        <f>'$2 per hr + $1 Projection'!Z14</f>
        <v>149992.57484562192</v>
      </c>
      <c r="C377" s="185">
        <f>'$2 per hr + $1 Projection'!AA14</f>
        <v>154492.35209099055</v>
      </c>
    </row>
    <row r="378" spans="1:3" x14ac:dyDescent="0.3">
      <c r="A378" s="187" t="s">
        <v>328</v>
      </c>
      <c r="B378" s="184">
        <f>'$2 per hr + $1 Projection'!Z15</f>
        <v>167146.08325340031</v>
      </c>
      <c r="C378" s="185">
        <f>'$2 per hr + $1 Projection'!AA15</f>
        <v>167981.81366966729</v>
      </c>
    </row>
    <row r="379" spans="1:3" x14ac:dyDescent="0.3">
      <c r="A379" s="187" t="s">
        <v>189</v>
      </c>
      <c r="B379" s="184">
        <f>'$2 per hr + $1 Projection'!Z16</f>
        <v>493396.62778165098</v>
      </c>
      <c r="C379" s="185">
        <f>'$2 per hr + $1 Projection'!AA16</f>
        <v>508198.52661510045</v>
      </c>
    </row>
    <row r="380" spans="1:3" x14ac:dyDescent="0.3">
      <c r="A380" s="183" t="s">
        <v>257</v>
      </c>
      <c r="B380" s="188">
        <f>'$2 per hr + $1 Projection'!Z17</f>
        <v>2290725.1692256262</v>
      </c>
      <c r="C380" s="189">
        <f>'$2 per hr + $1 Projection'!AA17</f>
        <v>2355268.2722210595</v>
      </c>
    </row>
    <row r="381" spans="1:3" x14ac:dyDescent="0.3">
      <c r="A381" s="180"/>
      <c r="B381" s="181"/>
      <c r="C381" s="182"/>
    </row>
    <row r="382" spans="1:3" x14ac:dyDescent="0.3">
      <c r="A382" s="190" t="s">
        <v>182</v>
      </c>
      <c r="B382" s="191">
        <f>'$2 per hr + $1 Projection'!Z19</f>
        <v>3899870.5068262373</v>
      </c>
      <c r="C382" s="192">
        <f>'$2 per hr + $1 Projection'!AA19</f>
        <v>3866280.3822110621</v>
      </c>
    </row>
  </sheetData>
  <mergeCells count="25">
    <mergeCell ref="F23:G23"/>
    <mergeCell ref="F24:G24"/>
    <mergeCell ref="H21:I21"/>
    <mergeCell ref="H22:I22"/>
    <mergeCell ref="H23:I23"/>
    <mergeCell ref="H24:I24"/>
    <mergeCell ref="B23:C23"/>
    <mergeCell ref="B24:C24"/>
    <mergeCell ref="D21:E21"/>
    <mergeCell ref="D22:E22"/>
    <mergeCell ref="D23:E23"/>
    <mergeCell ref="D24:E24"/>
    <mergeCell ref="B10:C10"/>
    <mergeCell ref="A12:I18"/>
    <mergeCell ref="A20:F20"/>
    <mergeCell ref="B21:C21"/>
    <mergeCell ref="B22:C22"/>
    <mergeCell ref="F21:G21"/>
    <mergeCell ref="F22:G22"/>
    <mergeCell ref="B9:C9"/>
    <mergeCell ref="B4:C4"/>
    <mergeCell ref="B5:C5"/>
    <mergeCell ref="B6:C6"/>
    <mergeCell ref="B7:C7"/>
    <mergeCell ref="B8:C8"/>
  </mergeCells>
  <printOptions horizontalCentered="1"/>
  <pageMargins left="0.25" right="0.25" top="0.5" bottom="0.5" header="0.3" footer="0.3"/>
  <pageSetup orientation="landscape" horizontalDpi="300" verticalDpi="0" r:id="rId1"/>
  <rowBreaks count="2" manualBreakCount="2">
    <brk id="19" max="16383" man="1"/>
    <brk id="5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F53E-1FF8-4A95-99DD-E67B9DCA91DB}">
  <sheetPr>
    <tabColor rgb="FF00B050"/>
  </sheetPr>
  <dimension ref="A1:G52"/>
  <sheetViews>
    <sheetView tabSelected="1" view="pageBreakPreview" topLeftCell="A23" zoomScale="90" zoomScaleNormal="90" zoomScaleSheetLayoutView="90" workbookViewId="0">
      <selection activeCell="K40" sqref="K40"/>
    </sheetView>
  </sheetViews>
  <sheetFormatPr defaultColWidth="8.7265625" defaultRowHeight="13" x14ac:dyDescent="0.3"/>
  <cols>
    <col min="1" max="1" width="42.453125" style="168" bestFit="1" customWidth="1"/>
    <col min="2" max="7" width="15.6328125" style="168" customWidth="1"/>
    <col min="8" max="16384" width="8.7265625" style="168"/>
  </cols>
  <sheetData>
    <row r="1" spans="1:7" ht="16.5" x14ac:dyDescent="0.3">
      <c r="A1" s="166" t="s">
        <v>321</v>
      </c>
    </row>
    <row r="2" spans="1:7" x14ac:dyDescent="0.3">
      <c r="A2" s="168" t="s">
        <v>322</v>
      </c>
    </row>
    <row r="4" spans="1:7" x14ac:dyDescent="0.3">
      <c r="A4" s="169" t="s">
        <v>248</v>
      </c>
      <c r="B4" s="236" t="s">
        <v>326</v>
      </c>
      <c r="C4" s="236"/>
    </row>
    <row r="5" spans="1:7" x14ac:dyDescent="0.3">
      <c r="A5" s="170" t="s">
        <v>330</v>
      </c>
      <c r="B5" s="235">
        <v>10000</v>
      </c>
      <c r="C5" s="235"/>
    </row>
    <row r="6" spans="1:7" x14ac:dyDescent="0.3">
      <c r="A6" s="170" t="s">
        <v>325</v>
      </c>
      <c r="B6" s="235">
        <v>1000</v>
      </c>
      <c r="C6" s="235"/>
    </row>
    <row r="7" spans="1:7" x14ac:dyDescent="0.3">
      <c r="A7" s="170" t="s">
        <v>324</v>
      </c>
      <c r="B7" s="235">
        <v>2000</v>
      </c>
      <c r="C7" s="235"/>
    </row>
    <row r="8" spans="1:7" x14ac:dyDescent="0.3">
      <c r="A8" s="170" t="s">
        <v>323</v>
      </c>
      <c r="B8" s="235">
        <v>750000</v>
      </c>
      <c r="C8" s="235"/>
    </row>
    <row r="9" spans="1:7" x14ac:dyDescent="0.3">
      <c r="A9" s="170" t="s">
        <v>331</v>
      </c>
      <c r="B9" s="235">
        <v>76000</v>
      </c>
      <c r="C9" s="235"/>
    </row>
    <row r="10" spans="1:7" x14ac:dyDescent="0.3">
      <c r="A10" s="170" t="s">
        <v>329</v>
      </c>
      <c r="B10" s="237" t="s">
        <v>332</v>
      </c>
      <c r="C10" s="237"/>
    </row>
    <row r="12" spans="1:7" ht="14.15" customHeight="1" x14ac:dyDescent="0.3">
      <c r="A12" s="238" t="s">
        <v>333</v>
      </c>
      <c r="B12" s="238"/>
      <c r="C12" s="238"/>
      <c r="D12" s="238"/>
      <c r="E12" s="238"/>
      <c r="F12" s="238"/>
      <c r="G12" s="238"/>
    </row>
    <row r="13" spans="1:7" ht="12.65" customHeight="1" x14ac:dyDescent="0.3">
      <c r="A13" s="238"/>
      <c r="B13" s="238"/>
      <c r="C13" s="238"/>
      <c r="D13" s="238"/>
      <c r="E13" s="238"/>
      <c r="F13" s="238"/>
      <c r="G13" s="238"/>
    </row>
    <row r="14" spans="1:7" ht="12.65" customHeight="1" x14ac:dyDescent="0.3">
      <c r="A14" s="238"/>
      <c r="B14" s="238"/>
      <c r="C14" s="238"/>
      <c r="D14" s="238"/>
      <c r="E14" s="238"/>
      <c r="F14" s="238"/>
      <c r="G14" s="238"/>
    </row>
    <row r="15" spans="1:7" ht="12.65" customHeight="1" x14ac:dyDescent="0.3">
      <c r="A15" s="238"/>
      <c r="B15" s="238"/>
      <c r="C15" s="238"/>
      <c r="D15" s="238"/>
      <c r="E15" s="238"/>
      <c r="F15" s="238"/>
      <c r="G15" s="238"/>
    </row>
    <row r="16" spans="1:7" ht="12.65" customHeight="1" x14ac:dyDescent="0.3">
      <c r="A16" s="238"/>
      <c r="B16" s="238"/>
      <c r="C16" s="238"/>
      <c r="D16" s="238"/>
      <c r="E16" s="238"/>
      <c r="F16" s="238"/>
      <c r="G16" s="238"/>
    </row>
    <row r="17" spans="1:7" ht="12.65" customHeight="1" x14ac:dyDescent="0.3">
      <c r="A17" s="238"/>
      <c r="B17" s="238"/>
      <c r="C17" s="238"/>
      <c r="D17" s="238"/>
      <c r="E17" s="238"/>
      <c r="F17" s="238"/>
      <c r="G17" s="238"/>
    </row>
    <row r="18" spans="1:7" ht="12.65" customHeight="1" x14ac:dyDescent="0.3">
      <c r="A18" s="238"/>
      <c r="B18" s="238"/>
      <c r="C18" s="238"/>
      <c r="D18" s="238"/>
      <c r="E18" s="238"/>
      <c r="F18" s="238"/>
      <c r="G18" s="238"/>
    </row>
    <row r="19" spans="1:7" ht="12.65" customHeight="1" x14ac:dyDescent="0.3">
      <c r="A19" s="167"/>
      <c r="B19" s="167"/>
      <c r="C19" s="167"/>
      <c r="D19" s="167"/>
      <c r="E19" s="167"/>
      <c r="F19" s="167"/>
      <c r="G19" s="167"/>
    </row>
    <row r="20" spans="1:7" ht="16.5" x14ac:dyDescent="0.3">
      <c r="A20" s="166" t="s">
        <v>341</v>
      </c>
    </row>
    <row r="22" spans="1:7" x14ac:dyDescent="0.3">
      <c r="A22" s="171" t="s">
        <v>292</v>
      </c>
      <c r="B22" s="172">
        <v>2025</v>
      </c>
      <c r="C22" s="172">
        <v>2026</v>
      </c>
      <c r="D22" s="172">
        <v>2027</v>
      </c>
      <c r="E22" s="172">
        <v>2028</v>
      </c>
      <c r="F22" s="172">
        <v>2029</v>
      </c>
      <c r="G22" s="195">
        <v>2030</v>
      </c>
    </row>
    <row r="23" spans="1:7" x14ac:dyDescent="0.3">
      <c r="A23" s="174" t="s">
        <v>340</v>
      </c>
      <c r="B23" s="178">
        <v>0</v>
      </c>
      <c r="C23" s="178">
        <v>2186962.1338857482</v>
      </c>
      <c r="D23" s="178">
        <v>2043276.0334688982</v>
      </c>
      <c r="E23" s="178">
        <v>2053492.4136362425</v>
      </c>
      <c r="F23" s="178">
        <v>2063759.8757044233</v>
      </c>
      <c r="G23" s="196">
        <v>2074078.6750829453</v>
      </c>
    </row>
    <row r="24" spans="1:7" x14ac:dyDescent="0.3">
      <c r="A24" s="180"/>
      <c r="B24" s="181"/>
      <c r="C24" s="181"/>
      <c r="D24" s="181"/>
      <c r="E24" s="181"/>
      <c r="F24" s="181"/>
      <c r="G24" s="197"/>
    </row>
    <row r="25" spans="1:7" x14ac:dyDescent="0.3">
      <c r="A25" s="183" t="s">
        <v>181</v>
      </c>
      <c r="B25" s="184"/>
      <c r="C25" s="184"/>
      <c r="D25" s="184"/>
      <c r="E25" s="184"/>
      <c r="F25" s="184"/>
      <c r="G25" s="198"/>
    </row>
    <row r="26" spans="1:7" x14ac:dyDescent="0.3">
      <c r="A26" s="186" t="s">
        <v>320</v>
      </c>
      <c r="B26" s="184">
        <v>490000</v>
      </c>
      <c r="C26" s="184">
        <v>0</v>
      </c>
      <c r="D26" s="184">
        <v>0</v>
      </c>
      <c r="E26" s="184">
        <v>0</v>
      </c>
      <c r="F26" s="184">
        <v>0</v>
      </c>
      <c r="G26" s="198">
        <v>0</v>
      </c>
    </row>
    <row r="27" spans="1:7" x14ac:dyDescent="0.3">
      <c r="A27" s="186" t="s">
        <v>155</v>
      </c>
      <c r="B27" s="184">
        <v>176000</v>
      </c>
      <c r="C27" s="184">
        <v>0</v>
      </c>
      <c r="D27" s="184">
        <v>0</v>
      </c>
      <c r="E27" s="184">
        <v>0</v>
      </c>
      <c r="F27" s="184">
        <v>0</v>
      </c>
      <c r="G27" s="198">
        <v>0</v>
      </c>
    </row>
    <row r="28" spans="1:7" x14ac:dyDescent="0.3">
      <c r="A28" s="186" t="s">
        <v>154</v>
      </c>
      <c r="B28" s="184">
        <v>112000</v>
      </c>
      <c r="C28" s="184">
        <v>0</v>
      </c>
      <c r="D28" s="184">
        <v>0</v>
      </c>
      <c r="E28" s="184">
        <v>0</v>
      </c>
      <c r="F28" s="184">
        <v>0</v>
      </c>
      <c r="G28" s="198">
        <v>0</v>
      </c>
    </row>
    <row r="29" spans="1:7" x14ac:dyDescent="0.3">
      <c r="A29" s="186" t="s">
        <v>279</v>
      </c>
      <c r="B29" s="184">
        <v>0</v>
      </c>
      <c r="C29" s="184">
        <v>750000</v>
      </c>
      <c r="D29" s="184">
        <v>772500</v>
      </c>
      <c r="E29" s="184">
        <v>795675</v>
      </c>
      <c r="F29" s="184">
        <v>819545.25</v>
      </c>
      <c r="G29" s="198">
        <v>844131.60749999993</v>
      </c>
    </row>
    <row r="30" spans="1:7" x14ac:dyDescent="0.3">
      <c r="A30" s="186" t="s">
        <v>282</v>
      </c>
      <c r="B30" s="184">
        <v>0</v>
      </c>
      <c r="C30" s="184">
        <v>76000</v>
      </c>
      <c r="D30" s="184">
        <v>78280</v>
      </c>
      <c r="E30" s="184">
        <v>80628.399999999994</v>
      </c>
      <c r="F30" s="184">
        <v>83047.251999999993</v>
      </c>
      <c r="G30" s="198">
        <v>85538.669559999995</v>
      </c>
    </row>
    <row r="31" spans="1:7" x14ac:dyDescent="0.3">
      <c r="A31" s="187" t="s">
        <v>328</v>
      </c>
      <c r="B31" s="184">
        <v>0</v>
      </c>
      <c r="C31" s="184">
        <v>59047.977614915209</v>
      </c>
      <c r="D31" s="184">
        <v>55168.452903660247</v>
      </c>
      <c r="E31" s="184">
        <v>55444.295168178549</v>
      </c>
      <c r="F31" s="184">
        <v>55721.51664401943</v>
      </c>
      <c r="G31" s="198">
        <v>56000.124227239517</v>
      </c>
    </row>
    <row r="32" spans="1:7" x14ac:dyDescent="0.3">
      <c r="A32" s="183" t="s">
        <v>257</v>
      </c>
      <c r="B32" s="188">
        <v>778000</v>
      </c>
      <c r="C32" s="188">
        <v>885047.97761491523</v>
      </c>
      <c r="D32" s="188">
        <v>905948.45290366025</v>
      </c>
      <c r="E32" s="188">
        <v>931747.69516817853</v>
      </c>
      <c r="F32" s="188">
        <v>958314.01864401938</v>
      </c>
      <c r="G32" s="199">
        <v>985670.40128723939</v>
      </c>
    </row>
    <row r="33" spans="1:7" x14ac:dyDescent="0.3">
      <c r="A33" s="180"/>
      <c r="B33" s="181"/>
      <c r="C33" s="181"/>
      <c r="D33" s="181"/>
      <c r="E33" s="181"/>
      <c r="F33" s="181"/>
      <c r="G33" s="197"/>
    </row>
    <row r="34" spans="1:7" x14ac:dyDescent="0.3">
      <c r="A34" s="190" t="s">
        <v>182</v>
      </c>
      <c r="B34" s="191">
        <v>778000</v>
      </c>
      <c r="C34" s="191">
        <v>1301914.156270833</v>
      </c>
      <c r="D34" s="191">
        <v>1137327.5805652379</v>
      </c>
      <c r="E34" s="191">
        <v>1121744.718468064</v>
      </c>
      <c r="F34" s="191">
        <v>1105445.857060404</v>
      </c>
      <c r="G34" s="200">
        <v>1088408.2737957058</v>
      </c>
    </row>
    <row r="40" spans="1:7" x14ac:dyDescent="0.3">
      <c r="A40" s="171" t="s">
        <v>292</v>
      </c>
      <c r="B40" s="195">
        <v>2031</v>
      </c>
      <c r="C40" s="172">
        <v>2032</v>
      </c>
      <c r="D40" s="172">
        <v>2033</v>
      </c>
      <c r="E40" s="195">
        <v>2034</v>
      </c>
    </row>
    <row r="41" spans="1:7" x14ac:dyDescent="0.3">
      <c r="A41" s="174" t="s">
        <v>340</v>
      </c>
      <c r="B41" s="194">
        <v>2084449.0684583595</v>
      </c>
      <c r="C41" s="178">
        <v>2094871.3138006509</v>
      </c>
      <c r="D41" s="178">
        <v>2105345.6703696535</v>
      </c>
      <c r="E41" s="196">
        <v>2115872.3987215017</v>
      </c>
    </row>
    <row r="42" spans="1:7" x14ac:dyDescent="0.3">
      <c r="A42" s="180"/>
      <c r="B42" s="181"/>
      <c r="C42" s="181"/>
      <c r="D42" s="181"/>
      <c r="E42" s="197"/>
    </row>
    <row r="43" spans="1:7" x14ac:dyDescent="0.3">
      <c r="A43" s="183" t="s">
        <v>181</v>
      </c>
      <c r="B43" s="184"/>
      <c r="C43" s="184"/>
      <c r="D43" s="184"/>
      <c r="E43" s="198"/>
    </row>
    <row r="44" spans="1:7" x14ac:dyDescent="0.3">
      <c r="A44" s="186" t="s">
        <v>320</v>
      </c>
      <c r="B44" s="184">
        <v>0</v>
      </c>
      <c r="C44" s="184">
        <v>0</v>
      </c>
      <c r="D44" s="184">
        <v>0</v>
      </c>
      <c r="E44" s="198">
        <v>0</v>
      </c>
    </row>
    <row r="45" spans="1:7" x14ac:dyDescent="0.3">
      <c r="A45" s="186" t="s">
        <v>155</v>
      </c>
      <c r="B45" s="184">
        <v>0</v>
      </c>
      <c r="C45" s="184">
        <v>0</v>
      </c>
      <c r="D45" s="184">
        <v>0</v>
      </c>
      <c r="E45" s="198">
        <v>0</v>
      </c>
    </row>
    <row r="46" spans="1:7" x14ac:dyDescent="0.3">
      <c r="A46" s="186" t="s">
        <v>154</v>
      </c>
      <c r="B46" s="184">
        <v>0</v>
      </c>
      <c r="C46" s="184">
        <v>0</v>
      </c>
      <c r="D46" s="184">
        <v>0</v>
      </c>
      <c r="E46" s="198">
        <v>0</v>
      </c>
    </row>
    <row r="47" spans="1:7" x14ac:dyDescent="0.3">
      <c r="A47" s="186" t="s">
        <v>279</v>
      </c>
      <c r="B47" s="184">
        <v>869455.55572499987</v>
      </c>
      <c r="C47" s="184">
        <v>895539.22239674989</v>
      </c>
      <c r="D47" s="184">
        <v>922405.39906865254</v>
      </c>
      <c r="E47" s="198">
        <v>950077.56104071194</v>
      </c>
    </row>
    <row r="48" spans="1:7" x14ac:dyDescent="0.3">
      <c r="A48" s="186" t="s">
        <v>282</v>
      </c>
      <c r="B48" s="184">
        <v>88104.82964679999</v>
      </c>
      <c r="C48" s="184">
        <v>90747.974536203998</v>
      </c>
      <c r="D48" s="184">
        <v>93470.413772290121</v>
      </c>
      <c r="E48" s="198">
        <v>96274.526185458817</v>
      </c>
    </row>
    <row r="49" spans="1:5" x14ac:dyDescent="0.3">
      <c r="A49" s="187" t="s">
        <v>342</v>
      </c>
      <c r="B49" s="184">
        <v>56280.124848375708</v>
      </c>
      <c r="C49" s="184">
        <v>56561.525472617577</v>
      </c>
      <c r="D49" s="184">
        <v>56844.333099980642</v>
      </c>
      <c r="E49" s="198">
        <v>57128.554765480549</v>
      </c>
    </row>
    <row r="50" spans="1:5" x14ac:dyDescent="0.3">
      <c r="A50" s="183" t="s">
        <v>257</v>
      </c>
      <c r="B50" s="188">
        <v>1013840.5102201755</v>
      </c>
      <c r="C50" s="188">
        <v>1042848.7224055715</v>
      </c>
      <c r="D50" s="188">
        <v>1072720.1459409234</v>
      </c>
      <c r="E50" s="199">
        <v>1103480.6419916514</v>
      </c>
    </row>
    <row r="51" spans="1:5" x14ac:dyDescent="0.3">
      <c r="A51" s="180"/>
      <c r="B51" s="181"/>
      <c r="C51" s="181"/>
      <c r="D51" s="181"/>
      <c r="E51" s="197"/>
    </row>
    <row r="52" spans="1:5" x14ac:dyDescent="0.3">
      <c r="A52" s="190" t="s">
        <v>182</v>
      </c>
      <c r="B52" s="191">
        <v>1070608.5582381841</v>
      </c>
      <c r="C52" s="191">
        <v>1052022.5913950794</v>
      </c>
      <c r="D52" s="191">
        <v>1032625.5244287301</v>
      </c>
      <c r="E52" s="200">
        <v>1012391.7567298503</v>
      </c>
    </row>
  </sheetData>
  <mergeCells count="8">
    <mergeCell ref="B10:C10"/>
    <mergeCell ref="A12:G18"/>
    <mergeCell ref="B4:C4"/>
    <mergeCell ref="B5:C5"/>
    <mergeCell ref="B6:C6"/>
    <mergeCell ref="B7:C7"/>
    <mergeCell ref="B8:C8"/>
    <mergeCell ref="B9:C9"/>
  </mergeCells>
  <printOptions horizontalCentered="1"/>
  <pageMargins left="0.25" right="0.25" top="0.5" bottom="0.5" header="0.3" footer="0.3"/>
  <pageSetup orientation="landscape" horizontalDpi="300" verticalDpi="0" r:id="rId1"/>
  <rowBreaks count="1" manualBreakCount="1">
    <brk id="19"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4A19F-6822-418C-9BE7-145497AC489D}">
  <sheetPr>
    <tabColor rgb="FFBC5610"/>
  </sheetPr>
  <dimension ref="A1:AA22"/>
  <sheetViews>
    <sheetView workbookViewId="0">
      <selection activeCell="A19" sqref="A19:E22"/>
    </sheetView>
  </sheetViews>
  <sheetFormatPr defaultRowHeight="12.5" x14ac:dyDescent="0.25"/>
  <cols>
    <col min="1" max="5" width="15.1796875" bestFit="1" customWidth="1"/>
    <col min="6" max="27" width="13.81640625" bestFit="1" customWidth="1"/>
  </cols>
  <sheetData>
    <row r="1" spans="1:27" x14ac:dyDescent="0.25">
      <c r="B1">
        <v>2025</v>
      </c>
      <c r="C1">
        <v>2026</v>
      </c>
      <c r="D1">
        <v>2027</v>
      </c>
      <c r="E1">
        <v>2028</v>
      </c>
      <c r="F1">
        <v>2029</v>
      </c>
      <c r="G1">
        <v>2030</v>
      </c>
      <c r="H1">
        <v>2031</v>
      </c>
      <c r="I1">
        <v>2032</v>
      </c>
      <c r="J1">
        <v>2033</v>
      </c>
      <c r="K1">
        <v>2034</v>
      </c>
      <c r="L1">
        <v>2035</v>
      </c>
      <c r="M1">
        <v>2036</v>
      </c>
      <c r="N1">
        <v>2037</v>
      </c>
      <c r="O1">
        <v>2038</v>
      </c>
      <c r="P1">
        <v>2039</v>
      </c>
      <c r="Q1">
        <v>2040</v>
      </c>
      <c r="R1">
        <v>2041</v>
      </c>
      <c r="S1">
        <v>2042</v>
      </c>
      <c r="T1">
        <v>2043</v>
      </c>
      <c r="U1">
        <v>2044</v>
      </c>
      <c r="V1">
        <v>2045</v>
      </c>
      <c r="W1">
        <v>2046</v>
      </c>
      <c r="X1">
        <v>2047</v>
      </c>
      <c r="Y1">
        <v>2048</v>
      </c>
      <c r="Z1">
        <v>2049</v>
      </c>
      <c r="AA1">
        <v>2050</v>
      </c>
    </row>
    <row r="2" spans="1:27" x14ac:dyDescent="0.25">
      <c r="A2" s="52" t="s">
        <v>308</v>
      </c>
      <c r="B2" s="51">
        <f>'$1.5 per hr + $0.5 Projection'!B25</f>
        <v>-778000</v>
      </c>
      <c r="C2" s="51">
        <f>'$1.5 per hr + $0.5 Projection'!C25</f>
        <v>1263994.3264765369</v>
      </c>
      <c r="D2" s="51">
        <f>'$1.5 per hr + $0.5 Projection'!D25</f>
        <v>1072040.3247857837</v>
      </c>
      <c r="E2" s="51">
        <f>'$1.5 per hr + $0.5 Projection'!E25</f>
        <v>1026555.3230295068</v>
      </c>
      <c r="F2" s="51">
        <f>'$1.5 per hr + $0.5 Projection'!F25</f>
        <v>982174.32617022702</v>
      </c>
      <c r="G2" s="51">
        <f>'$1.5 per hr + $0.5 Projection'!G25</f>
        <v>938870.53797258018</v>
      </c>
      <c r="H2" s="51">
        <f>'$1.5 per hr + $0.5 Projection'!H25</f>
        <v>896617.81259526452</v>
      </c>
      <c r="I2" s="51">
        <f>'$1.5 per hr + $0.5 Projection'!I25</f>
        <v>855390.63880477659</v>
      </c>
      <c r="J2" s="51">
        <f>'$1.5 per hr + $0.5 Projection'!J25</f>
        <v>815164.12457231025</v>
      </c>
      <c r="K2" s="51">
        <f>'$1.5 per hr + $0.5 Projection'!K25</f>
        <v>775913.98204451601</v>
      </c>
      <c r="L2" s="51">
        <f>'$1.5 per hr + $0.5 Projection'!L25</f>
        <v>445432.67506607901</v>
      </c>
      <c r="M2" s="51">
        <f>'$1.5 per hr + $0.5 Projection'!M25</f>
        <v>1174273.1017010566</v>
      </c>
      <c r="N2" s="51">
        <f>'$1.5 per hr + $0.5 Projection'!N25</f>
        <v>1126306.7218643122</v>
      </c>
      <c r="O2" s="51">
        <f>'$1.5 per hr + $0.5 Projection'!O25</f>
        <v>1079504.5745478768</v>
      </c>
      <c r="P2" s="51">
        <f>'$1.5 per hr + $0.5 Projection'!P25</f>
        <v>1033838.4016808689</v>
      </c>
      <c r="Q2" s="51">
        <f>'$1.5 per hr + $0.5 Projection'!Q25</f>
        <v>989280.63106791535</v>
      </c>
      <c r="R2" s="51">
        <f>'$1.5 per hr + $0.5 Projection'!R25</f>
        <v>945804.35974168382</v>
      </c>
      <c r="S2" s="51">
        <f>'$1.5 per hr + $0.5 Projection'!S25</f>
        <v>903383.33771948714</v>
      </c>
      <c r="T2" s="51">
        <f>'$1.5 per hr + $0.5 Projection'!T25</f>
        <v>861991.9521541401</v>
      </c>
      <c r="U2" s="51">
        <f>'$1.5 per hr + $0.5 Projection'!U25</f>
        <v>821605.211869505</v>
      </c>
      <c r="V2" s="51">
        <f>'$1.5 per hr + $0.5 Projection'!V25</f>
        <v>380432.096234389</v>
      </c>
      <c r="W2" s="51">
        <f>'$1.5 per hr + $0.5 Projection'!W25</f>
        <v>1110850.2068215928</v>
      </c>
      <c r="X2" s="51">
        <f>'$1.5 per hr + $0.5 Projection'!X25</f>
        <v>1064423.2176372623</v>
      </c>
      <c r="Y2" s="51">
        <f>'$1.5 per hr + $0.5 Projection'!Y25</f>
        <v>1019123.0971224539</v>
      </c>
      <c r="Z2" s="51">
        <f>'$1.5 per hr + $0.5 Projection'!Z25</f>
        <v>974922.49409586948</v>
      </c>
      <c r="AA2" s="51">
        <f>'$1.5 per hr + $0.5 Projection'!AA25</f>
        <v>931794.72123983339</v>
      </c>
    </row>
    <row r="3" spans="1:27" x14ac:dyDescent="0.25">
      <c r="A3" s="52" t="s">
        <v>309</v>
      </c>
      <c r="B3" s="51">
        <f>'$1.5 per hr + $1 Projection'!B25</f>
        <v>-848000</v>
      </c>
      <c r="C3" s="51">
        <f>'$1.5 per hr + $1 Projection'!C25</f>
        <v>1446372.9672532359</v>
      </c>
      <c r="D3" s="51">
        <f>'$1.5 per hr + $1 Projection'!D25</f>
        <v>1244101.0750921271</v>
      </c>
      <c r="E3" s="51">
        <f>'$1.5 per hr + $1 Projection'!E25</f>
        <v>1188548.6171002125</v>
      </c>
      <c r="F3" s="51">
        <f>'$1.5 per hr + $1 Projection'!F25</f>
        <v>1134344.5197391689</v>
      </c>
      <c r="G3" s="51">
        <f>'$1.5 per hr + $1 Projection'!G25</f>
        <v>1081456.0558092194</v>
      </c>
      <c r="H3" s="51">
        <f>'$1.5 per hr + $1 Projection'!H25</f>
        <v>1029851.2924600935</v>
      </c>
      <c r="I3" s="51">
        <f>'$1.5 per hr + $1 Projection'!I25</f>
        <v>979499.07191070332</v>
      </c>
      <c r="J3" s="51">
        <f>'$1.5 per hr + $1 Projection'!J25</f>
        <v>930368.99263678386</v>
      </c>
      <c r="K3" s="51">
        <f>'$1.5 per hr + $1 Projection'!K25</f>
        <v>882431.39101514453</v>
      </c>
      <c r="L3" s="51">
        <f>'$1.5 per hr + $1 Projection'!L25</f>
        <v>945604.68547238433</v>
      </c>
      <c r="M3" s="51">
        <f>'$1.5 per hr + $1 Projection'!M25</f>
        <v>1724714.7612091037</v>
      </c>
      <c r="N3" s="51">
        <f>'$1.5 per hr + $1 Projection'!N25</f>
        <v>1657496.9224861942</v>
      </c>
      <c r="O3" s="51">
        <f>'$1.5 per hr + $1 Projection'!O25</f>
        <v>1591910.5847031607</v>
      </c>
      <c r="P3" s="51">
        <f>'$1.5 per hr + $1 Projection'!P25</f>
        <v>1527916.1483226281</v>
      </c>
      <c r="Q3" s="51">
        <f>'$1.5 per hr + $1 Projection'!Q25</f>
        <v>1465474.9749610405</v>
      </c>
      <c r="R3" s="51">
        <f>'$1.5 per hr + $1 Projection'!R25</f>
        <v>1404549.3640596857</v>
      </c>
      <c r="S3" s="51">
        <f>'$1.5 per hr + $1 Projection'!S25</f>
        <v>1345102.5301219565</v>
      </c>
      <c r="T3" s="51">
        <f>'$1.5 per hr + $1 Projection'!T25</f>
        <v>1287098.5805031043</v>
      </c>
      <c r="U3" s="51">
        <f>'$1.5 per hr + $1 Projection'!U25</f>
        <v>1230502.4937390781</v>
      </c>
      <c r="V3" s="51">
        <f>'$1.5 per hr + $1 Projection'!V25</f>
        <v>1064890.1575028766</v>
      </c>
      <c r="W3" s="51">
        <f>'$1.5 per hr + $1 Projection'!W25</f>
        <v>1841104.9547922539</v>
      </c>
      <c r="X3" s="51">
        <f>'$1.5 per hr + $1 Projection'!X25</f>
        <v>1771062.1113707244</v>
      </c>
      <c r="Y3" s="51">
        <f>'$1.5 per hr + $1 Projection'!Y25</f>
        <v>1702719.3369642796</v>
      </c>
      <c r="Z3" s="51">
        <f>'$1.5 per hr + $1 Projection'!Z25</f>
        <v>1636035.367761876</v>
      </c>
      <c r="AA3" s="51">
        <f>'$1.5 per hr + $1 Projection'!AA25</f>
        <v>1570969.9415012775</v>
      </c>
    </row>
    <row r="4" spans="1:27" x14ac:dyDescent="0.25">
      <c r="A4" s="52" t="s">
        <v>310</v>
      </c>
      <c r="B4" s="51">
        <f>'$2 per hr + $0.5 Projection'!B25</f>
        <v>-848000</v>
      </c>
      <c r="C4" s="51">
        <f>'$2 per hr + $0.5 Projection'!C25</f>
        <v>2046710.4446486027</v>
      </c>
      <c r="D4" s="51">
        <f>'$2 per hr + $0.5 Projection'!D25</f>
        <v>1786456.0538117869</v>
      </c>
      <c r="E4" s="51">
        <f>'$2 per hr + $0.5 Projection'!E25</f>
        <v>1717739.6400257053</v>
      </c>
      <c r="F4" s="51">
        <f>'$2 per hr + $0.5 Projection'!F25</f>
        <v>1650691.1003606457</v>
      </c>
      <c r="G4" s="51">
        <f>'$2 per hr + $0.5 Projection'!G25</f>
        <v>1585269.9524350287</v>
      </c>
      <c r="H4" s="51">
        <f>'$2 per hr + $0.5 Projection'!H25</f>
        <v>1521436.6964493536</v>
      </c>
      <c r="I4" s="51">
        <f>'$2 per hr + $0.5 Projection'!I25</f>
        <v>1459152.7913371173</v>
      </c>
      <c r="J4" s="51">
        <f>'$2 per hr + $0.5 Projection'!J25</f>
        <v>1398380.6314945957</v>
      </c>
      <c r="K4" s="51">
        <f>'$2 per hr + $0.5 Projection'!K25</f>
        <v>1339083.5240754364</v>
      </c>
      <c r="L4" s="51">
        <f>'$2 per hr + $0.5 Projection'!L25</f>
        <v>904693.23525661195</v>
      </c>
      <c r="M4" s="51">
        <f>'$2 per hr + $0.5 Projection'!M25</f>
        <v>1684796.3073577916</v>
      </c>
      <c r="N4" s="51">
        <f>'$2 per hr + $0.5 Projection'!N25</f>
        <v>1618547.3631458364</v>
      </c>
      <c r="O4" s="51">
        <f>'$2 per hr + $0.5 Projection'!O25</f>
        <v>1553906.4030166951</v>
      </c>
      <c r="P4" s="51">
        <f>'$2 per hr + $0.5 Projection'!P25</f>
        <v>1490834.3982304942</v>
      </c>
      <c r="Q4" s="51">
        <f>'$2 per hr + $0.5 Projection'!Q25</f>
        <v>1429293.2673468711</v>
      </c>
      <c r="R4" s="51">
        <f>'$2 per hr + $0.5 Projection'!R25</f>
        <v>1369245.853232268</v>
      </c>
      <c r="S4" s="51">
        <f>'$2 per hr + $0.5 Projection'!S25</f>
        <v>1310655.9006253015</v>
      </c>
      <c r="T4" s="51">
        <f>'$2 per hr + $0.5 Projection'!T25</f>
        <v>1253488.0342466591</v>
      </c>
      <c r="U4" s="51">
        <f>'$2 per hr + $0.5 Projection'!U25</f>
        <v>1197707.7374403137</v>
      </c>
      <c r="V4" s="51">
        <f>'$2 per hr + $0.5 Projection'!V25</f>
        <v>661119.26198624587</v>
      </c>
      <c r="W4" s="51">
        <f>'$2 per hr + $0.5 Projection'!W25</f>
        <v>1447134.3237299102</v>
      </c>
      <c r="X4" s="51">
        <f>'$2 per hr + $0.5 Projection'!X25</f>
        <v>1386653.8742662047</v>
      </c>
      <c r="Y4" s="51">
        <f>'$2 per hr + $0.5 Projection'!Y25</f>
        <v>1327641.3968768597</v>
      </c>
      <c r="Z4" s="51">
        <f>'$2 per hr + $0.5 Projection'!Z25</f>
        <v>1270061.2611717235</v>
      </c>
      <c r="AA4" s="51">
        <f>'$2 per hr + $0.5 Projection'!AA25</f>
        <v>1213878.7015759344</v>
      </c>
    </row>
    <row r="5" spans="1:27" x14ac:dyDescent="0.25">
      <c r="A5" s="52" t="s">
        <v>311</v>
      </c>
      <c r="B5" s="51">
        <f>'$2 per hr + $1 Projection'!B25</f>
        <v>-848000</v>
      </c>
      <c r="C5" s="51">
        <f>'$2 per hr + $1 Projection'!C25</f>
        <v>2046710.4446486027</v>
      </c>
      <c r="D5" s="51">
        <f>'$2 per hr + $1 Projection'!D25</f>
        <v>1786456.0538117869</v>
      </c>
      <c r="E5" s="51">
        <f>'$2 per hr + $1 Projection'!E25</f>
        <v>1717739.6400257053</v>
      </c>
      <c r="F5" s="51">
        <f>'$2 per hr + $1 Projection'!F25</f>
        <v>1650691.1003606457</v>
      </c>
      <c r="G5" s="51">
        <f>'$2 per hr + $1 Projection'!G25</f>
        <v>1585269.9524350287</v>
      </c>
      <c r="H5" s="51">
        <f>'$2 per hr + $1 Projection'!H25</f>
        <v>1521436.6964493536</v>
      </c>
      <c r="I5" s="51">
        <f>'$2 per hr + $1 Projection'!I25</f>
        <v>1459152.7913371173</v>
      </c>
      <c r="J5" s="51">
        <f>'$2 per hr + $1 Projection'!J25</f>
        <v>1398380.6314945957</v>
      </c>
      <c r="K5" s="51">
        <f>'$2 per hr + $1 Projection'!K25</f>
        <v>1339083.5240754364</v>
      </c>
      <c r="L5" s="51">
        <f>'$2 per hr + $1 Projection'!L25</f>
        <v>1366235.1706574953</v>
      </c>
      <c r="M5" s="51">
        <f>'$2 per hr + $1 Projection'!M25</f>
        <v>2135135.7685984592</v>
      </c>
      <c r="N5" s="51">
        <f>'$2 per hr + $1 Projection'!N25</f>
        <v>2057956.2549389147</v>
      </c>
      <c r="O5" s="51">
        <f>'$2 per hr + $1 Projection'!O25</f>
        <v>1982650.0304458642</v>
      </c>
      <c r="P5" s="51">
        <f>'$2 per hr + $1 Projection'!P25</f>
        <v>1909171.6269356536</v>
      </c>
      <c r="Q5" s="51">
        <f>'$2 per hr + $1 Projection'!Q25</f>
        <v>1837476.6798213229</v>
      </c>
      <c r="R5" s="51">
        <f>'$2 per hr + $1 Projection'!R25</f>
        <v>1767521.9013262726</v>
      </c>
      <c r="S5" s="51">
        <f>'$2 per hr + $1 Projection'!S25</f>
        <v>1699265.0543480921</v>
      </c>
      <c r="T5" s="51">
        <f>'$2 per hr + $1 Projection'!T25</f>
        <v>1632664.9269567605</v>
      </c>
      <c r="U5" s="51">
        <f>'$2 per hr + $1 Projection'!U25</f>
        <v>1567681.3075118202</v>
      </c>
      <c r="V5" s="51">
        <f>'$2 per hr + $1 Projection'!V25</f>
        <v>1376502.5362780895</v>
      </c>
      <c r="W5" s="51">
        <f>'$2 per hr + $1 Projection'!W25</f>
        <v>2145153.9263156415</v>
      </c>
      <c r="X5" s="51">
        <f>'$2 per hr + $1 Projection'!X25</f>
        <v>2067731.2534882047</v>
      </c>
      <c r="Y5" s="51">
        <f>'$2 per hr + $1 Projection'!Y25</f>
        <v>1992187.7717488105</v>
      </c>
      <c r="Z5" s="51">
        <f>'$2 per hr + $1 Projection'!Z25</f>
        <v>1918477.8696632872</v>
      </c>
      <c r="AA5" s="51">
        <f>'$2 per hr + $1 Projection'!AA25</f>
        <v>1846557.0428711015</v>
      </c>
    </row>
    <row r="7" spans="1:27" x14ac:dyDescent="0.25">
      <c r="A7" t="s">
        <v>306</v>
      </c>
    </row>
    <row r="8" spans="1:27" x14ac:dyDescent="0.25">
      <c r="A8" t="s">
        <v>295</v>
      </c>
      <c r="B8" s="164">
        <f>SUM($B2:B2)</f>
        <v>-778000</v>
      </c>
      <c r="C8" s="164">
        <f>SUM($B2:C2)</f>
        <v>485994.32647653692</v>
      </c>
      <c r="D8" s="164">
        <f>SUM($B2:D2)</f>
        <v>1558034.6512623206</v>
      </c>
      <c r="E8" s="164">
        <f>SUM($B2:E2)</f>
        <v>2584589.9742918275</v>
      </c>
      <c r="F8" s="164">
        <f>SUM($B2:F2)</f>
        <v>3566764.3004620546</v>
      </c>
      <c r="G8" s="164">
        <f>SUM($B2:G2)</f>
        <v>4505634.8384346347</v>
      </c>
      <c r="H8" s="164">
        <f>SUM($B2:H2)</f>
        <v>5402252.6510298997</v>
      </c>
      <c r="I8" s="164">
        <f>SUM($B2:I2)</f>
        <v>6257643.2898346763</v>
      </c>
      <c r="J8" s="164">
        <f>SUM($B2:J2)</f>
        <v>7072807.4144069869</v>
      </c>
      <c r="K8" s="164">
        <f>SUM($B2:K2)</f>
        <v>7848721.396451503</v>
      </c>
      <c r="L8" s="164">
        <f>SUM($B2:L2)</f>
        <v>8294154.0715175821</v>
      </c>
      <c r="M8" s="164">
        <f>SUM($B2:M2)</f>
        <v>9468427.1732186377</v>
      </c>
      <c r="N8" s="164">
        <f>SUM($B2:N2)</f>
        <v>10594733.895082951</v>
      </c>
      <c r="O8" s="164">
        <f>SUM($B2:O2)</f>
        <v>11674238.469630828</v>
      </c>
      <c r="P8" s="164">
        <f>SUM($B2:P2)</f>
        <v>12708076.871311696</v>
      </c>
      <c r="Q8" s="164">
        <f>SUM($B2:Q2)</f>
        <v>13697357.502379611</v>
      </c>
      <c r="R8" s="164">
        <f>SUM($B2:R2)</f>
        <v>14643161.862121295</v>
      </c>
      <c r="S8" s="164">
        <f>SUM($B2:S2)</f>
        <v>15546545.199840782</v>
      </c>
      <c r="T8" s="164">
        <f>SUM($B2:T2)</f>
        <v>16408537.151994923</v>
      </c>
      <c r="U8" s="164">
        <f>SUM($B2:U2)</f>
        <v>17230142.363864429</v>
      </c>
      <c r="V8" s="164">
        <f>SUM($B2:V2)</f>
        <v>17610574.460098818</v>
      </c>
      <c r="W8" s="164">
        <f>SUM($B2:W2)</f>
        <v>18721424.666920412</v>
      </c>
      <c r="X8" s="164">
        <f>SUM($B2:X2)</f>
        <v>19785847.884557676</v>
      </c>
      <c r="Y8" s="164">
        <f>SUM($B2:Y2)</f>
        <v>20804970.981680129</v>
      </c>
      <c r="Z8" s="164">
        <f>SUM($B2:Z2)</f>
        <v>21779893.475775998</v>
      </c>
      <c r="AA8" s="164">
        <f>SUM($B2:AA2)</f>
        <v>22711688.197015833</v>
      </c>
    </row>
    <row r="9" spans="1:27" x14ac:dyDescent="0.25">
      <c r="A9" t="s">
        <v>296</v>
      </c>
      <c r="B9" s="164">
        <f>SUM($B3:B3)</f>
        <v>-848000</v>
      </c>
      <c r="C9" s="164">
        <f>SUM($B3:C3)</f>
        <v>598372.96725323587</v>
      </c>
      <c r="D9" s="164">
        <f>SUM($B3:D3)</f>
        <v>1842474.0423453629</v>
      </c>
      <c r="E9" s="164">
        <f>SUM($B3:E3)</f>
        <v>3031022.6594455754</v>
      </c>
      <c r="F9" s="164">
        <f>SUM($B3:F3)</f>
        <v>4165367.1791847441</v>
      </c>
      <c r="G9" s="164">
        <f>SUM($B3:G3)</f>
        <v>5246823.2349939635</v>
      </c>
      <c r="H9" s="164">
        <f>SUM($B3:H3)</f>
        <v>6276674.5274540568</v>
      </c>
      <c r="I9" s="164">
        <f>SUM($B3:I3)</f>
        <v>7256173.5993647603</v>
      </c>
      <c r="J9" s="164">
        <f>SUM($B3:J3)</f>
        <v>8186542.5920015443</v>
      </c>
      <c r="K9" s="164">
        <f>SUM($B3:K3)</f>
        <v>9068973.9830166884</v>
      </c>
      <c r="L9" s="164">
        <f>SUM($B3:L3)</f>
        <v>10014578.668489072</v>
      </c>
      <c r="M9" s="164">
        <f>SUM($B3:M3)</f>
        <v>11739293.429698177</v>
      </c>
      <c r="N9" s="164">
        <f>SUM($B3:N3)</f>
        <v>13396790.35218437</v>
      </c>
      <c r="O9" s="164">
        <f>SUM($B3:O3)</f>
        <v>14988700.936887531</v>
      </c>
      <c r="P9" s="164">
        <f>SUM($B3:P3)</f>
        <v>16516617.085210159</v>
      </c>
      <c r="Q9" s="164">
        <f>SUM($B3:Q3)</f>
        <v>17982092.060171202</v>
      </c>
      <c r="R9" s="164">
        <f>SUM($B3:R3)</f>
        <v>19386641.424230888</v>
      </c>
      <c r="S9" s="164">
        <f>SUM($B3:S3)</f>
        <v>20731743.954352845</v>
      </c>
      <c r="T9" s="164">
        <f>SUM($B3:T3)</f>
        <v>22018842.534855947</v>
      </c>
      <c r="U9" s="164">
        <f>SUM($B3:U3)</f>
        <v>23249345.028595027</v>
      </c>
      <c r="V9" s="164">
        <f>SUM($B3:V3)</f>
        <v>24314235.186097905</v>
      </c>
      <c r="W9" s="164">
        <f>SUM($B3:W3)</f>
        <v>26155340.140890159</v>
      </c>
      <c r="X9" s="164">
        <f>SUM($B3:X3)</f>
        <v>27926402.252260882</v>
      </c>
      <c r="Y9" s="164">
        <f>SUM($B3:Y3)</f>
        <v>29629121.589225162</v>
      </c>
      <c r="Z9" s="164">
        <f>SUM($B3:Z3)</f>
        <v>31265156.956987038</v>
      </c>
      <c r="AA9" s="164">
        <f>SUM($B3:AA3)</f>
        <v>32836126.898488317</v>
      </c>
    </row>
    <row r="10" spans="1:27" x14ac:dyDescent="0.25">
      <c r="A10" t="s">
        <v>297</v>
      </c>
      <c r="B10" s="164">
        <f>SUM($B4:B4)</f>
        <v>-848000</v>
      </c>
      <c r="C10" s="164">
        <f>SUM($B4:C4)</f>
        <v>1198710.4446486027</v>
      </c>
      <c r="D10" s="164">
        <f>SUM($B4:D4)</f>
        <v>2985166.4984603897</v>
      </c>
      <c r="E10" s="164">
        <f>SUM($B4:E4)</f>
        <v>4702906.1384860948</v>
      </c>
      <c r="F10" s="164">
        <f>SUM($B4:F4)</f>
        <v>6353597.2388467407</v>
      </c>
      <c r="G10" s="164">
        <f>SUM($B4:G4)</f>
        <v>7938867.1912817694</v>
      </c>
      <c r="H10" s="164">
        <f>SUM($B4:H4)</f>
        <v>9460303.8877311237</v>
      </c>
      <c r="I10" s="164">
        <f>SUM($B4:I4)</f>
        <v>10919456.679068241</v>
      </c>
      <c r="J10" s="164">
        <f>SUM($B4:J4)</f>
        <v>12317837.310562838</v>
      </c>
      <c r="K10" s="164">
        <f>SUM($B4:K4)</f>
        <v>13656920.834638275</v>
      </c>
      <c r="L10" s="164">
        <f>SUM($B4:L4)</f>
        <v>14561614.069894888</v>
      </c>
      <c r="M10" s="164">
        <f>SUM($B4:M4)</f>
        <v>16246410.377252679</v>
      </c>
      <c r="N10" s="164">
        <f>SUM($B4:N4)</f>
        <v>17864957.740398515</v>
      </c>
      <c r="O10" s="164">
        <f>SUM($B4:O4)</f>
        <v>19418864.143415209</v>
      </c>
      <c r="P10" s="164">
        <f>SUM($B4:P4)</f>
        <v>20909698.541645702</v>
      </c>
      <c r="Q10" s="164">
        <f>SUM($B4:Q4)</f>
        <v>22338991.808992572</v>
      </c>
      <c r="R10" s="164">
        <f>SUM($B4:R4)</f>
        <v>23708237.66222484</v>
      </c>
      <c r="S10" s="164">
        <f>SUM($B4:S4)</f>
        <v>25018893.56285014</v>
      </c>
      <c r="T10" s="164">
        <f>SUM($B4:T4)</f>
        <v>26272381.597096801</v>
      </c>
      <c r="U10" s="164">
        <f>SUM($B4:U4)</f>
        <v>27470089.334537115</v>
      </c>
      <c r="V10" s="164">
        <f>SUM($B4:V4)</f>
        <v>28131208.596523359</v>
      </c>
      <c r="W10" s="164">
        <f>SUM($B4:W4)</f>
        <v>29578342.920253269</v>
      </c>
      <c r="X10" s="164">
        <f>SUM($B4:X4)</f>
        <v>30964996.794519473</v>
      </c>
      <c r="Y10" s="164">
        <f>SUM($B4:Y4)</f>
        <v>32292638.191396333</v>
      </c>
      <c r="Z10" s="164">
        <f>SUM($B4:Z4)</f>
        <v>33562699.452568054</v>
      </c>
      <c r="AA10" s="164">
        <f>SUM($B4:AA4)</f>
        <v>34776578.154143989</v>
      </c>
    </row>
    <row r="11" spans="1:27" x14ac:dyDescent="0.25">
      <c r="A11" t="s">
        <v>298</v>
      </c>
      <c r="B11" s="164">
        <f>SUM($B5:B5)</f>
        <v>-848000</v>
      </c>
      <c r="C11" s="164">
        <f>SUM($B5:C5)</f>
        <v>1198710.4446486027</v>
      </c>
      <c r="D11" s="164">
        <f>SUM($B5:D5)</f>
        <v>2985166.4984603897</v>
      </c>
      <c r="E11" s="164">
        <f>SUM($B5:E5)</f>
        <v>4702906.1384860948</v>
      </c>
      <c r="F11" s="164">
        <f>SUM($B5:F5)</f>
        <v>6353597.2388467407</v>
      </c>
      <c r="G11" s="164">
        <f>SUM($B5:G5)</f>
        <v>7938867.1912817694</v>
      </c>
      <c r="H11" s="164">
        <f>SUM($B5:H5)</f>
        <v>9460303.8877311237</v>
      </c>
      <c r="I11" s="164">
        <f>SUM($B5:I5)</f>
        <v>10919456.679068241</v>
      </c>
      <c r="J11" s="164">
        <f>SUM($B5:J5)</f>
        <v>12317837.310562838</v>
      </c>
      <c r="K11" s="164">
        <f>SUM($B5:K5)</f>
        <v>13656920.834638275</v>
      </c>
      <c r="L11" s="164">
        <f>SUM($B5:L5)</f>
        <v>15023156.00529577</v>
      </c>
      <c r="M11" s="164">
        <f>SUM($B5:M5)</f>
        <v>17158291.773894228</v>
      </c>
      <c r="N11" s="164">
        <f>SUM($B5:N5)</f>
        <v>19216248.028833143</v>
      </c>
      <c r="O11" s="164">
        <f>SUM($B5:O5)</f>
        <v>21198898.059279006</v>
      </c>
      <c r="P11" s="164">
        <f>SUM($B5:P5)</f>
        <v>23108069.686214659</v>
      </c>
      <c r="Q11" s="164">
        <f>SUM($B5:Q5)</f>
        <v>24945546.366035983</v>
      </c>
      <c r="R11" s="164">
        <f>SUM($B5:R5)</f>
        <v>26713068.267362256</v>
      </c>
      <c r="S11" s="164">
        <f>SUM($B5:S5)</f>
        <v>28412333.321710348</v>
      </c>
      <c r="T11" s="164">
        <f>SUM($B5:T5)</f>
        <v>30044998.24866711</v>
      </c>
      <c r="U11" s="164">
        <f>SUM($B5:U5)</f>
        <v>31612679.556178931</v>
      </c>
      <c r="V11" s="164">
        <f>SUM($B5:V5)</f>
        <v>32989182.092457019</v>
      </c>
      <c r="W11" s="164">
        <f>SUM($B5:W5)</f>
        <v>35134336.018772662</v>
      </c>
      <c r="X11" s="164">
        <f>SUM($B5:X5)</f>
        <v>37202067.272260867</v>
      </c>
      <c r="Y11" s="164">
        <f>SUM($B5:Y5)</f>
        <v>39194255.044009678</v>
      </c>
      <c r="Z11" s="164">
        <f>SUM($B5:Z5)</f>
        <v>41112732.913672969</v>
      </c>
      <c r="AA11" s="164">
        <f>SUM($B5:AA5)</f>
        <v>42959289.956544071</v>
      </c>
    </row>
    <row r="13" spans="1:27" x14ac:dyDescent="0.25">
      <c r="A13" s="52" t="s">
        <v>307</v>
      </c>
    </row>
    <row r="14" spans="1:27" x14ac:dyDescent="0.25">
      <c r="A14" t="s">
        <v>296</v>
      </c>
      <c r="B14" s="165">
        <f>(B5-B3)</f>
        <v>0</v>
      </c>
      <c r="C14" s="165">
        <f t="shared" ref="C14:AA14" si="0">(C5-C3)</f>
        <v>600337.47739536688</v>
      </c>
      <c r="D14" s="165">
        <f t="shared" si="0"/>
        <v>542354.97871965985</v>
      </c>
      <c r="E14" s="165">
        <f t="shared" si="0"/>
        <v>529191.02292549284</v>
      </c>
      <c r="F14" s="165">
        <f t="shared" si="0"/>
        <v>516346.58062147675</v>
      </c>
      <c r="G14" s="165">
        <f t="shared" si="0"/>
        <v>503813.89662580937</v>
      </c>
      <c r="H14" s="165">
        <f t="shared" si="0"/>
        <v>491585.40398926008</v>
      </c>
      <c r="I14" s="165">
        <f t="shared" si="0"/>
        <v>479653.719426414</v>
      </c>
      <c r="J14" s="165">
        <f t="shared" si="0"/>
        <v>468011.63885781181</v>
      </c>
      <c r="K14" s="165">
        <f t="shared" si="0"/>
        <v>456652.13306029188</v>
      </c>
      <c r="L14" s="165">
        <f t="shared" si="0"/>
        <v>420630.48518511094</v>
      </c>
      <c r="M14" s="165">
        <f t="shared" si="0"/>
        <v>410421.00738935545</v>
      </c>
      <c r="N14" s="165">
        <f t="shared" si="0"/>
        <v>400459.3324527205</v>
      </c>
      <c r="O14" s="165">
        <f t="shared" si="0"/>
        <v>390739.44574270351</v>
      </c>
      <c r="P14" s="165">
        <f t="shared" si="0"/>
        <v>381255.47861302551</v>
      </c>
      <c r="Q14" s="165">
        <f t="shared" si="0"/>
        <v>372001.70486028236</v>
      </c>
      <c r="R14" s="165">
        <f t="shared" si="0"/>
        <v>362972.53726658691</v>
      </c>
      <c r="S14" s="165">
        <f t="shared" si="0"/>
        <v>354162.52422613557</v>
      </c>
      <c r="T14" s="165">
        <f t="shared" si="0"/>
        <v>345566.34645365621</v>
      </c>
      <c r="U14" s="165">
        <f t="shared" si="0"/>
        <v>337178.81377274217</v>
      </c>
      <c r="V14" s="165">
        <f t="shared" si="0"/>
        <v>311612.37877521291</v>
      </c>
      <c r="W14" s="165">
        <f t="shared" si="0"/>
        <v>304048.97152338759</v>
      </c>
      <c r="X14" s="165">
        <f t="shared" si="0"/>
        <v>296669.14211748028</v>
      </c>
      <c r="Y14" s="165">
        <f t="shared" si="0"/>
        <v>289468.43478453089</v>
      </c>
      <c r="Z14" s="165">
        <f t="shared" si="0"/>
        <v>282442.50190141122</v>
      </c>
      <c r="AA14" s="165">
        <f t="shared" si="0"/>
        <v>275587.10136982403</v>
      </c>
    </row>
    <row r="19" spans="1:5" ht="26" x14ac:dyDescent="0.3">
      <c r="A19" s="103"/>
      <c r="B19" s="103" t="s">
        <v>301</v>
      </c>
      <c r="C19" s="103" t="s">
        <v>302</v>
      </c>
      <c r="D19" s="103" t="s">
        <v>303</v>
      </c>
      <c r="E19" s="103" t="s">
        <v>304</v>
      </c>
    </row>
    <row r="20" spans="1:5" x14ac:dyDescent="0.25">
      <c r="A20" s="105" t="s">
        <v>187</v>
      </c>
      <c r="B20" s="152">
        <f>'$1.5 per hr + $0.5 Projection'!B29</f>
        <v>46345562.062010489</v>
      </c>
      <c r="C20" s="152">
        <f>'$1.5 per hr + $1 Projection'!B28</f>
        <v>63203115.881662123</v>
      </c>
      <c r="D20" s="152">
        <f>'$2 per hr + $0.5 Projection'!B28</f>
        <v>65197413.163939297</v>
      </c>
      <c r="E20" s="152">
        <f>'$2 per hr + $1 Projection'!B28</f>
        <v>73607188.911524147</v>
      </c>
    </row>
    <row r="21" spans="1:5" x14ac:dyDescent="0.25">
      <c r="A21" s="105" t="s">
        <v>188</v>
      </c>
      <c r="B21" s="152">
        <f>'$1.5 per hr + $0.5 Projection'!B30</f>
        <v>23633873.864994664</v>
      </c>
      <c r="C21" s="152">
        <f>'$1.5 per hr + $1 Projection'!B29</f>
        <v>30366988.983173806</v>
      </c>
      <c r="D21" s="152">
        <f>'$2 per hr + $0.5 Projection'!B29</f>
        <v>30420835.009795289</v>
      </c>
      <c r="E21" s="152">
        <f>'$2 per hr + $1 Projection'!B29</f>
        <v>30647898.954980087</v>
      </c>
    </row>
    <row r="22" spans="1:5" x14ac:dyDescent="0.25">
      <c r="A22" s="105" t="s">
        <v>183</v>
      </c>
      <c r="B22" s="152">
        <f>'$1.5 per hr + $0.5 Projection'!B31</f>
        <v>22711688.197015833</v>
      </c>
      <c r="C22" s="152">
        <f>'$1.5 per hr + $1 Projection'!B30</f>
        <v>32836126.898488317</v>
      </c>
      <c r="D22" s="152">
        <f>'$2 per hr + $0.5 Projection'!B30</f>
        <v>34776578.154143989</v>
      </c>
      <c r="E22" s="152">
        <f>'$2 per hr + $1 Projection'!B30</f>
        <v>42959289.956544071</v>
      </c>
    </row>
  </sheetData>
  <pageMargins left="0.7" right="0.7" top="0.75" bottom="0.75" header="0.3" footer="0.3"/>
  <pageSetup orientation="portrait" horizontalDpi="300" verticalDpi="0" copies="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4E158-0970-42CA-8667-BC8B61B14DB5}">
  <sheetPr>
    <tabColor rgb="FF00B0F0"/>
  </sheetPr>
  <dimension ref="A1:E10"/>
  <sheetViews>
    <sheetView workbookViewId="0">
      <selection activeCell="E31" sqref="E31"/>
    </sheetView>
  </sheetViews>
  <sheetFormatPr defaultRowHeight="12.5" x14ac:dyDescent="0.25"/>
  <cols>
    <col min="1" max="1" width="33.81640625" bestFit="1" customWidth="1"/>
    <col min="2" max="2" width="12.7265625" style="51" customWidth="1"/>
    <col min="3" max="3" width="12.7265625" customWidth="1"/>
    <col min="4" max="4" width="12.7265625" style="51" customWidth="1"/>
    <col min="5" max="5" width="37.453125" bestFit="1" customWidth="1"/>
  </cols>
  <sheetData>
    <row r="1" spans="1:5" ht="26" x14ac:dyDescent="0.3">
      <c r="A1" s="103" t="s">
        <v>248</v>
      </c>
      <c r="B1" s="104" t="s">
        <v>255</v>
      </c>
      <c r="C1" s="103" t="s">
        <v>249</v>
      </c>
      <c r="D1" s="104" t="s">
        <v>256</v>
      </c>
      <c r="E1" s="104" t="s">
        <v>283</v>
      </c>
    </row>
    <row r="2" spans="1:5" x14ac:dyDescent="0.25">
      <c r="A2" s="105" t="s">
        <v>250</v>
      </c>
      <c r="B2" s="63">
        <v>10000</v>
      </c>
      <c r="C2" s="23">
        <v>56</v>
      </c>
      <c r="D2" s="63">
        <f>B2*C2</f>
        <v>560000</v>
      </c>
      <c r="E2" s="35"/>
    </row>
    <row r="3" spans="1:5" x14ac:dyDescent="0.25">
      <c r="A3" s="105" t="s">
        <v>251</v>
      </c>
      <c r="B3" s="63">
        <v>40000</v>
      </c>
      <c r="C3" s="23">
        <v>1</v>
      </c>
      <c r="D3" s="63">
        <f t="shared" ref="D3:D10" si="0">B3*C3</f>
        <v>40000</v>
      </c>
      <c r="E3" s="35" t="s">
        <v>284</v>
      </c>
    </row>
    <row r="4" spans="1:5" x14ac:dyDescent="0.25">
      <c r="A4" s="105" t="s">
        <v>153</v>
      </c>
      <c r="B4" s="63">
        <v>3000</v>
      </c>
      <c r="C4" s="23">
        <v>2</v>
      </c>
      <c r="D4" s="63">
        <f t="shared" si="0"/>
        <v>6000</v>
      </c>
      <c r="E4" s="35" t="s">
        <v>284</v>
      </c>
    </row>
    <row r="5" spans="1:5" x14ac:dyDescent="0.25">
      <c r="A5" s="105" t="s">
        <v>252</v>
      </c>
      <c r="B5" s="63">
        <v>100000</v>
      </c>
      <c r="C5" s="23">
        <v>1</v>
      </c>
      <c r="D5" s="63">
        <f t="shared" si="0"/>
        <v>100000</v>
      </c>
      <c r="E5" s="35" t="s">
        <v>284</v>
      </c>
    </row>
    <row r="6" spans="1:5" x14ac:dyDescent="0.25">
      <c r="A6" s="105" t="s">
        <v>254</v>
      </c>
      <c r="B6" s="63">
        <v>1000</v>
      </c>
      <c r="C6" s="23">
        <v>176</v>
      </c>
      <c r="D6" s="63">
        <f t="shared" si="0"/>
        <v>176000</v>
      </c>
      <c r="E6" s="35"/>
    </row>
    <row r="7" spans="1:5" x14ac:dyDescent="0.25">
      <c r="A7" s="105" t="s">
        <v>253</v>
      </c>
      <c r="B7" s="63">
        <v>2000</v>
      </c>
      <c r="C7" s="23">
        <v>56</v>
      </c>
      <c r="D7" s="63">
        <f t="shared" si="0"/>
        <v>112000</v>
      </c>
      <c r="E7" s="35"/>
    </row>
    <row r="8" spans="1:5" x14ac:dyDescent="0.25">
      <c r="A8" s="105" t="s">
        <v>285</v>
      </c>
      <c r="B8" s="63">
        <v>750000</v>
      </c>
      <c r="C8" s="141">
        <v>1</v>
      </c>
      <c r="D8" s="63">
        <f t="shared" si="0"/>
        <v>750000</v>
      </c>
      <c r="E8" s="142" t="s">
        <v>290</v>
      </c>
    </row>
    <row r="9" spans="1:5" x14ac:dyDescent="0.25">
      <c r="A9" s="105" t="s">
        <v>286</v>
      </c>
      <c r="B9" s="142">
        <v>120000</v>
      </c>
      <c r="C9" s="141">
        <v>1</v>
      </c>
      <c r="D9" s="142">
        <f t="shared" si="0"/>
        <v>120000</v>
      </c>
      <c r="E9" s="142" t="s">
        <v>288</v>
      </c>
    </row>
    <row r="10" spans="1:5" x14ac:dyDescent="0.25">
      <c r="A10" s="105" t="s">
        <v>287</v>
      </c>
      <c r="B10" s="63">
        <v>1360</v>
      </c>
      <c r="C10" s="23">
        <v>56</v>
      </c>
      <c r="D10" s="142">
        <f t="shared" si="0"/>
        <v>76160</v>
      </c>
      <c r="E10" s="142" t="s">
        <v>289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5FF0-8496-417D-BDFE-AEC018465E50}">
  <sheetPr>
    <tabColor rgb="FF00B0F0"/>
  </sheetPr>
  <dimension ref="A1:K18"/>
  <sheetViews>
    <sheetView workbookViewId="0"/>
  </sheetViews>
  <sheetFormatPr defaultRowHeight="12.5" x14ac:dyDescent="0.25"/>
  <cols>
    <col min="1" max="1" width="38.26953125" bestFit="1" customWidth="1"/>
    <col min="2" max="2" width="14.1796875" style="66" bestFit="1" customWidth="1"/>
    <col min="3" max="3" width="16.81640625" style="51" bestFit="1" customWidth="1"/>
    <col min="4" max="4" width="13.26953125" style="51" bestFit="1" customWidth="1"/>
    <col min="5" max="5" width="16" style="51" bestFit="1" customWidth="1"/>
    <col min="6" max="6" width="16" style="51" customWidth="1"/>
    <col min="7" max="11" width="9.1796875" style="51"/>
  </cols>
  <sheetData>
    <row r="1" spans="1:6" ht="14.5" x14ac:dyDescent="0.35">
      <c r="B1" s="65" t="s">
        <v>178</v>
      </c>
      <c r="C1" s="51" t="s">
        <v>156</v>
      </c>
      <c r="D1" s="51" t="s">
        <v>157</v>
      </c>
      <c r="E1" s="51" t="s">
        <v>158</v>
      </c>
      <c r="F1" s="51" t="s">
        <v>159</v>
      </c>
    </row>
    <row r="2" spans="1:6" ht="14.5" x14ac:dyDescent="0.35">
      <c r="A2" s="62" t="s">
        <v>160</v>
      </c>
    </row>
    <row r="3" spans="1:6" x14ac:dyDescent="0.25">
      <c r="A3" t="s">
        <v>161</v>
      </c>
      <c r="B3" s="66">
        <v>10000</v>
      </c>
      <c r="D3" s="51">
        <v>9375</v>
      </c>
      <c r="E3" s="51">
        <v>8500</v>
      </c>
      <c r="F3" s="51">
        <v>8700</v>
      </c>
    </row>
    <row r="4" spans="1:6" x14ac:dyDescent="0.25">
      <c r="A4" t="s">
        <v>162</v>
      </c>
      <c r="B4" s="66">
        <v>40000</v>
      </c>
      <c r="C4" s="51">
        <v>36000</v>
      </c>
      <c r="E4" s="51">
        <v>26000</v>
      </c>
      <c r="F4" s="51">
        <v>44400</v>
      </c>
    </row>
    <row r="5" spans="1:6" x14ac:dyDescent="0.25">
      <c r="A5" t="s">
        <v>153</v>
      </c>
      <c r="B5" s="66">
        <v>3000</v>
      </c>
      <c r="C5" s="51">
        <v>1500</v>
      </c>
      <c r="E5" s="51">
        <v>6000</v>
      </c>
      <c r="F5" s="51">
        <v>2400</v>
      </c>
    </row>
    <row r="6" spans="1:6" x14ac:dyDescent="0.25">
      <c r="A6" t="s">
        <v>163</v>
      </c>
      <c r="C6" s="51">
        <v>120</v>
      </c>
      <c r="F6" s="51">
        <v>40</v>
      </c>
    </row>
    <row r="7" spans="1:6" x14ac:dyDescent="0.25">
      <c r="A7" t="s">
        <v>164</v>
      </c>
      <c r="B7" s="66">
        <v>100000</v>
      </c>
      <c r="C7" s="51">
        <v>1500</v>
      </c>
      <c r="E7" s="51">
        <v>100000</v>
      </c>
      <c r="F7" s="51">
        <v>88000</v>
      </c>
    </row>
    <row r="9" spans="1:6" ht="14.5" x14ac:dyDescent="0.35">
      <c r="A9" s="62" t="s">
        <v>165</v>
      </c>
      <c r="B9" s="66" t="s">
        <v>179</v>
      </c>
      <c r="D9" s="51">
        <v>100000</v>
      </c>
      <c r="E9" s="51">
        <v>228000</v>
      </c>
      <c r="F9" s="51">
        <v>230000</v>
      </c>
    </row>
    <row r="11" spans="1:6" ht="14.5" x14ac:dyDescent="0.35">
      <c r="A11" s="62" t="s">
        <v>166</v>
      </c>
      <c r="B11" s="66" t="s">
        <v>180</v>
      </c>
    </row>
    <row r="12" spans="1:6" x14ac:dyDescent="0.25">
      <c r="A12" t="s">
        <v>167</v>
      </c>
      <c r="C12" s="51">
        <v>180000</v>
      </c>
      <c r="D12" s="51" t="s">
        <v>168</v>
      </c>
      <c r="E12" s="51">
        <v>225000</v>
      </c>
      <c r="F12" s="51">
        <v>56500</v>
      </c>
    </row>
    <row r="13" spans="1:6" x14ac:dyDescent="0.25">
      <c r="A13" t="s">
        <v>169</v>
      </c>
      <c r="C13" s="51">
        <v>150000</v>
      </c>
    </row>
    <row r="15" spans="1:6" ht="14.5" x14ac:dyDescent="0.35">
      <c r="A15" s="62" t="s">
        <v>170</v>
      </c>
    </row>
    <row r="16" spans="1:6" x14ac:dyDescent="0.25">
      <c r="A16" t="s">
        <v>171</v>
      </c>
      <c r="D16" s="51">
        <v>1200</v>
      </c>
    </row>
    <row r="18" spans="1:6" ht="14.5" x14ac:dyDescent="0.35">
      <c r="A18" s="62" t="s">
        <v>172</v>
      </c>
      <c r="C18" s="51" t="s">
        <v>173</v>
      </c>
      <c r="D18" s="51" t="s">
        <v>174</v>
      </c>
      <c r="F18" s="51" t="s">
        <v>174</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DA3E-5326-4CDB-8543-03233E65AA21}">
  <sheetPr>
    <tabColor rgb="FF00B0F0"/>
  </sheetPr>
  <dimension ref="A1:H5"/>
  <sheetViews>
    <sheetView workbookViewId="0"/>
  </sheetViews>
  <sheetFormatPr defaultRowHeight="12.5" x14ac:dyDescent="0.25"/>
  <cols>
    <col min="1" max="1" width="19.7265625" customWidth="1"/>
    <col min="2" max="2" width="9.54296875" customWidth="1"/>
    <col min="3" max="3" width="14" style="51" bestFit="1" customWidth="1"/>
    <col min="4" max="4" width="12.7265625" style="51" bestFit="1" customWidth="1"/>
    <col min="5" max="5" width="9.1796875" style="51"/>
    <col min="6" max="6" width="15.453125" style="51" bestFit="1" customWidth="1"/>
  </cols>
  <sheetData>
    <row r="1" spans="1:8" x14ac:dyDescent="0.25">
      <c r="A1" s="52" t="s">
        <v>263</v>
      </c>
      <c r="B1" s="52" t="s">
        <v>268</v>
      </c>
      <c r="C1" s="135" t="s">
        <v>265</v>
      </c>
      <c r="D1" s="135" t="s">
        <v>270</v>
      </c>
      <c r="E1" s="135" t="s">
        <v>266</v>
      </c>
      <c r="F1" s="135" t="s">
        <v>267</v>
      </c>
    </row>
    <row r="2" spans="1:8" ht="15" x14ac:dyDescent="0.4">
      <c r="A2" s="52" t="s">
        <v>264</v>
      </c>
      <c r="B2">
        <v>500</v>
      </c>
      <c r="C2" s="51">
        <f>928706+248445</f>
        <v>1177151</v>
      </c>
      <c r="D2" s="51">
        <f>C2/B2</f>
        <v>2354.3020000000001</v>
      </c>
      <c r="F2" s="136">
        <v>1389414</v>
      </c>
      <c r="H2" s="137" t="s">
        <v>273</v>
      </c>
    </row>
    <row r="3" spans="1:8" x14ac:dyDescent="0.25">
      <c r="A3" s="52" t="s">
        <v>269</v>
      </c>
      <c r="B3">
        <v>836</v>
      </c>
      <c r="C3" s="51">
        <v>500000</v>
      </c>
      <c r="D3" s="51">
        <f>C3/B3</f>
        <v>598.08612440191382</v>
      </c>
      <c r="H3" s="52" t="s">
        <v>274</v>
      </c>
    </row>
    <row r="4" spans="1:8" x14ac:dyDescent="0.25">
      <c r="A4" s="52" t="s">
        <v>271</v>
      </c>
      <c r="B4">
        <v>350</v>
      </c>
      <c r="C4" s="51">
        <v>507425</v>
      </c>
      <c r="D4" s="51">
        <f t="shared" ref="D4" si="0">C4/B4</f>
        <v>1449.7857142857142</v>
      </c>
      <c r="F4" s="51">
        <v>354000</v>
      </c>
      <c r="H4" s="137" t="s">
        <v>272</v>
      </c>
    </row>
    <row r="5" spans="1:8" x14ac:dyDescent="0.25">
      <c r="A5" s="52" t="s">
        <v>276</v>
      </c>
      <c r="D5" s="51">
        <v>500</v>
      </c>
      <c r="G5" s="25" t="s">
        <v>278</v>
      </c>
      <c r="H5" s="137" t="s">
        <v>277</v>
      </c>
    </row>
  </sheetData>
  <hyperlinks>
    <hyperlink ref="H4" r:id="rId1" display="https://www.ci.emeryville.ca.us/ArchiveCenter/ViewFile/Item/5449" xr:uid="{7C551433-587C-4809-AD87-BB03DBA3DF99}"/>
    <hyperlink ref="H2" r:id="rId2" display="https://city-south-san-francisco-ca-budget-book.cleargov.com/11427/fund-summaries/parking-district-fund-720" xr:uid="{814B64D5-A5D2-4F4D-A108-1DAE202E6A4D}"/>
    <hyperlink ref="H5" r:id="rId3" display="https://www.vtpi.org/tca/tca0504.pdf" xr:uid="{9C571F0E-35F1-414B-BA3D-686C0732BD4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8A02-08E4-49FB-A779-0D10D8BAC5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Incl</vt:lpstr>
      <vt:lpstr>Raw</vt:lpstr>
      <vt:lpstr>All</vt:lpstr>
      <vt:lpstr>Hourly</vt:lpstr>
      <vt:lpstr>Hourly (Reduction)</vt:lpstr>
      <vt:lpstr>Long-Term</vt:lpstr>
      <vt:lpstr>Space &amp; Elasticitiy</vt:lpstr>
      <vt:lpstr>$1.5 per hr + $0.5 Projection</vt:lpstr>
      <vt:lpstr>$1.5 per hr + $1 Projection</vt:lpstr>
      <vt:lpstr>$2 per hr + $0.5 Projection</vt:lpstr>
      <vt:lpstr>$2 per hr + $1 Projection</vt:lpstr>
      <vt:lpstr>Print</vt:lpstr>
      <vt:lpstr>Print (2)</vt:lpstr>
      <vt:lpstr>Comparison</vt:lpstr>
      <vt:lpstr>Assumptions</vt:lpstr>
      <vt:lpstr>Assumptions Research Detailed</vt:lpstr>
      <vt:lpstr>Assumptions Research General</vt:lpstr>
      <vt:lpstr>Print!Print_Area</vt:lpstr>
      <vt:lpstr>'Print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 Bryan</dc:creator>
  <cp:lastModifiedBy>Kao, Bryan</cp:lastModifiedBy>
  <cp:lastPrinted>2024-10-10T21:23:05Z</cp:lastPrinted>
  <dcterms:created xsi:type="dcterms:W3CDTF">2023-10-03T15:33:03Z</dcterms:created>
  <dcterms:modified xsi:type="dcterms:W3CDTF">2024-10-10T22:24:17Z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